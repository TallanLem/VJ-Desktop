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ВОД" sheetId="1" r:id="rId5"/>
    <sheet state="visible" name="HFS_CRV" sheetId="2" r:id="rId6"/>
    <sheet state="visible" name="HFS_NBV" sheetId="3" r:id="rId7"/>
    <sheet state="visible" name="CRV" sheetId="4" r:id="rId8"/>
    <sheet state="visible" name="NBV" sheetId="5" r:id="rId9"/>
    <sheet state="visible" name="motors" sheetId="6" r:id="rId10"/>
    <sheet state="hidden" name="DO NOT DELETE - AutoCrat Job Se" sheetId="7" r:id="rId11"/>
  </sheets>
  <definedNames/>
  <calcPr/>
</workbook>
</file>

<file path=xl/sharedStrings.xml><?xml version="1.0" encoding="utf-8"?>
<sst xmlns="http://schemas.openxmlformats.org/spreadsheetml/2006/main" count="3663" uniqueCount="1086">
  <si>
    <t>Наименование станции</t>
  </si>
  <si>
    <t>Насос</t>
  </si>
  <si>
    <t>Артикул</t>
  </si>
  <si>
    <t>Размеры</t>
  </si>
  <si>
    <t>Q</t>
  </si>
  <si>
    <t>H</t>
  </si>
  <si>
    <t>P2</t>
  </si>
  <si>
    <t>NPSH</t>
  </si>
  <si>
    <t>КПД</t>
  </si>
  <si>
    <t>Hydro-FS-A 1/1 CRV 10-1 G2-B-80-16</t>
  </si>
  <si>
    <t>В1</t>
  </si>
  <si>
    <t>Max расход:</t>
  </si>
  <si>
    <t>В2</t>
  </si>
  <si>
    <t>Max напор:</t>
  </si>
  <si>
    <t>Ш1</t>
  </si>
  <si>
    <t>Номинальный напор:</t>
  </si>
  <si>
    <t>Ш2</t>
  </si>
  <si>
    <t>Количество насосов:</t>
  </si>
  <si>
    <t>Ш3</t>
  </si>
  <si>
    <t>Количество резервных насосов:</t>
  </si>
  <si>
    <t>Шобщ</t>
  </si>
  <si>
    <t>Тип установки уплотнения:</t>
  </si>
  <si>
    <t>Р1</t>
  </si>
  <si>
    <t>Р2</t>
  </si>
  <si>
    <t>Корпус:</t>
  </si>
  <si>
    <t>Р3</t>
  </si>
  <si>
    <t>Рабочее колесо:</t>
  </si>
  <si>
    <t>Р4</t>
  </si>
  <si>
    <t>Уплотнение вала:</t>
  </si>
  <si>
    <t>РП</t>
  </si>
  <si>
    <t>Коллектор:</t>
  </si>
  <si>
    <t>РВ</t>
  </si>
  <si>
    <t>ПАЗ</t>
  </si>
  <si>
    <t>Температура окружающей среды:</t>
  </si>
  <si>
    <t>ОТВ-Е</t>
  </si>
  <si>
    <t>12 отв. ø16</t>
  </si>
  <si>
    <t>Относительная влажность воздуха:</t>
  </si>
  <si>
    <t>ВШ</t>
  </si>
  <si>
    <t>Max рабочее давление:</t>
  </si>
  <si>
    <t>ШШ</t>
  </si>
  <si>
    <t>Стандарт трубного присоединения:</t>
  </si>
  <si>
    <t>ШО</t>
  </si>
  <si>
    <t>Размер всасывающего патрубка:</t>
  </si>
  <si>
    <t>К</t>
  </si>
  <si>
    <t>Размер напорного патрубка:</t>
  </si>
  <si>
    <t>DN</t>
  </si>
  <si>
    <t>80</t>
  </si>
  <si>
    <t>Допустимое давление фланцев:</t>
  </si>
  <si>
    <t>Диапазон температуры жидкости:</t>
  </si>
  <si>
    <t>Мощность (P2) одного насоса:</t>
  </si>
  <si>
    <t>Номинальное напряжение:</t>
  </si>
  <si>
    <t>Max потребление тока:</t>
  </si>
  <si>
    <t>Схема пуска:</t>
  </si>
  <si>
    <t>Степень защиты (IEC 34-5):</t>
  </si>
  <si>
    <t>Температура хранения:</t>
  </si>
  <si>
    <t>Масса (нетто):</t>
  </si>
  <si>
    <t>Масса (брутто):</t>
  </si>
  <si>
    <t>Наименование</t>
  </si>
  <si>
    <t>В</t>
  </si>
  <si>
    <t>Общее кол-во</t>
  </si>
  <si>
    <t>Основа</t>
  </si>
  <si>
    <t>Резерв</t>
  </si>
  <si>
    <t>Мощность</t>
  </si>
  <si>
    <t>Ток</t>
  </si>
  <si>
    <t>Схема пуска</t>
  </si>
  <si>
    <t>Торцевое</t>
  </si>
  <si>
    <t>Масса нетто</t>
  </si>
  <si>
    <t>Hydro-FS-A 1/1 CRV 10-2 G2-B-80-16</t>
  </si>
  <si>
    <t>Hydro-FS-A 1/1 CRV 10-3 G2-B-80-16</t>
  </si>
  <si>
    <t>Hydro-FS-A 1/1 CRV 10-4 G2-B-80-16</t>
  </si>
  <si>
    <t>Hydro-FS-A 1/1 CRV 10-5 G2-B-80-16</t>
  </si>
  <si>
    <t>Hydro-FS-A 1/1 CRV 10-6 G2-B-80-16</t>
  </si>
  <si>
    <t>Hydro-FS-A 1/1 CRV 10-9 G2-B-80-16</t>
  </si>
  <si>
    <t>Hydro-FS-A 1/1 CRV 10-12 G2-B-80-16</t>
  </si>
  <si>
    <t>Hydro-FS-A 1/1 CRV 10-14 G2-B-80-16</t>
  </si>
  <si>
    <t>Hydro-FS-A 1/1 CRV 10-16 G2-B-80-25</t>
  </si>
  <si>
    <t>При заказе</t>
  </si>
  <si>
    <t>Hydro-FS-A 1/1 CRV 10-18 G2-B-80-25</t>
  </si>
  <si>
    <t>Hydro-FS-A 1/1 CRV 10-20 G2-B-80-25</t>
  </si>
  <si>
    <t>Hydro-FS-A 1/1 CRV 10-22 G2-B-80-25</t>
  </si>
  <si>
    <t>Hydro-FS-A 1/1 CRV 15-1 G2-B-80-16</t>
  </si>
  <si>
    <t>Hydro-FS-A 1/1 CRV 15-2 G2-B-80-16</t>
  </si>
  <si>
    <t>Hydro-FS-A 1/1 CRV 15-3 G2-B-80-16</t>
  </si>
  <si>
    <t>Hydro-FS-A 1/1 CRV 15-4 G2-B-80-16</t>
  </si>
  <si>
    <t>Hydro-FS-A 1/1 CRV 15-5 G2-B-80-16</t>
  </si>
  <si>
    <t>Hydro-FS-A 1/1 CRV 15-6 G2-B-80-16</t>
  </si>
  <si>
    <t>Hydro-FS-A 1/1 CRV 15-7 G2-B-80-16</t>
  </si>
  <si>
    <t>Hydro-FS-A 1/1 CRV 15-8 G2-B-80-16</t>
  </si>
  <si>
    <t>Hydro-FS-A 1/1 CRV 15-9 G2-B-80-16</t>
  </si>
  <si>
    <t>Hydro-FS-A 1/1 CRV 15-10 G2-B-80-16</t>
  </si>
  <si>
    <t>Hydro-FS-A 1/1 CRV 15-12 G2-B-80-25</t>
  </si>
  <si>
    <t>Hydro-FS-A 1/1 CRV 15-14 G2-B-80-25</t>
  </si>
  <si>
    <t>Hydro-FS-A 1/1 CRV 15-17 G2-B-80-25</t>
  </si>
  <si>
    <t>Hydro-FS-A 1/1 CRV 20-1 G2-B-80-16</t>
  </si>
  <si>
    <t>Hydro-FS-A 1/1 CRV 20-2 G2-B-80-16</t>
  </si>
  <si>
    <t>Hydro-FS-A 1/1 CRV 20-3 G2-B-80-16</t>
  </si>
  <si>
    <t>Hydro-FS-A 1/1 CRV 20-4 G2-B-80-16</t>
  </si>
  <si>
    <t>Hydro-FS-A 1/1 CRV 20-5 G2-B-80-16</t>
  </si>
  <si>
    <t>Hydro-FS-A 1/1 CRV 20-6 G2-B-80-16</t>
  </si>
  <si>
    <t>Hydro-FS-A 1/1 CRV 20-7 G2-B-80-16</t>
  </si>
  <si>
    <t>Hydro-FS-A 1/1 CRV 20-8 G2-B-80-16</t>
  </si>
  <si>
    <t>Hydro-FS-A 1/1 CRV 20-10 G2-B-80-16</t>
  </si>
  <si>
    <t>Hydro-FS-A 1/1 CRV 20-12 G2-B-80-25</t>
  </si>
  <si>
    <t>Hydro-FS-A 1/1 CRV 20-14 G2-B-80-25</t>
  </si>
  <si>
    <t>Hydro-FS-A 1/1 CRV 20-17 G2-B-80-25</t>
  </si>
  <si>
    <t>Hydro-FS-A 1/1 CRV 32-1-1 G2-B-100-16</t>
  </si>
  <si>
    <t>Hydro-FS-A 1/1 CRV 32-1 G2-B-100-16</t>
  </si>
  <si>
    <t>Hydro-FS-A 1/1 CRV 32-2-2 G2-B-100-16</t>
  </si>
  <si>
    <t>Hydro-FS-A 1/1 CRV 32-2 G2-B-100-16</t>
  </si>
  <si>
    <t>Hydro-FS-A 1/1 CRV 32-3 G2-B-100-16</t>
  </si>
  <si>
    <t>Hydro-FS-A 1/1 CRV 32-4 G2-B-100-16</t>
  </si>
  <si>
    <t>Hydro-FS-A 1/1 CRV 32-5 G2-B-100-16</t>
  </si>
  <si>
    <t>Hydro-FS-A 1/1 CRV 32-6 G2-B-100-16</t>
  </si>
  <si>
    <t>Hydro-FS-A 1/1 CRV 32-7 G2-B-100-16</t>
  </si>
  <si>
    <t>Hydro-FS-A 1/1 CRV 32-8-2 G2-B-100-16</t>
  </si>
  <si>
    <t>Hydro-FS-A 1/1 CRV 32-8 G2-B-100-16</t>
  </si>
  <si>
    <t>Hydro-FS-A 1/1 CRV 32-9-2 G2-B-100-25</t>
  </si>
  <si>
    <t>Hydro-FS-A 1/1 CRV 32-9 G2-B-100-25</t>
  </si>
  <si>
    <t>Hydro-FS-A 1/1 CRV 32-10-2 G2-B-100-25</t>
  </si>
  <si>
    <t>Hydro-FS-A 1/1 CRV 32-10 G2-B-100-25</t>
  </si>
  <si>
    <t>Hydro-FS-A 1/1 CRV 32-11-2 G2-B-100-25</t>
  </si>
  <si>
    <t>Hydro-FS-A 1/1 CRV 32-11 G2-B-100-25</t>
  </si>
  <si>
    <t>Hydro-FS-A 1/1 CRV 32-12-2 G2-B-100-25</t>
  </si>
  <si>
    <t>Hydro-FS-A 1/1 CRV 32-12 G2-B-100-25</t>
  </si>
  <si>
    <t>Hydro-FS-A 1/1 CRV 32-13-2 G2-B-100-25</t>
  </si>
  <si>
    <t>Hydro-FS-A 1/1 CRV 32-13 G2-B-100-25</t>
  </si>
  <si>
    <t>Hydro-FS-A 1/1 CRV 32-14-2 G2-B-100-25</t>
  </si>
  <si>
    <t>Hydro-FS-A 1/1 CRV 32-14 G2-B-100-25</t>
  </si>
  <si>
    <t>Hydro-FS-A 1/1 CRV 45-1 G2-B-150-16</t>
  </si>
  <si>
    <t>Hydro-FS-A 1/1 CRV 45-2-2 G2-B-150-16</t>
  </si>
  <si>
    <t>Hydro-FS-A 1/1 CRV 45-2 G2-B-150-16</t>
  </si>
  <si>
    <t>Hydro-FS-A 1/1 CRV 45-3-2 G2-B-150-16</t>
  </si>
  <si>
    <t>Hydro-FS-A 1/1 CRV 45-3 G2-B-150-16</t>
  </si>
  <si>
    <t>Hydro-FS-A 1/1 CRV 45-4 G2-B-150-16</t>
  </si>
  <si>
    <t>Hydro-FS-A 1/1 CRV 45-5 G2-B-150-16</t>
  </si>
  <si>
    <t>Hydro-FS-A 1/1 CRV 45-6-2 G2-B-100-16</t>
  </si>
  <si>
    <t>Hydro-FS-A 1/1 CRV 45-6 G2-B-100-25</t>
  </si>
  <si>
    <t>Hydro-FS-A 1/1 CRV 45-7-2 G2-B-100-25</t>
  </si>
  <si>
    <t>Hydro-FS-A 1/1 CRV 45-7 G2-B-100-25</t>
  </si>
  <si>
    <t>Hydro-FS-A 1/1 CRV 45-8-2 G2-B-100-25</t>
  </si>
  <si>
    <t>Hydro-FS-A 1/1 CRV 45-8 G2-B-100-25</t>
  </si>
  <si>
    <t>Hydro-FS-A 1/1 CRV 45-9-2 G2-B-100-25</t>
  </si>
  <si>
    <t>Hydro-FS-A 1/1 CRV 45-9 G2-B-100-25</t>
  </si>
  <si>
    <t>Hydro-FS-A 1/1 CRV 45-10-2 G2-B-100-25</t>
  </si>
  <si>
    <t>Hydro-FS-A 1/1 CRV 45-10 G2-B-100-25</t>
  </si>
  <si>
    <t>Hydro-FS-A 1/1 CRV 45-11-2 G2-B-100-25</t>
  </si>
  <si>
    <t>Hydro-FS-A 1/1 CRV 45-11 G2-B-100-25</t>
  </si>
  <si>
    <t>Hydro-FS-A 1/1 CRV 45-12-2 G2-B-100-25</t>
  </si>
  <si>
    <t>Hydro-FS-A 1/1 CRV 45-12 G2-B-100-25</t>
  </si>
  <si>
    <t>Hydro-FS-A 1/1 CRV 45-13-2 G2-B-100-25</t>
  </si>
  <si>
    <t>Hydro-FS-A 1/1 CRV 64-1 G2-B-200-16</t>
  </si>
  <si>
    <t>Hydro-FS-A 1/1 CRV 64-2-2 G2-B-200-16</t>
  </si>
  <si>
    <t>Hydro-FS-A 1/1 CRV 64-2 G2-B-200-16</t>
  </si>
  <si>
    <t>Hydro-FS-A 1/1 CRV 64-3 G2-B-200-16</t>
  </si>
  <si>
    <t>Hydro-FS-A 1/1 CRV 64-4-2 G2-B-200-16</t>
  </si>
  <si>
    <t>Hydro-FS-A 1/1 CRV 64-4-1 G2-B-200-16</t>
  </si>
  <si>
    <t>Hydro-FS-A 1/1 CRV 64-4 G2-B-200-16</t>
  </si>
  <si>
    <t>Hydro-FS-A 1/1 CRV 64-5-2 G2-B-200-16</t>
  </si>
  <si>
    <t>Hydro-FS-A 1/1 CRV 64-5-1 G2-B-200-16</t>
  </si>
  <si>
    <t>Hydro-FS-A 1/1 CRV 64-5 G2-B-200-16</t>
  </si>
  <si>
    <t>Hydro-FS-A 1/1 CRV 64-6-2 G2-B-200-25</t>
  </si>
  <si>
    <t>Hydro-FS-A 1/1 CRV 64-6-1 G2-B-200-25</t>
  </si>
  <si>
    <t>Hydro-FS-A 1/1 CRV 64-6 G2-B-200-25</t>
  </si>
  <si>
    <t>Hydro-FS-A 1/1 CRV 64-7-2 G2-B-200-25</t>
  </si>
  <si>
    <t>Hydro-FS-A 1/1 CRV 64-7-1 G2-B-200-25</t>
  </si>
  <si>
    <t>Hydro-FS-A 1/1 CRV 64-7 G2-B-200-25</t>
  </si>
  <si>
    <t>Hydro-FS-A 1/1 CRV 64-8-2 G2-B-200-25</t>
  </si>
  <si>
    <t>Hydro-FS-A 1/1 CRV 64-8-1 G2-B-200-25</t>
  </si>
  <si>
    <t>Hydro-FS-A 1/1 CRV 90-1-1 G2-B-200-16</t>
  </si>
  <si>
    <t>4 паза R10x40</t>
  </si>
  <si>
    <t>4 отв. ø16</t>
  </si>
  <si>
    <t>Hydro-FS-A 1/1 CRV 90-1 G2-B-200-16</t>
  </si>
  <si>
    <t>Hydro-FS-A 1/1 CRV 90-2-2 G2-B-200-16</t>
  </si>
  <si>
    <t>Hydro-FS-A 1/1 CRV 90-2 G2-B-200-16</t>
  </si>
  <si>
    <t>Hydro-FS-A 1/1 CRV 90-3-2 G2-B-200-16</t>
  </si>
  <si>
    <t>Hydro-FS-A 1/1 CRV 90-3 G2-B-200-16</t>
  </si>
  <si>
    <t>Hydro-FS-A 1/1 CRV 90-4-2 G2-B-200-16</t>
  </si>
  <si>
    <t>Hydro-FS-A 1/1 CRV 90-4 G2-B-200-16</t>
  </si>
  <si>
    <t>Hydro-FS-A 1/1 CRV 90-5-2 G2-B-200-16</t>
  </si>
  <si>
    <t>Hydro-FS-A 1/1 CRV 90-5 G2-B-200-25</t>
  </si>
  <si>
    <t>Hydro-FS-A 1/1 CRV 90-6-2 G2-B-200-25</t>
  </si>
  <si>
    <t>Hydro-FS-A 1/1 CRV 90-6 G2-B-200-25</t>
  </si>
  <si>
    <t>Hydro-FS-A 1/1 CRV 120-1 G2-B-200-16</t>
  </si>
  <si>
    <t>4 паза R11x45</t>
  </si>
  <si>
    <t>Hydro-FS-A 1/1 CRV 120-2-2 G2-B-200-16</t>
  </si>
  <si>
    <t>Hydro-FS-A 1/1 CRV 120-2-1 G2-B-200-16</t>
  </si>
  <si>
    <t>Hydro-FS-A 1/1 CRV 120-2 G2-B-200-16</t>
  </si>
  <si>
    <t>Hydro-FS-A 1/1 CRV 120-3-2 G2-B-200-16</t>
  </si>
  <si>
    <t>Hydro-FS-A 1/1 CRV 120-3-1 G2-B-200-16</t>
  </si>
  <si>
    <t>Hydro-FS-A 1/1 CRV 120-3 G2-B-200-16</t>
  </si>
  <si>
    <t>Hydro-FS-A 1/1 CRV 120-4-2 G2-B-200-16</t>
  </si>
  <si>
    <t>Hydro-FS-A 1/1 CRV 120-4-1 G2-B-200-16</t>
  </si>
  <si>
    <t>Hydro-FS-A 1/1 CRV 120-4 G2-B-200-16</t>
  </si>
  <si>
    <t>Hydro-FS-A 1/1 CRV 120-5-2 G2-B-200-16</t>
  </si>
  <si>
    <t>Hydro-FS-A 1/1 CRV 120-5-1 G2-B-200-16</t>
  </si>
  <si>
    <t>Hydro-FS-A 1/1 CRV 120-5 G2-B-200-16</t>
  </si>
  <si>
    <t>Hydro-FS-A 1/1 CRV 120-6-2 G2-B-200-16</t>
  </si>
  <si>
    <t>Hydro-FS-A 1/1 CRV 120-6-1 G2-B-200-16</t>
  </si>
  <si>
    <t>Hydro-FS-A 1/1 CRV 120-6 G2-B-200-16</t>
  </si>
  <si>
    <t>Hydro-FS-A 1/1 CRV 120-7-2 G2-B-200-25</t>
  </si>
  <si>
    <t>Hydro-FS-A 1/1 CRV 120-7-1 G2-B-200-25</t>
  </si>
  <si>
    <t>Hydro-FS-A 1/1 CRV 120-7 G2-B-200-25</t>
  </si>
  <si>
    <t>Hydro-FS-A 1/1 CRV 150-1-1 G2-B-200-16</t>
  </si>
  <si>
    <t>Hydro-FS-A 1/1 CRV 150-1 G2-B-200-16</t>
  </si>
  <si>
    <t>Hydro-FS-A 1/1 CRV 150-2-2 G2-B-200-16</t>
  </si>
  <si>
    <t>Hydro-FS-A 1/1 CRV 150-2-1 G2-B-200-16</t>
  </si>
  <si>
    <t>Hydro-FS-A 1/1 CRV 150-2 G2-B-200-16</t>
  </si>
  <si>
    <t>Hydro-FS-A 1/1 CRV 150-3-2 G2-B-200-16</t>
  </si>
  <si>
    <t>Hydro-FS-A 1/1 CRV 150-3-1 G2-B-200-16</t>
  </si>
  <si>
    <t>Hydro-FS-A 1/1 CRV 150-3 G2-B-200-16</t>
  </si>
  <si>
    <t>Hydro-FS-A 1/1 CRV 150-4-2 G2-B-200-16</t>
  </si>
  <si>
    <t>Hydro-FS-A 1/1 CRV 150-4-1 G2-B-200-16</t>
  </si>
  <si>
    <t>Hydro-FS-A 1/1 CRV 150-4 G2-B-200-16</t>
  </si>
  <si>
    <t>Hydro-FS-A 1/1 CRV 150-5-2 G2-B-200-16</t>
  </si>
  <si>
    <t>Hydro-FS-A 1/1 CRV 150-5-1 G2-B-200-16</t>
  </si>
  <si>
    <t>Hydro-FS-A 1/1 CRV 150-5 G2-B-200-16</t>
  </si>
  <si>
    <t>Hydro-FS-A 1/1 CRV 150-6-2 G2-B-200-25</t>
  </si>
  <si>
    <t>Hydro-FS-A 1/1 CRV 150-6-1 G2-B-200-25</t>
  </si>
  <si>
    <t>Hydro-FS-A 1/1 CRV 150-6 G2-B-200-25</t>
  </si>
  <si>
    <t>Hydro-FS-A 1/1 CRV 200-1-BI G2-B-200-16</t>
  </si>
  <si>
    <t>Hydro-FS-A 1/1 CRV 200-1-AI G2-B-200-16</t>
  </si>
  <si>
    <t>Hydro-FS-A 1/1 CRV 200-1 G2-B-200-16</t>
  </si>
  <si>
    <t>Hydro-FS-A 1/1 CRV 200-2-BI G2-B-200-16</t>
  </si>
  <si>
    <t>Hydro-FS-A 1/1 CRV 200-2-AI G2-B-200-16</t>
  </si>
  <si>
    <t>Hydro-FS-A 1/1 CRV 200-2-1-AI G2-B-200-16</t>
  </si>
  <si>
    <t>Hydro-FS-A 1/1 CRV 200-2 G2-B-200-16</t>
  </si>
  <si>
    <t>Hydro-FS-A 1/1 CRV 200-3-2-BI G2-B-200-16</t>
  </si>
  <si>
    <t>Hydro-FS-A 1/1 CRV 200-3-2-ABI G2-B-200-16</t>
  </si>
  <si>
    <t>Hydro-FS-A 1/1 CRV 200-3-2-AI G2-B-200-16</t>
  </si>
  <si>
    <t>Hydro-FS-A 1/1 CRV 200-3-1-BI G2-B-200-16</t>
  </si>
  <si>
    <t>Hydro-FS-A 1/1 CRV 200-3-1-AI G2-B-200-16</t>
  </si>
  <si>
    <t>Hydro-FS-A 1/1 CRV 200-3 G2-B-200-16</t>
  </si>
  <si>
    <t>Hydro-FS-A 1/1 CRV 200-4-2-BI G2-B-200-16</t>
  </si>
  <si>
    <t>Hydro-FS-A 1/1 CRV 200-4-2-AI G2-B-200-25</t>
  </si>
  <si>
    <t>Hydro-FS-A 1/1 CRV 200-4-1-AI G2-B-200-25</t>
  </si>
  <si>
    <t>Hydro-FS-A 1/1 CRV 200-4 G2-B-200-25</t>
  </si>
  <si>
    <t>Hydro-FS-A 1/1 CRV 320-1-1 G2-B-200-16</t>
  </si>
  <si>
    <t>Hydro-FS-A 1/1 CRV 320-1 G2-B-200-16</t>
  </si>
  <si>
    <t>Hydro-FS-A 1/1 CRV 320-2-2 G2-B-200-16</t>
  </si>
  <si>
    <t>Hydro-FS-A 1/1 CRV 320-2-1 G2-B-200-16</t>
  </si>
  <si>
    <t>Hydro-FS-A 1/1 CRV 320-2 G2-B-200-16</t>
  </si>
  <si>
    <t>Hydro-FS-A 1/1 CRV 320-3-2 G2-B-200-16</t>
  </si>
  <si>
    <t>Hydro-FS-A 1/1 CRV 320-3-1 G2-B-200-16</t>
  </si>
  <si>
    <t>Hydro-FS-A 2/1 CRV 10-1 G2-B-80-16</t>
  </si>
  <si>
    <t>нет</t>
  </si>
  <si>
    <t>16 отв. ø16</t>
  </si>
  <si>
    <t>Hydro-FS-A 2/1 CRV 10-2 G2-B-80-16</t>
  </si>
  <si>
    <t>Hydro-FS-A 2/1 CRV 10-3 G2-B-80-16</t>
  </si>
  <si>
    <t>Hydro-FS-A 2/1 CRV 10-4 G2-B-80-16</t>
  </si>
  <si>
    <t>Hydro-FS-A 2/1 CRV 10-5 G2-B-80-16</t>
  </si>
  <si>
    <t>Hydro-FS-A 2/1 CRV 10-6 G2-B-80-16</t>
  </si>
  <si>
    <t>Hydro-FS-A 2/1 CRV 10-9 G2-B-80-16</t>
  </si>
  <si>
    <t>Hydro-FS-A 2/1 CRV 10-12 G2-B-80-16</t>
  </si>
  <si>
    <t>Hydro-FS-A 2/1 CRV 10-14 G2-B-80-16</t>
  </si>
  <si>
    <t>Hydro-FS-A 2/1 CRV 10-16 G2-B-80-25</t>
  </si>
  <si>
    <t>Hydro-FS-A 2/1 CRV 10-18 G2-B-80-25</t>
  </si>
  <si>
    <t>Hydro-FS-A 2/1 CRV 10-20 G2-B-80-25</t>
  </si>
  <si>
    <t>Hydro-FS-A 2/1 CRV 10-22 G2-B-80-25</t>
  </si>
  <si>
    <t>Hydro-FS-A 2/1 CRV 15-1 G2-B-80-16</t>
  </si>
  <si>
    <t>Hydro-FS-A 2/1 CRV 15-2 G2-B-80-16</t>
  </si>
  <si>
    <t>Hydro-FS-A 2/1 CRV 15-3 G2-B-80-16</t>
  </si>
  <si>
    <t>Hydro-FS-A 2/1 CRV 15-4 G2-B-80-16</t>
  </si>
  <si>
    <t>Hydro-FS-A 2/1 CRV 15-5 G2-B-80-16</t>
  </si>
  <si>
    <t>Hydro-FS-A 2/1 CRV 15-6 G2-B-80-16</t>
  </si>
  <si>
    <t>Hydro-FS-A 2/1 CRV 15-7 G2-B-80-16</t>
  </si>
  <si>
    <t>Hydro-FS-A 2/1 CRV 15-8 G2-B-80-16</t>
  </si>
  <si>
    <t>Hydro-FS-A 2/1 CRV 15-9 G2-B-80-16</t>
  </si>
  <si>
    <t>Hydro-FS-A 2/1 CRV 15-10 G2-B-80-16</t>
  </si>
  <si>
    <t>Hydro-FS-A 2/1 CRV 15-12 G2-B-80-25</t>
  </si>
  <si>
    <t>Hydro-FS-A 2/1 CRV 15-14 G2-B-80-25</t>
  </si>
  <si>
    <t>Hydro-FS-A 2/1 CRV 15-17 G2-B-80-25</t>
  </si>
  <si>
    <t>Hydro-FS-A 2/1 CRV 20-1 G2-B-100-16</t>
  </si>
  <si>
    <t>Hydro-FS-A 2/1 CRV 20-2 G2-B-100-16</t>
  </si>
  <si>
    <t>Hydro-FS-A 2/1 CRV 20-3 G2-B-100-16</t>
  </si>
  <si>
    <t>Hydro-FS-A 2/1 CRV 20-4 G2-B-100-16</t>
  </si>
  <si>
    <t>Hydro-FS-A 2/1 CRV 20-5 G2-B-100-16</t>
  </si>
  <si>
    <t>Hydro-FS-A 2/1 CRV 20-6 G2-B-100-16</t>
  </si>
  <si>
    <t>Hydro-FS-A 2/1 CRV 20-7 G2-B-100-16</t>
  </si>
  <si>
    <t>Hydro-FS-A 2/1 CRV 20-8 G2-B-100-16</t>
  </si>
  <si>
    <t>Hydro-FS-A 2/1 CRV 20-10 G2-B-100-16</t>
  </si>
  <si>
    <t>Hydro-FS-A 2/1 CRV 20-12 G2-B-100-25</t>
  </si>
  <si>
    <t>Hydro-FS-A 2/1 CRV 20-14 G2-B-100-25</t>
  </si>
  <si>
    <t>Hydro-FS-A 2/1 CRV 20-17 G2-B-100-25</t>
  </si>
  <si>
    <t>Hydro-FS-A 2/1 CRV 32-1-1 G2-B-100-16</t>
  </si>
  <si>
    <t>Hydro-FS-A 2/1 CRV 32-1 G2-B-100-16</t>
  </si>
  <si>
    <t>Hydro-FS-A 2/1 CRV 32-2-2 G2-B-100-16</t>
  </si>
  <si>
    <t>Hydro-FS-A 2/1 CRV 32-2 G2-B-100-16</t>
  </si>
  <si>
    <t>Hydro-FS-A 2/1 CRV 32-3 G2-B-100-16</t>
  </si>
  <si>
    <t>Hydro-FS-A 2/1 CRV 32-4 G2-B-100-16</t>
  </si>
  <si>
    <t>Hydro-FS-A 2/1 CRV 32-5 G2-B-100-16</t>
  </si>
  <si>
    <t>Hydro-FS-A 2/1 CRV 32-6 G2-B-100-16</t>
  </si>
  <si>
    <t>Hydro-FS-A 2/1 CRV 32-7 G2-B-100-16</t>
  </si>
  <si>
    <t>Hydro-FS-A 2/1 CRV 32-8-2 G2-B-100-16</t>
  </si>
  <si>
    <t>Hydro-FS-A 2/1 CRV 32-8 G2-B-100-16</t>
  </si>
  <si>
    <t>Hydro-FS-A 2/1 CRV 32-9-2 G2-B-100-25</t>
  </si>
  <si>
    <t>Hydro-FS-A 2/1 CRV 32-9 G2-B-100-25</t>
  </si>
  <si>
    <t>Hydro-FS-A 2/1 CRV 32-10-2 G2-B-100-25</t>
  </si>
  <si>
    <t>Hydro-FS-A 2/1 CRV 32-10 G2-B-100-25</t>
  </si>
  <si>
    <t>Hydro-FS-A 2/1 CRV 32-11-2 G2-B-100-25</t>
  </si>
  <si>
    <t>Hydro-FS-A 2/1 CRV 32-11 G2-B-100-25</t>
  </si>
  <si>
    <t>Hydro-FS-A 2/1 CRV 32-12-2 G2-B-100-25</t>
  </si>
  <si>
    <t>Hydro-FS-A 2/1 CRV 32-12 G2-B-100-25</t>
  </si>
  <si>
    <t>Hydro-FS-A 2/1 CRV 32-13-2 G2-B-100-25</t>
  </si>
  <si>
    <t>Hydro-FS-A 2/1 CRV 32-13 G2-B-100-25</t>
  </si>
  <si>
    <t>Hydro-FS-A 2/1 CRV 32-14-2 G2-B-100-25</t>
  </si>
  <si>
    <t>Hydro-FS-A 2/1 CRV 32-14 G2-B-100-25</t>
  </si>
  <si>
    <t>Hydro-FS-A 2/1 CRV 45-1 G2-B-150-16</t>
  </si>
  <si>
    <t>Hydro-FS-A 2/1 CRV 45-2-2 G2-B-150-16</t>
  </si>
  <si>
    <t>Hydro-FS-A 2/1 CRV 45-2 G2-B-150-16</t>
  </si>
  <si>
    <t>Hydro-FS-A 2/1 CRV 45-3-2 G2-B-150-16</t>
  </si>
  <si>
    <t>Hydro-FS-A 2/1 CRV 45-3 G2-B-150-16</t>
  </si>
  <si>
    <t>Hydro-FS-A 2/1 CRV 45-4 G2-B-150-16</t>
  </si>
  <si>
    <t>Hydro-FS-A 2/1 CRV 45-5 G2-B-150-16</t>
  </si>
  <si>
    <t>Hydro-FS-A 2/1 CRV 45-6-2 G2-B-150-16</t>
  </si>
  <si>
    <t>Hydro-FS-A 2/1 CRV 45-6 G2-B-150-25</t>
  </si>
  <si>
    <t>Hydro-FS-A 2/1 CRV 45-7-2 G2-B-150-25</t>
  </si>
  <si>
    <t>Hydro-FS-A 2/1 CRV 45-7 G2-B-150-25</t>
  </si>
  <si>
    <t>Hydro-FS-A 2/1 CRV 45-8-2 G2-B-150-25</t>
  </si>
  <si>
    <t>Hydro-FS-A 2/1 CRV 45-8 G2-B-150-25</t>
  </si>
  <si>
    <t>Hydro-FS-A 2/1 CRV 45-9-2 G2-B-150-25</t>
  </si>
  <si>
    <t>Hydro-FS-A 2/1 CRV 45-9 G2-B-150-25</t>
  </si>
  <si>
    <t>Hydro-FS-A 2/1 CRV 45-10-2 G2-B-150-25</t>
  </si>
  <si>
    <t>Hydro-FS-A 2/1 CRV 45-10 G2-B-150-25</t>
  </si>
  <si>
    <t>Hydro-FS-A 2/1 CRV 45-11-2 G2-B-150-25</t>
  </si>
  <si>
    <t>Hydro-FS-A 2/1 CRV 45-11 G2-B-150-25</t>
  </si>
  <si>
    <t>Hydro-FS-A 2/1 CRV 45-12-2 G2-B-150-25</t>
  </si>
  <si>
    <t>Hydro-FS-A 2/1 CRV 45-12 G2-B-150-25</t>
  </si>
  <si>
    <t>Hydro-FS-A 2/1 CRV 45-13-2 G2-B-150-25</t>
  </si>
  <si>
    <t>Hydro-FS-A 2/1 CRV 64-1 G2-B-200-16</t>
  </si>
  <si>
    <t>Hydro-FS-A 2/1 CRV 64-2-2 G2-B-200-16</t>
  </si>
  <si>
    <t>Hydro-FS-A 2/1 CRV 64-2 G2-B-200-16</t>
  </si>
  <si>
    <t>Hydro-FS-A 2/1 CRV 64-3 G2-B-200-16</t>
  </si>
  <si>
    <t>Hydro-FS-A 2/1 CRV 64-4-2 G2-B-200-16</t>
  </si>
  <si>
    <t>Hydro-FS-A 2/1 CRV 64-4-1 G2-B-200-16</t>
  </si>
  <si>
    <t>Hydro-FS-A 2/1 CRV 64-4 G2-B-200-16</t>
  </si>
  <si>
    <t>Hydro-FS-A 2/1 CRV 64-5-2 G2-B-200-16</t>
  </si>
  <si>
    <t>Hydro-FS-A 2/1 CRV 64-5-1 G2-B-200-16</t>
  </si>
  <si>
    <t>Hydro-FS-A 2/1 CRV 64-5 G2-B-200-16</t>
  </si>
  <si>
    <t>Hydro-FS-A 2/1 CRV 64-6-2 G2-B-200-25</t>
  </si>
  <si>
    <t>Hydro-FS-A 2/1 CRV 64-6-1 G2-B-200-25</t>
  </si>
  <si>
    <t>Hydro-FS-A 2/1 CRV 64-6 G2-B-200-25</t>
  </si>
  <si>
    <t>Hydro-FS-A 2/1 CRV 64-7-2 G2-B-200-25</t>
  </si>
  <si>
    <t>Hydro-FS-A 2/1 CRV 64-7-1 G2-B-200-25</t>
  </si>
  <si>
    <t>Hydro-FS-A 2/1 CRV 64-7 G2-B-200-25</t>
  </si>
  <si>
    <t>Hydro-FS-A 2/1 CRV 64-8-2 G2-B-200-25</t>
  </si>
  <si>
    <t>Hydro-FS-A 2/1 CRV 64-8-1 G2-B-200-25</t>
  </si>
  <si>
    <t>Hydro-FS-A 2/1 CRV 90-1-1 G2-B-200-16</t>
  </si>
  <si>
    <t>Hydro-FS-A 2/1 CRV 90-1 G2-B-200-16</t>
  </si>
  <si>
    <t>Hydro-FS-A 2/1 CRV 90-2-2 G2-B-200-16</t>
  </si>
  <si>
    <t>Hydro-FS-A 2/1 CRV 90-2 G2-B-200-16</t>
  </si>
  <si>
    <t>Hydro-FS-A 2/1 CRV 90-3-2 G2-B-200-16</t>
  </si>
  <si>
    <t>Hydro-FS-A 2/1 CRV 90-3 G2-B-200-16</t>
  </si>
  <si>
    <t>Hydro-FS-A 2/1 CRV 90-4-2 G2-B-200-16</t>
  </si>
  <si>
    <t>Hydro-FS-A 2/1 CRV 90-4 G2-B-200-16</t>
  </si>
  <si>
    <t>Hydro-FS-A 2/1 CRV 90-5-2 G2-B-200-16</t>
  </si>
  <si>
    <t>Hydro-FS-A 2/1 CRV 90-5 G2-B-200-25</t>
  </si>
  <si>
    <t>Hydro-FS-A 2/1 CRV 90-6-2 G2-B-200-25</t>
  </si>
  <si>
    <t>Hydro-FS-A 2/1 CRV 90-6 G2-B-200-25</t>
  </si>
  <si>
    <t>Hydro-FS-A 2/1 CRV 120-1 G2-B-200-16</t>
  </si>
  <si>
    <t>Hydro-FS-A 2/1 CRV 120-2-2 G2-B-200-16</t>
  </si>
  <si>
    <t>Hydro-FS-A 2/1 CRV 120-2-1 G2-B-200-16</t>
  </si>
  <si>
    <t>Hydro-FS-A 2/1 CRV 120-2 G2-B-200-16</t>
  </si>
  <si>
    <t>Hydro-FS-A 2/1 CRV 120-3-2 G2-B-200-16</t>
  </si>
  <si>
    <t>Hydro-FS-A 2/1 CRV 120-3-1 G2-B-200-16</t>
  </si>
  <si>
    <t>Hydro-FS-A 2/1 CRV 120-3 G2-B-200-16</t>
  </si>
  <si>
    <t>Hydro-FS-A 2/1 CRV 120-4-2 G2-B-200-16</t>
  </si>
  <si>
    <t>Hydro-FS-A 2/1 CRV 120-4-1 G2-B-200-16</t>
  </si>
  <si>
    <t>Hydro-FS-A 2/1 CRV 120-4 G2-B-200-16</t>
  </si>
  <si>
    <t>Hydro-FS-A 2/1 CRV 120-5-2 G2-B-200-16</t>
  </si>
  <si>
    <t>Hydro-FS-A 2/1 CRV 120-5-1 G2-B-200-16</t>
  </si>
  <si>
    <t>Hydro-FS-A 2/1 CRV 120-5 G2-B-200-16</t>
  </si>
  <si>
    <t>Hydro-FS-A 2/1 CRV 120-6-2 G2-B-200-16</t>
  </si>
  <si>
    <t>Hydro-FS-A 2/1 CRV 120-6-1 G2-B-200-16</t>
  </si>
  <si>
    <t>Hydro-FS-A 2/1 CRV 120-6 G2-B-200-16</t>
  </si>
  <si>
    <t>Hydro-FS-A 2/1 CRV 120-7-2 G2-B-200-25</t>
  </si>
  <si>
    <t>Hydro-FS-A 2/1 CRV 120-7-1 G2-B-200-25</t>
  </si>
  <si>
    <t>Hydro-FS-A 2/1 CRV 120-7 G2-B-200-25</t>
  </si>
  <si>
    <t>Hydro-FS-A 2/1 CRV 150-1-1 G2-B-200-16</t>
  </si>
  <si>
    <t>Hydro-FS-A 2/1 CRV 150-1 G2-B-200-16</t>
  </si>
  <si>
    <t>Hydro-FS-A 2/1 CRV 150-2-2 G2-B-200-16</t>
  </si>
  <si>
    <t>Hydro-FS-A 2/1 CRV 150-2-1 G2-B-200-16</t>
  </si>
  <si>
    <t>Hydro-FS-A 2/1 CRV 150-2 G2-B-200-16</t>
  </si>
  <si>
    <t>Hydro-FS-A 2/1 CRV 150-3-2 G2-B-200-16</t>
  </si>
  <si>
    <t>Hydro-FS-A 2/1 CRV 150-3-1 G2-B-200-16</t>
  </si>
  <si>
    <t>Hydro-FS-A 2/1 CRV 150-3 G2-B-200-16</t>
  </si>
  <si>
    <t>Hydro-FS-A 2/1 CRV 150-4-2 G2-B-200-16</t>
  </si>
  <si>
    <t>Hydro-FS-A 2/1 CRV 150-4-1 G2-B-200-16</t>
  </si>
  <si>
    <t>Hydro-FS-A 2/1 CRV 150-4 G2-B-200-16</t>
  </si>
  <si>
    <t>Hydro-FS-A 2/1 CRV 150-5-2 G2-B-200-16</t>
  </si>
  <si>
    <t>Hydro-FS-A 2/1 CRV 150-5-1 G2-B-200-16</t>
  </si>
  <si>
    <t>Hydro-FS-A 2/1 CRV 150-5 G2-B-200-16</t>
  </si>
  <si>
    <t>Hydro-FS-A 2/1 CRV 150-6-2 G2-B-200-25</t>
  </si>
  <si>
    <t>Hydro-FS-A 2/1 CRV 150-6-1 G2-B-200-25</t>
  </si>
  <si>
    <t>Hydro-FS-A 2/1 CRV 150-6 G2-B-200-25</t>
  </si>
  <si>
    <t>Hydro-FS-A 2/1 CRV 200-1-BI G2-B-250-16</t>
  </si>
  <si>
    <t>Hydro-FS-A 2/1 CRV 200-1-AI G2-B-250-16</t>
  </si>
  <si>
    <t>Hydro-FS-A 2/1 CRV 200-1 G2-B-250-16</t>
  </si>
  <si>
    <t>Hydro-FS-A 2/1 CRV 200-2-BI G2-B-250-16</t>
  </si>
  <si>
    <t>Hydro-FS-A 2/1 CRV 200-2-AI G2-B-250-16</t>
  </si>
  <si>
    <t>Hydro-FS-A 2/1 CRV 200-2-1-AI G2-B-250-16</t>
  </si>
  <si>
    <t>Hydro-FS-A 2/1 CRV 200-2 G2-B-250-16</t>
  </si>
  <si>
    <t>Hydro-FS-A 2/1 CRV 200-3-2-BI G2-B-250-16</t>
  </si>
  <si>
    <t>Hydro-FS-A 2/1 CRV 200-3-2-ABI G2-B-250-16</t>
  </si>
  <si>
    <t>Hydro-FS-A 2/1 CRV 200-3-2-AI G2-B-250-16</t>
  </si>
  <si>
    <t>Hydro-FS-A 2/1 CRV 200-3-1-BI G2-B-250-16</t>
  </si>
  <si>
    <t>Hydro-FS-A 2/1 CRV 200-3-1-AI G2-B-250-16</t>
  </si>
  <si>
    <t>Hydro-FS-A 2/1 CRV 200-3 G2-B-250-16</t>
  </si>
  <si>
    <t>Hydro-FS-A 2/1 CRV 200-4-2-BI G2-B-250-16</t>
  </si>
  <si>
    <t>Hydro-FS-A 2/1 CRV 200-4-2-AI G2-B-250-25</t>
  </si>
  <si>
    <t>Hydro-FS-A 2/1 CRV 200-4-1-AI G2-B-250-25</t>
  </si>
  <si>
    <t>Hydro-FS-A 2/1 CRV 200-4 G2-B-250-25</t>
  </si>
  <si>
    <t>Hydro-FS-A 2/1 CRV 320-1-1 G2-B-300-16</t>
  </si>
  <si>
    <t>Hydro-FS-A 2/1 CRV 320-1 G2-B-300-16</t>
  </si>
  <si>
    <t>Hydro-FS-A 2/1 CRV 320-2-2 G2-B-300-16</t>
  </si>
  <si>
    <t>Hydro-FS-A 2/1 CRV 320-2-1 G2-B-300-16</t>
  </si>
  <si>
    <t>Hydro-FS-A 2/1 CRV 320-2 G2-B-300-16</t>
  </si>
  <si>
    <t>Hydro-FS-A 2/1 CRV 320-3-2 G2-B-300-16</t>
  </si>
  <si>
    <t>Hydro-FS-A 2/1 CRV 320-3-1 G2-B-300-16</t>
  </si>
  <si>
    <t>Наименование продукта: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</si>
  <si>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</si>
  <si>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</si>
  <si>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</si>
  <si>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</si>
  <si>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</si>
  <si>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</si>
  <si>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</si>
  <si>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</si>
  <si>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</si>
  <si>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</si>
  <si>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</si>
  <si>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</si>
  <si>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</si>
  <si>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</si>
  <si>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</si>
  <si>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</si>
  <si>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</si>
  <si>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</si>
  <si>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</si>
  <si>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</si>
  <si>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P1</t>
  </si>
  <si>
    <t>P3</t>
  </si>
  <si>
    <t>P4</t>
  </si>
  <si>
    <t>P5</t>
  </si>
  <si>
    <t>P6</t>
  </si>
  <si>
    <t>P7</t>
  </si>
  <si>
    <t>P8</t>
  </si>
  <si>
    <t>P9</t>
  </si>
  <si>
    <t>P10</t>
  </si>
  <si>
    <t>NPSH1</t>
  </si>
  <si>
    <t>NPSH2</t>
  </si>
  <si>
    <t>NPSH3</t>
  </si>
  <si>
    <t>NPSH4</t>
  </si>
  <si>
    <t>NPSH5</t>
  </si>
  <si>
    <t>NPSH6</t>
  </si>
  <si>
    <t>NPSH7</t>
  </si>
  <si>
    <t>NPSH8</t>
  </si>
  <si>
    <t>NPSH9</t>
  </si>
  <si>
    <t>NPSH10</t>
  </si>
  <si>
    <t>КПД1</t>
  </si>
  <si>
    <t>КПД2</t>
  </si>
  <si>
    <t>КПД3</t>
  </si>
  <si>
    <t>КПД4</t>
  </si>
  <si>
    <t>КПД5</t>
  </si>
  <si>
    <t>КПД6</t>
  </si>
  <si>
    <t>КПД7</t>
  </si>
  <si>
    <t>КПД8</t>
  </si>
  <si>
    <t>КПД9</t>
  </si>
  <si>
    <t>КПД10</t>
  </si>
  <si>
    <t>B1</t>
  </si>
  <si>
    <t>B2</t>
  </si>
  <si>
    <t>D1</t>
  </si>
  <si>
    <t>D2</t>
  </si>
  <si>
    <t>D3</t>
  </si>
  <si>
    <t>D4</t>
  </si>
  <si>
    <t>D5</t>
  </si>
  <si>
    <t>D6</t>
  </si>
  <si>
    <t>a1</t>
  </si>
  <si>
    <t>a2</t>
  </si>
  <si>
    <t>a3</t>
  </si>
  <si>
    <t>a4</t>
  </si>
  <si>
    <t>a5</t>
  </si>
  <si>
    <t>Hh1</t>
  </si>
  <si>
    <t>Hh2</t>
  </si>
  <si>
    <t>nxd1</t>
  </si>
  <si>
    <t>nxd2</t>
  </si>
  <si>
    <t>Давл, бар</t>
  </si>
  <si>
    <t>Вход</t>
  </si>
  <si>
    <t>Выход</t>
  </si>
  <si>
    <t>P2, кВт</t>
  </si>
  <si>
    <t>I, А △</t>
  </si>
  <si>
    <t>I, А Y</t>
  </si>
  <si>
    <t>pole</t>
  </si>
  <si>
    <t>Вес (Нетто), кг</t>
  </si>
  <si>
    <t>CRV 1-2C</t>
  </si>
  <si>
    <t>ø32</t>
  </si>
  <si>
    <t>ø89</t>
  </si>
  <si>
    <t>ø140</t>
  </si>
  <si>
    <t>ø100</t>
  </si>
  <si>
    <t>4х19х24,5</t>
  </si>
  <si>
    <t>4хø13</t>
  </si>
  <si>
    <t>DN 25/32</t>
  </si>
  <si>
    <t>CRV 1-2C A-D-E-HQQE-E</t>
  </si>
  <si>
    <t>CRV 1-3C</t>
  </si>
  <si>
    <t>CRV 1-3C A-D-E-HQQE-E</t>
  </si>
  <si>
    <t>CRV 1-4C</t>
  </si>
  <si>
    <t>CRV 1-4C A-D-E-HQQE-E</t>
  </si>
  <si>
    <t>CRV 1-5C</t>
  </si>
  <si>
    <t>CRV 1-5C A-D-E-HQQE-E</t>
  </si>
  <si>
    <t>CRV 1-6C</t>
  </si>
  <si>
    <t>CRV 1-6C A-D-E-HQQE-E</t>
  </si>
  <si>
    <t>CRV 1-7C</t>
  </si>
  <si>
    <t>CRV 1-7C A-D-E-HQQE-E</t>
  </si>
  <si>
    <t>CRV 1-8C</t>
  </si>
  <si>
    <t>CRV 1-8C A-D-E-HQQE-E</t>
  </si>
  <si>
    <t>CRV 1-9C</t>
  </si>
  <si>
    <t>CRV 1-9C A-D-E-HQQE-E</t>
  </si>
  <si>
    <t>CRV 1-10C</t>
  </si>
  <si>
    <t>CRV 1-10C A-D-E-HQQE-E</t>
  </si>
  <si>
    <t>CRV 1-11C</t>
  </si>
  <si>
    <t>CRV 1-11C A-D-E-HQQE-E</t>
  </si>
  <si>
    <t>CRV 1-12C</t>
  </si>
  <si>
    <t>CRV 1-12C A-D-E-HQQE-E</t>
  </si>
  <si>
    <t>CRV 1-13C</t>
  </si>
  <si>
    <t>CRV 1-13C A-D-E-HQQE-E</t>
  </si>
  <si>
    <t>CRV 1-15C</t>
  </si>
  <si>
    <t>CRV 1-15C A-D-E-HQQE-E</t>
  </si>
  <si>
    <t>CRV 1-17C</t>
  </si>
  <si>
    <t>CRV 1-17C A-D-E-HQQE-E</t>
  </si>
  <si>
    <t>CRV 1-19C</t>
  </si>
  <si>
    <t>CRV 1-19C A-D-E-HQQE-E</t>
  </si>
  <si>
    <t>CRV 1-21C</t>
  </si>
  <si>
    <t>CRV 1-21C A-D-E-HQQE-E</t>
  </si>
  <si>
    <t>CRV 1-23C</t>
  </si>
  <si>
    <t>CRV 1-23C A-D-E-HQQE-E</t>
  </si>
  <si>
    <t>CRV 1-25C</t>
  </si>
  <si>
    <t>CRV 1-25C A-D-E-HQQE-E</t>
  </si>
  <si>
    <t>CRV 1-27C</t>
  </si>
  <si>
    <t>CRV 1-27C A-D-E-HQQE-E</t>
  </si>
  <si>
    <t>CRV 1-30C</t>
  </si>
  <si>
    <t>CRV 1-30C A-D-E-HQQE-E</t>
  </si>
  <si>
    <t>CRV 1-33C</t>
  </si>
  <si>
    <t>CRV 1-33C A-D-E-HQQE-E</t>
  </si>
  <si>
    <t>CRV 1-36C</t>
  </si>
  <si>
    <t>CRV 1-36C A-D-E-HQQE-E</t>
  </si>
  <si>
    <t>CRV 3-2C</t>
  </si>
  <si>
    <t>CRV 3-2C A-D-E-HQQE-E</t>
  </si>
  <si>
    <t>CRV 3-3C</t>
  </si>
  <si>
    <t>CRV 3-3C A-D-E-HQQE-E</t>
  </si>
  <si>
    <t>CRV 3-4C</t>
  </si>
  <si>
    <t>CRV 3-4C A-D-E-HQQE-E</t>
  </si>
  <si>
    <t>CRV 3-5C</t>
  </si>
  <si>
    <t>CRV 3-5C A-D-E-HQQE-E</t>
  </si>
  <si>
    <t>CRV 3-6C</t>
  </si>
  <si>
    <t>CRV 3-6C A-D-E-HQQE-E</t>
  </si>
  <si>
    <t>CRV 3-7C</t>
  </si>
  <si>
    <t>CRV 3-7C A-D-E-HQQE-E</t>
  </si>
  <si>
    <t>CRV 3-8C</t>
  </si>
  <si>
    <t>CRV 3-8C A-D-E-HQQE-E</t>
  </si>
  <si>
    <t>CRV 3-9C</t>
  </si>
  <si>
    <t>CRV 3-9C A-D-E-HQQE-E</t>
  </si>
  <si>
    <t>CRV 3-10C</t>
  </si>
  <si>
    <t>CRV 3-10C A-D-E-HQQE-E</t>
  </si>
  <si>
    <t>CRV 3-11C</t>
  </si>
  <si>
    <t>CRV 3-11C A-D-E-HQQE-E</t>
  </si>
  <si>
    <t>CRV 3-12C</t>
  </si>
  <si>
    <t>CRV 3-12C A-D-E-HQQE-E</t>
  </si>
  <si>
    <t>CRV 3-13C</t>
  </si>
  <si>
    <t>CRV 3-13C A-D-E-HQQE-E</t>
  </si>
  <si>
    <t>CRV 3-15C</t>
  </si>
  <si>
    <t>CRV 3-15C A-D-E-HQQE-E</t>
  </si>
  <si>
    <t>CRV 3-17C</t>
  </si>
  <si>
    <t>CRV 3-17C A-D-E-HQQE-E</t>
  </si>
  <si>
    <t>CRV 3-19C</t>
  </si>
  <si>
    <t>CRV 3-19C A-D-E-HQQE-E</t>
  </si>
  <si>
    <t>CRV 3-21C</t>
  </si>
  <si>
    <t>CRV 3-21C A-D-E-HQQE-E</t>
  </si>
  <si>
    <t>CRV 3-23C</t>
  </si>
  <si>
    <t>CRV 3-23C A-D-E-HQQE-E</t>
  </si>
  <si>
    <t>CRV 3-25C</t>
  </si>
  <si>
    <t>CRV 3-25C A-D-E-HQQE-E</t>
  </si>
  <si>
    <t>CRV 3-27C</t>
  </si>
  <si>
    <t>CRV 3-27C A-D-E-HQQE-E</t>
  </si>
  <si>
    <t>CRV 3-29C</t>
  </si>
  <si>
    <t>CRV 3-29C A-D-E-HQQE-E</t>
  </si>
  <si>
    <t>CRV 3-31C</t>
  </si>
  <si>
    <t>CRV 3-31C A-D-E-HQQE-E</t>
  </si>
  <si>
    <t>CRV 3-33C</t>
  </si>
  <si>
    <t>CRV 3-33C A-D-E-HQQE-E</t>
  </si>
  <si>
    <t>CRV 3-36C</t>
  </si>
  <si>
    <t>CRV 3-36C A-D-E-HQQE-E</t>
  </si>
  <si>
    <t>CRV 5-2C</t>
  </si>
  <si>
    <t>CRV 5-2C A-D-E-HQQE-E</t>
  </si>
  <si>
    <t>CRV 5-3C</t>
  </si>
  <si>
    <t>CRV 5-3C A-D-E-HQQE-E</t>
  </si>
  <si>
    <t>CRV 5-4C</t>
  </si>
  <si>
    <t>CRV 5-4C A-D-E-HQQE-E</t>
  </si>
  <si>
    <t>CRV 5-5C</t>
  </si>
  <si>
    <t>CRV 5-5C A-D-E-HQQE-E</t>
  </si>
  <si>
    <t>CRV 5-6C</t>
  </si>
  <si>
    <t>CRV 5-6C A-D-E-HQQE-E</t>
  </si>
  <si>
    <t>CRV 5-7C</t>
  </si>
  <si>
    <t>CRV 5-7C A-D-E-HQQE-E</t>
  </si>
  <si>
    <t>CRV 5-8C</t>
  </si>
  <si>
    <t>CRV 5-8C A-D-E-HQQE-E</t>
  </si>
  <si>
    <t>CRV 5-9C</t>
  </si>
  <si>
    <t>CRV 5-9C A-D-E-HQQE-E</t>
  </si>
  <si>
    <t>CRV 5-10C</t>
  </si>
  <si>
    <t>CRV 5-10C A-D-E-HQQE-E</t>
  </si>
  <si>
    <t>CRV 5-11C</t>
  </si>
  <si>
    <t>CRV 5-11C A-D-E-HQQE-E</t>
  </si>
  <si>
    <t>CRV 5-12C</t>
  </si>
  <si>
    <t>CRV 5-12C A-D-E-HQQE-E</t>
  </si>
  <si>
    <t>CRV 5-13C</t>
  </si>
  <si>
    <t>CRV 5-13C A-D-E-HQQE-E</t>
  </si>
  <si>
    <t>CRV 5-14C</t>
  </si>
  <si>
    <t>CRV 5-14C A-D-E-HQQE-E</t>
  </si>
  <si>
    <t>CRV 5-15C</t>
  </si>
  <si>
    <t>CRV 5-15C A-D-E-HQQE-E</t>
  </si>
  <si>
    <t>CRV 5-16C</t>
  </si>
  <si>
    <t>CRV 5-16C A-D-E-HQQE-E</t>
  </si>
  <si>
    <t>CRV 5-18C</t>
  </si>
  <si>
    <t>CRV 5-18C A-D-E-HQQE-E</t>
  </si>
  <si>
    <t>CRV 5-20C</t>
  </si>
  <si>
    <t>CRV 5-20C A-D-E-HQQE-E</t>
  </si>
  <si>
    <t>CRV 5-22C</t>
  </si>
  <si>
    <t>CRV 5-22C A-D-E-HQQE-E</t>
  </si>
  <si>
    <t>CRV 5-24C</t>
  </si>
  <si>
    <t>CRV 5-24C A-D-E-HQQE-E</t>
  </si>
  <si>
    <t>CRV 5-26C</t>
  </si>
  <si>
    <t>CRV 5-26C A-D-E-HQQE-E</t>
  </si>
  <si>
    <t>CRV 5-29C</t>
  </si>
  <si>
    <t>CRV 5-29C A-D-E-HQQE-E</t>
  </si>
  <si>
    <t>CRV 5-32C</t>
  </si>
  <si>
    <t>CRV 5-32C A-D-E-HQQE-E</t>
  </si>
  <si>
    <t>CRV 5-36C</t>
  </si>
  <si>
    <t>CRV 5-36C A-D-E-HQQE-E</t>
  </si>
  <si>
    <t>CRV 10-1C</t>
  </si>
  <si>
    <t>Ø42</t>
  </si>
  <si>
    <t>Ø110</t>
  </si>
  <si>
    <t>Ø150</t>
  </si>
  <si>
    <t>Ø115</t>
  </si>
  <si>
    <t>4х18х20,5</t>
  </si>
  <si>
    <t>4xØ14</t>
  </si>
  <si>
    <t>DN 40</t>
  </si>
  <si>
    <t>CRV 10-1C A-D-E-HQQE-E</t>
  </si>
  <si>
    <t>CRV 10-2C</t>
  </si>
  <si>
    <t>CRV 10-2C A-D-E-HQQE-E</t>
  </si>
  <si>
    <t>CRV 10-3C</t>
  </si>
  <si>
    <t>CRV 10-3C A-D-E-HQQE-E</t>
  </si>
  <si>
    <t>CRV 10-4C</t>
  </si>
  <si>
    <t>CRV 10-4C A-D-E-HQQE-E</t>
  </si>
  <si>
    <t>CRV 10-5C</t>
  </si>
  <si>
    <t>CRV 10-5C A-D-E-HQQE-E</t>
  </si>
  <si>
    <t>CRV 10-6C</t>
  </si>
  <si>
    <t>CRV 10-6C A-D-E-HQQE-E</t>
  </si>
  <si>
    <t>CRV 10-7C</t>
  </si>
  <si>
    <t>CRV 10-7C A-D-E-HQQE-E</t>
  </si>
  <si>
    <t>CRV 10-8C</t>
  </si>
  <si>
    <t>CRV 10-8C A-D-E-HQQE-E</t>
  </si>
  <si>
    <t>CRV 10-9C</t>
  </si>
  <si>
    <t>CRV 10-9C A-D-E-HQQE-E</t>
  </si>
  <si>
    <t>CRV 10-10C</t>
  </si>
  <si>
    <t>CRV 10-10C A-D-E-HQQE-E</t>
  </si>
  <si>
    <t>CRV 10-12C</t>
  </si>
  <si>
    <t>CRV 10-12C A-D-E-HQQE-E</t>
  </si>
  <si>
    <t>CRV 10-14C</t>
  </si>
  <si>
    <t>CRV 10-14C A-D-E-HQQE-E</t>
  </si>
  <si>
    <t>CRV 10-16C</t>
  </si>
  <si>
    <t>CRV 10-16C A-D-E-HQQE-E</t>
  </si>
  <si>
    <t>CRV 10-18C</t>
  </si>
  <si>
    <t>CRV 10-18C A-D-E-HQQE-E</t>
  </si>
  <si>
    <t>CRV 10-20C</t>
  </si>
  <si>
    <t>CRV 10-20C A-D-E-HQQE-E</t>
  </si>
  <si>
    <t>CRV 10-22C</t>
  </si>
  <si>
    <t>CRV 10-22C A-D-E-HQQE-E</t>
  </si>
  <si>
    <t>CRV 15-1C</t>
  </si>
  <si>
    <t>Ø50</t>
  </si>
  <si>
    <t>Ø120</t>
  </si>
  <si>
    <t>Ø165</t>
  </si>
  <si>
    <t>Ø127</t>
  </si>
  <si>
    <t>8х18х21,5</t>
  </si>
  <si>
    <t>DN 50</t>
  </si>
  <si>
    <t>CRV 15-1C A-D-E-HQQE-E</t>
  </si>
  <si>
    <t>CRV 15-2C</t>
  </si>
  <si>
    <t>CRV 15-2C A-D-E-HQQE-E</t>
  </si>
  <si>
    <t>CRV 15-3C</t>
  </si>
  <si>
    <t>CRV 15-3C A-D-E-HQQE-E</t>
  </si>
  <si>
    <t>CRV 15-4C</t>
  </si>
  <si>
    <t>CRV 15-4C A-D-E-HQQE-E</t>
  </si>
  <si>
    <t>CRV 15-5C</t>
  </si>
  <si>
    <t>CRV 15-5C A-D-E-HQQE-E</t>
  </si>
  <si>
    <t>CRV 15-6C</t>
  </si>
  <si>
    <t>CRV 15-6C A-D-E-HQQE-E</t>
  </si>
  <si>
    <t>CRV 15-7C</t>
  </si>
  <si>
    <t>CRV 15-7C A-D-E-HQQE-E</t>
  </si>
  <si>
    <t>CRV 15-8C</t>
  </si>
  <si>
    <t>CRV 15-8C A-D-E-HQQE-E</t>
  </si>
  <si>
    <t>CRV 15-9C</t>
  </si>
  <si>
    <t>CRV 15-9C A-D-E-HQQE-E</t>
  </si>
  <si>
    <t>CRV 15-10C</t>
  </si>
  <si>
    <t>CRV 15-10C A-D-E-HQQE-E</t>
  </si>
  <si>
    <t>CRV 15-12C</t>
  </si>
  <si>
    <t>CRV 15-12C A-D-E-HQQE-E</t>
  </si>
  <si>
    <t>CRV 15-14C</t>
  </si>
  <si>
    <t>CRV 15-14C A-D-E-HQQE-E</t>
  </si>
  <si>
    <t>CRV 15-17C</t>
  </si>
  <si>
    <t>CRV 15-17C A-D-E-HQQE-E</t>
  </si>
  <si>
    <t>CRV 20-1C</t>
  </si>
  <si>
    <t>CRV 20-1C A-D-E-HQQE-E</t>
  </si>
  <si>
    <t>CRV 20-2C</t>
  </si>
  <si>
    <t>CRV 20-2C A-D-E-HQQE-E</t>
  </si>
  <si>
    <t>CRV 20-3C</t>
  </si>
  <si>
    <t>CRV 20-3C A-D-E-HQQE-E</t>
  </si>
  <si>
    <t>CRV 20-4C</t>
  </si>
  <si>
    <t>CRV 20-4C A-D-E-HQQE-E</t>
  </si>
  <si>
    <t>CRV 20-5C</t>
  </si>
  <si>
    <t>CRV 20-5C A-D-E-HQQE-E</t>
  </si>
  <si>
    <t>CRV 20-6C</t>
  </si>
  <si>
    <t>CRV 20-6C A-D-E-HQQE-E</t>
  </si>
  <si>
    <t>CRV 20-7C</t>
  </si>
  <si>
    <t>CRV 20-7C A-D-E-HQQE-E</t>
  </si>
  <si>
    <t>CRV 20-8C</t>
  </si>
  <si>
    <t>CRV 20-8C A-D-E-HQQE-E</t>
  </si>
  <si>
    <t>CRV 20-10C</t>
  </si>
  <si>
    <t>CRV 20-10C A-D-E-HQQE-E</t>
  </si>
  <si>
    <t>CRV 20-12C</t>
  </si>
  <si>
    <t>CRV 20-12C A-D-E-HQQE-E</t>
  </si>
  <si>
    <t>CRV 20-14C</t>
  </si>
  <si>
    <t>CRV 20-14C A-D-E-HQQE-E</t>
  </si>
  <si>
    <t>CRV 20-17C</t>
  </si>
  <si>
    <t>CRV 20-17C A-D-E-HQQE-E</t>
  </si>
  <si>
    <t>CRV 32-1-1C</t>
  </si>
  <si>
    <t>Ø65</t>
  </si>
  <si>
    <t>Ø145</t>
  </si>
  <si>
    <t>Ø187</t>
  </si>
  <si>
    <t>8xØ18</t>
  </si>
  <si>
    <t>DN 65</t>
  </si>
  <si>
    <t>CRV 32-1-1C A-D-E-HQQE-E</t>
  </si>
  <si>
    <t>CRV 32-1C</t>
  </si>
  <si>
    <t>CRV 32-1C A-D-E-HQQE-E</t>
  </si>
  <si>
    <t>CRV 32-2-2C</t>
  </si>
  <si>
    <t>CRV 32-2-2C A-D-E-HQQE-E</t>
  </si>
  <si>
    <t>CRV 32-2C</t>
  </si>
  <si>
    <t>CRV 32-2C A-D-E-HQQE-E</t>
  </si>
  <si>
    <t>CRV 32-3-2C</t>
  </si>
  <si>
    <t>CRV 32-3-2C A-D-E-HQQE-E</t>
  </si>
  <si>
    <t>CRV 32-3C</t>
  </si>
  <si>
    <t>CRV 32-3C A-D-E-HQQE-E</t>
  </si>
  <si>
    <t>CRV 32-4-2C</t>
  </si>
  <si>
    <t>CRV 32-4-2C A-D-E-HQQE-E</t>
  </si>
  <si>
    <t>CRV 32-4C</t>
  </si>
  <si>
    <t>CRV 32-4C A-D-E-HQQE-E</t>
  </si>
  <si>
    <t>CRV 32-5-2C</t>
  </si>
  <si>
    <t>CRV 32-5-2C A-D-E-HQQE-E</t>
  </si>
  <si>
    <t>CRV 32-5C</t>
  </si>
  <si>
    <t>CRV 32-5C A-D-E-HQQE-E</t>
  </si>
  <si>
    <t>CRV 32-6-2C</t>
  </si>
  <si>
    <t>CRV 32-6-2C A-D-E-HQQE-E</t>
  </si>
  <si>
    <t>CRV 32-6C</t>
  </si>
  <si>
    <t>CRV 32-6C A-D-E-HQQE-E</t>
  </si>
  <si>
    <t>CRV 32-7-2C</t>
  </si>
  <si>
    <t>CRV 32-7-2C A-D-E-HQQE-E</t>
  </si>
  <si>
    <t>CRV 32-7C</t>
  </si>
  <si>
    <t>CRV 32-7C A-D-E-HQQE-E</t>
  </si>
  <si>
    <t>CRV 32-8-2C</t>
  </si>
  <si>
    <t>CRV 32-8-2C A-D-E-HQQE-E</t>
  </si>
  <si>
    <t>CRV 32-8C</t>
  </si>
  <si>
    <t>CRV 32-8C A-D-E-HQQE-E</t>
  </si>
  <si>
    <t>CRV 32-9-2C</t>
  </si>
  <si>
    <t>CRV 32-9-2C A-D-E-HQQE-E</t>
  </si>
  <si>
    <t>CRV 32-9C</t>
  </si>
  <si>
    <t>CRV 32-9C A-D-E-HQQE-E</t>
  </si>
  <si>
    <t>CRV 32-10-2C</t>
  </si>
  <si>
    <t>CRV 32-10-2C A-D-E-HQQE-E</t>
  </si>
  <si>
    <t>CRV 32-10C</t>
  </si>
  <si>
    <t>CRV 32-10C A-D-E-HQQE-E</t>
  </si>
  <si>
    <t>CRV 32-11-2C</t>
  </si>
  <si>
    <t>CRV 32-11-2C A-D-E-HQQE-E</t>
  </si>
  <si>
    <t>CRV 32-11C</t>
  </si>
  <si>
    <t>CRV 32-11C A-D-E-HQQE-E</t>
  </si>
  <si>
    <t>CRV 32-12-2C</t>
  </si>
  <si>
    <t>CRV 32-12-2C A-D-E-HQQE-E</t>
  </si>
  <si>
    <t>CRV 32-12C</t>
  </si>
  <si>
    <t>CRV 32-12C A-D-E-HQQE-E</t>
  </si>
  <si>
    <t>CRV 32-13-2C</t>
  </si>
  <si>
    <t>CRV 32-13-2C A-D-E-HQQE-E</t>
  </si>
  <si>
    <t>CRV 32-13C</t>
  </si>
  <si>
    <t>CRV 32-13C A-D-E-HQQE-E</t>
  </si>
  <si>
    <t>CRV 32-14-2C</t>
  </si>
  <si>
    <t>CRV 32-14-2C A-D-E-HQQE-E</t>
  </si>
  <si>
    <t>CRV 32-14C</t>
  </si>
  <si>
    <t>CRV 32-14C A-D-E-HQQE-E</t>
  </si>
  <si>
    <t>CRV 45-1-1C</t>
  </si>
  <si>
    <t>Ø80</t>
  </si>
  <si>
    <t>Ø160</t>
  </si>
  <si>
    <t>Ø196</t>
  </si>
  <si>
    <t>DN 80</t>
  </si>
  <si>
    <t>CRV 45-1-1C A-D-E-HQQE-E</t>
  </si>
  <si>
    <t>CRV 45-1C</t>
  </si>
  <si>
    <t>CRV 45-1C A-D-E-HQQE-E</t>
  </si>
  <si>
    <t>CRV 45-2-2C</t>
  </si>
  <si>
    <t>CRV 45-2-2C A-D-E-HQQE-E</t>
  </si>
  <si>
    <t>CRV 45-2C</t>
  </si>
  <si>
    <t>CRV 45-2C A-D-E-HQQE-E</t>
  </si>
  <si>
    <t>CRV 45-3-2C</t>
  </si>
  <si>
    <t>CRV 45-3-2C A-D-E-HQQE-E</t>
  </si>
  <si>
    <t>CRV 45-3C</t>
  </si>
  <si>
    <t>CRV 45-3C A-D-E-HQQE-E</t>
  </si>
  <si>
    <t>CRV 45-4-2C</t>
  </si>
  <si>
    <t>CRV 45-4-2C A-D-E-HQQE-E</t>
  </si>
  <si>
    <t>CRV 45-4C</t>
  </si>
  <si>
    <t>CRV 45-4C A-D-E-HQQE-E</t>
  </si>
  <si>
    <t>CRV 45-5-2C</t>
  </si>
  <si>
    <t>CRV 45-5-2C A-D-E-HQQE-E</t>
  </si>
  <si>
    <t>CRV 45-5C</t>
  </si>
  <si>
    <t>CRV 45-5C A-D-E-HQQE-E</t>
  </si>
  <si>
    <t>CRV 45-6-2C</t>
  </si>
  <si>
    <t>CRV 45-6-2C A-D-E-HQQE-E</t>
  </si>
  <si>
    <t>CRV 45-6C</t>
  </si>
  <si>
    <t>CRV 45-6C A-D-E-HQQE-E</t>
  </si>
  <si>
    <t>CRV 45-7-2C</t>
  </si>
  <si>
    <t>CRV 45-7-2C A-D-E-HQQE-E</t>
  </si>
  <si>
    <t>CRV 45-7C</t>
  </si>
  <si>
    <t>CRV 45-7C A-D-E-HQQE-E</t>
  </si>
  <si>
    <t>CRV 45-8-2C</t>
  </si>
  <si>
    <t>CRV 45-8-2C A-D-E-HQQE-E</t>
  </si>
  <si>
    <t>CRV 45-8C</t>
  </si>
  <si>
    <t>CRV 45-8C A-D-E-HQQE-E</t>
  </si>
  <si>
    <t>CRV 45-9-2C</t>
  </si>
  <si>
    <t>CRV 45-9-2C A-D-E-HQQE-E</t>
  </si>
  <si>
    <t>CRV 45-9C</t>
  </si>
  <si>
    <t>CRV 45-9C A-D-E-HQQE-E</t>
  </si>
  <si>
    <t>CRV 45-10-2C</t>
  </si>
  <si>
    <t>CRV 45-10-2C A-D-E-HQQE-E</t>
  </si>
  <si>
    <t>CRV 45-10C</t>
  </si>
  <si>
    <t>CRV 45-10C A-D-E-HQQE-E</t>
  </si>
  <si>
    <t>CRV 45-11-2C</t>
  </si>
  <si>
    <t>CRV 45-11-2C A-D-E-HQQE-E</t>
  </si>
  <si>
    <t>CRV 45-11C</t>
  </si>
  <si>
    <t>CRV 45-11C A-D-E-HQQE-E</t>
  </si>
  <si>
    <t>CRV 45-12-2C</t>
  </si>
  <si>
    <t>CRV 45-12-2C A-D-E-HQQE-E</t>
  </si>
  <si>
    <t>CRV 45-12C</t>
  </si>
  <si>
    <t>CRV 45-12C A-D-E-HQQE-E</t>
  </si>
  <si>
    <t>CRV 45-13-2C</t>
  </si>
  <si>
    <t>CRV 45-13-2C A-D-E-HQQE-E</t>
  </si>
  <si>
    <t>CRV 64-1-1C</t>
  </si>
  <si>
    <t>Ø100</t>
  </si>
  <si>
    <t>Ø180</t>
  </si>
  <si>
    <t>Ø220</t>
  </si>
  <si>
    <t>DN 100</t>
  </si>
  <si>
    <t>CRV 64-1-1C A-D-E-HQQE-E</t>
  </si>
  <si>
    <t>CRV 64-1C</t>
  </si>
  <si>
    <t>CRV 64-1C A-D-E-HQQE-E</t>
  </si>
  <si>
    <t>CRV 64-2-2C</t>
  </si>
  <si>
    <t>CRV 64-2-2C A-D-E-HQQE-E</t>
  </si>
  <si>
    <t>CRV 64-2-1C</t>
  </si>
  <si>
    <t>CRV 64-2-1C A-D-E-HQQE-E</t>
  </si>
  <si>
    <t>CRV 64-2C</t>
  </si>
  <si>
    <t>CRV 64-2C A-D-E-HQQE-E</t>
  </si>
  <si>
    <t>CRV 64-3-2C</t>
  </si>
  <si>
    <t>CRV 64-3-2C A-D-E-HQQE-E</t>
  </si>
  <si>
    <t>CRV 64-3-1C</t>
  </si>
  <si>
    <t>CRV 64-3-1C A-D-E-HQQE-E</t>
  </si>
  <si>
    <t>CRV 64-3C</t>
  </si>
  <si>
    <t>CRV 64-3C A-D-E-HQQE-E</t>
  </si>
  <si>
    <t>CRV 64-4-2C</t>
  </si>
  <si>
    <t>CRV 64-4-2C A-D-E-HQQE-E</t>
  </si>
  <si>
    <t>CRV 64-4-1C</t>
  </si>
  <si>
    <t>CRV 64-4-1C A-D-E-HQQE-E</t>
  </si>
  <si>
    <t>CRV 64-4C</t>
  </si>
  <si>
    <t>CRV 64-4C A-D-E-HQQE-E</t>
  </si>
  <si>
    <t>CRV 64-5-2C</t>
  </si>
  <si>
    <t>CRV 64-5-2C A-D-E-HQQE-E</t>
  </si>
  <si>
    <t>CRV 64-5-1C</t>
  </si>
  <si>
    <t>CRV 64-5-1C A-D-E-HQQE-E</t>
  </si>
  <si>
    <t>CRV 64-5C</t>
  </si>
  <si>
    <t>CRV 64-5C A-D-E-HQQE-E</t>
  </si>
  <si>
    <t>CRV 64-6-2C</t>
  </si>
  <si>
    <t>Ø190</t>
  </si>
  <si>
    <t>Ø235</t>
  </si>
  <si>
    <t>8xØ22</t>
  </si>
  <si>
    <t>CRV 64-6-2C A-D-E-HQQE-E</t>
  </si>
  <si>
    <t>CRV 64-6-1C</t>
  </si>
  <si>
    <t>CRV 64-6-1C A-D-E-HQQE-E</t>
  </si>
  <si>
    <t>CRV 64-6C</t>
  </si>
  <si>
    <t>CRV 64-6C A-D-E-HQQE-E</t>
  </si>
  <si>
    <t>CRV 64-7-2C</t>
  </si>
  <si>
    <t>CRV 64-7-2C A-D-E-HQQE-E</t>
  </si>
  <si>
    <t>CRV 64-7-1C</t>
  </si>
  <si>
    <t>CRV 64-7-1C A-D-E-HQQE-E</t>
  </si>
  <si>
    <t>CRV 64-7C</t>
  </si>
  <si>
    <t>CRV 64-7C A-D-E-HQQE-E</t>
  </si>
  <si>
    <t>CRV 64-8-2C</t>
  </si>
  <si>
    <t>CRV 64-8-2C A-D-E-HQQE-E</t>
  </si>
  <si>
    <t>CRV 64-8-1C</t>
  </si>
  <si>
    <t>CRV 64-8-1C A-D-E-HQQE-E</t>
  </si>
  <si>
    <t>CRV 90-1-1C</t>
  </si>
  <si>
    <t>CRV 90-1-1C A-D-E-HQQE-E</t>
  </si>
  <si>
    <t>CRV 90-1C</t>
  </si>
  <si>
    <t>CRV 90-1C A-D-E-HQQE-E</t>
  </si>
  <si>
    <t>CRV 90-2-2C</t>
  </si>
  <si>
    <t>CRV 90-2-2C A-D-E-HQQE-E</t>
  </si>
  <si>
    <t>CRV 90-2C</t>
  </si>
  <si>
    <t>CRV 90-2C A-D-E-HQQE-E</t>
  </si>
  <si>
    <t>CRV 90-3-2C</t>
  </si>
  <si>
    <t>CRV 90-3-2C A-D-E-HQQE-E</t>
  </si>
  <si>
    <t>CRV 90-3C</t>
  </si>
  <si>
    <t>CRV 90-3C A-D-E-HQQE-E</t>
  </si>
  <si>
    <t>CRV 90-4-2C</t>
  </si>
  <si>
    <t>CRV 90-4-2C A-D-E-HQQE-E</t>
  </si>
  <si>
    <t>CRV 90-4C</t>
  </si>
  <si>
    <t>CRV 90-4C A-D-E-HQQE-E</t>
  </si>
  <si>
    <t>CRV 90-5-2C</t>
  </si>
  <si>
    <t>CRV 90-5-2C A-D-E-HQQE-E</t>
  </si>
  <si>
    <t>CRV 90-5C</t>
  </si>
  <si>
    <t>CRV 90-5C A-D-E-HQQE-E</t>
  </si>
  <si>
    <t>CRV 90-6-2C</t>
  </si>
  <si>
    <t>CRV 90-6-2C A-D-E-HQQE-E</t>
  </si>
  <si>
    <t>CRV 90-6C</t>
  </si>
  <si>
    <t>CRV 90-6C A-D-E-HQQE-E</t>
  </si>
  <si>
    <t>CRV 120-1C</t>
  </si>
  <si>
    <t>Ø250</t>
  </si>
  <si>
    <t>Ø298</t>
  </si>
  <si>
    <t>Ø203</t>
  </si>
  <si>
    <t>8xØ28</t>
  </si>
  <si>
    <t>4xØ23</t>
  </si>
  <si>
    <t>DN 150</t>
  </si>
  <si>
    <t>CRV 120-1C A-D-E-HUBE-E</t>
  </si>
  <si>
    <t>CRV 120-2-2C</t>
  </si>
  <si>
    <t>CRV 120-2-2C A-D-E-HUBE-E</t>
  </si>
  <si>
    <t>CRV 120-2-1C</t>
  </si>
  <si>
    <t>CRV 120-2-1C A-D-E-HUBE-E</t>
  </si>
  <si>
    <t>CRV 120-2C</t>
  </si>
  <si>
    <t>CRV 120-2C A-D-E-HUBE-E</t>
  </si>
  <si>
    <t>CRV 120-3-2C</t>
  </si>
  <si>
    <t>CRV 120-3-2C A-D-E-HUBE-E</t>
  </si>
  <si>
    <t>CRV 120-3-1C</t>
  </si>
  <si>
    <t>CRV 120-3-1C A-D-E-HUBE-E</t>
  </si>
  <si>
    <t>CRV 120-3C</t>
  </si>
  <si>
    <t>CRV 120-3C A-D-E-HUBE-E</t>
  </si>
  <si>
    <t>CRV 120-4-2C</t>
  </si>
  <si>
    <t>CRV 120-4-2C A-D-E-HUBE-E</t>
  </si>
  <si>
    <t>CRV 120-4-1C</t>
  </si>
  <si>
    <t>CRV 120-4-1C A-D-E-HUBE-E</t>
  </si>
  <si>
    <t>CRV 120-4C</t>
  </si>
  <si>
    <t>CRV 120-4C A-D-E-HUBE-E</t>
  </si>
  <si>
    <t>CRV 120-5-2C</t>
  </si>
  <si>
    <t>CRV 120-5-2C A-D-E-HUBE-E</t>
  </si>
  <si>
    <t>CRV 120-5-1C</t>
  </si>
  <si>
    <t>CRV 120-5-1C A-D-E-HUBE-E</t>
  </si>
  <si>
    <t>CRV 120-5C</t>
  </si>
  <si>
    <t>CRV 120-5C A-D-E-HUBE-E</t>
  </si>
  <si>
    <t>CRV 120-6-2C</t>
  </si>
  <si>
    <t>CRV 120-6-2C A-D-E-HUBE-E</t>
  </si>
  <si>
    <t>CRV 120-6-1C</t>
  </si>
  <si>
    <t>CRV 120-6-1C A-D-E-HUBE-E</t>
  </si>
  <si>
    <t>CRV 120-6C</t>
  </si>
  <si>
    <t>CRV 120-6C A-D-E-HUBE-E</t>
  </si>
  <si>
    <t>CRV 120-7-2C</t>
  </si>
  <si>
    <t>CRV 120-7-2C A-D-E-HUBE-E</t>
  </si>
  <si>
    <t>CRV 120-7-1C</t>
  </si>
  <si>
    <t>CRV 120-7-1C A-D-E-HUBE-E</t>
  </si>
  <si>
    <t>CRV 120-7C</t>
  </si>
  <si>
    <t>CRV 120-7C A-D-E-HUBE-E</t>
  </si>
  <si>
    <t>CRV 150-1-1C</t>
  </si>
  <si>
    <t>CRV 150-1-1C A-D-E-HUBE-E</t>
  </si>
  <si>
    <t>CRV 150-1C</t>
  </si>
  <si>
    <t>CRV 150-1C A-D-E-HUBE-E</t>
  </si>
  <si>
    <t>CRV 150-2-2C</t>
  </si>
  <si>
    <t>CRV 150-2-2C A-D-E-HUBE-E</t>
  </si>
  <si>
    <t>CRV 150-2-1C</t>
  </si>
  <si>
    <t>CRV 150-2-1C A-D-E-HUBE-E</t>
  </si>
  <si>
    <t>CVA 150-2C</t>
  </si>
  <si>
    <t>CRV 150-2C A-D-E-HUBE-E</t>
  </si>
  <si>
    <t>CRV 150-3-2C</t>
  </si>
  <si>
    <t>CRV 150-3-2C A-D-E-HUBE-E</t>
  </si>
  <si>
    <t>CRV 150-3-1C</t>
  </si>
  <si>
    <t>CRV 150-3-1C A-D-E-HUBE-E</t>
  </si>
  <si>
    <t>CRV 150-3C</t>
  </si>
  <si>
    <t>CRV 150-3C A-D-E-HUBE-E</t>
  </si>
  <si>
    <t>CRV 150-4-2C</t>
  </si>
  <si>
    <t>CRV 150-4-2C A-D-E-HUBE-E</t>
  </si>
  <si>
    <t>CRV 150-4-1C</t>
  </si>
  <si>
    <t>CRV 150-4-1C A-D-E-HUBE-E</t>
  </si>
  <si>
    <t>CRV 150-4C</t>
  </si>
  <si>
    <t>CRV 150-4C A-D-E-HUBE-E</t>
  </si>
  <si>
    <t>CRV 150-5-2C</t>
  </si>
  <si>
    <t>CRV 150-5-2C A-D-E-HUBE-E</t>
  </si>
  <si>
    <t>CRV 150-5-1C</t>
  </si>
  <si>
    <t>CRV 150-5-1C A-D-E-HUBE-E</t>
  </si>
  <si>
    <t>CRV 150-5C</t>
  </si>
  <si>
    <t>CRV 150-5C A-D-E-HUBE-E</t>
  </si>
  <si>
    <t>CRV 150-6-2C</t>
  </si>
  <si>
    <t>CRV 150-6-2C A-D-E-HUBE-E</t>
  </si>
  <si>
    <t>CRV 150-6-1C</t>
  </si>
  <si>
    <t>CRV 150-6-1C A-D-E-HUBE-E</t>
  </si>
  <si>
    <t>CRV 150-6C</t>
  </si>
  <si>
    <t>CRV 150-6C A-D-E-HUBE-E</t>
  </si>
  <si>
    <t>CRV 200-1CBI</t>
  </si>
  <si>
    <t>CRV 200-1C BI-D-E-HUBE-E</t>
  </si>
  <si>
    <t>CRV 200-1CAI</t>
  </si>
  <si>
    <t>CRV 200-1C AI-D-E-HUBE-E</t>
  </si>
  <si>
    <t>CRV 200-1C</t>
  </si>
  <si>
    <t>CRV 200-1C A-D-E-HUBE-E</t>
  </si>
  <si>
    <t>CRV 200-2CBI</t>
  </si>
  <si>
    <t>CRV 200-2C BI-D-E-HUBE-E</t>
  </si>
  <si>
    <t>CRV 200-2CAI</t>
  </si>
  <si>
    <t>CRV 200-2C AI-D-E-HUBE-E</t>
  </si>
  <si>
    <t>CRV 200-2-1CAI</t>
  </si>
  <si>
    <t>CRV 200-2-1C AI-D-E-HUBE-E</t>
  </si>
  <si>
    <t>CRV 200-2C</t>
  </si>
  <si>
    <t>CRV 200-2C A-D-E-HUBE-E</t>
  </si>
  <si>
    <t>CRV 200-3-2CBI</t>
  </si>
  <si>
    <t>CRV 200-3-2C BI-D-E-HUBE-E</t>
  </si>
  <si>
    <t>CRV 200-3-2CABI</t>
  </si>
  <si>
    <t>CRV 200-3-2C ABI-D-E-HUBE-E</t>
  </si>
  <si>
    <t>CRV 200-3-2CAI</t>
  </si>
  <si>
    <t>CRV 200-3-2C AI-D-E-HUBE-E</t>
  </si>
  <si>
    <t>CRV 200-3-1CBI</t>
  </si>
  <si>
    <t>CRV 200-3-1C BI-D-E-HUBE-E</t>
  </si>
  <si>
    <t>CRV 200-3-1CAI</t>
  </si>
  <si>
    <t>CRV 200-3-1C AI-D-E-HUBE-E</t>
  </si>
  <si>
    <t>CRV 200-3C</t>
  </si>
  <si>
    <t>CRV 200-3C A-D-E-HUBE-E</t>
  </si>
  <si>
    <t>CRV 200-4-2CBI</t>
  </si>
  <si>
    <t>CRV 200-4-2C BI-D-E-HUBE-E</t>
  </si>
  <si>
    <t>CRV 200-4-2CAI</t>
  </si>
  <si>
    <t>CRV 200-4-2C AI-D-E-HUBE-E</t>
  </si>
  <si>
    <t>CRV 200-4-1CAI</t>
  </si>
  <si>
    <t>CRV 200-4-1C AI-D-E-HUBE-E</t>
  </si>
  <si>
    <t>CRV 200-4C</t>
  </si>
  <si>
    <t>CRV 200-4C A-D-E-HUBE-E</t>
  </si>
  <si>
    <t>CRV 320-1-1C</t>
  </si>
  <si>
    <t>По запросу</t>
  </si>
  <si>
    <t>CRV 320-1-1C A-D-E-HUBE-E</t>
  </si>
  <si>
    <t>CRV 320-1C</t>
  </si>
  <si>
    <t>CRV 320-1C A-D-E-HUBE-E</t>
  </si>
  <si>
    <t>CRV 320-2-2C</t>
  </si>
  <si>
    <t>CRV 320-2-2C A-D-E-HUBE-E</t>
  </si>
  <si>
    <t>CRV 320-2-1C</t>
  </si>
  <si>
    <t>CRV 320-2-1C A-D-E-HUBE-E</t>
  </si>
  <si>
    <t>CRV 320-2C</t>
  </si>
  <si>
    <t>CRV 320-2C A-D-E-HUBE-E</t>
  </si>
  <si>
    <t>CRV 320-3-2C</t>
  </si>
  <si>
    <t>CRV 320-3-2C A-D-E-HUBE-E</t>
  </si>
  <si>
    <t>CRV 320-3-1C</t>
  </si>
  <si>
    <t>CRV 320-3-1C A-D-E-HUBE-E</t>
  </si>
  <si>
    <t>Freq, Гц</t>
  </si>
  <si>
    <t>U, В</t>
  </si>
  <si>
    <t>Cos φ</t>
  </si>
  <si>
    <t>n, об/мин</t>
  </si>
  <si>
    <t>cpa, %</t>
  </si>
  <si>
    <t>IE</t>
  </si>
  <si>
    <t>CRV</t>
  </si>
  <si>
    <t>3 x 220D/380Y</t>
  </si>
  <si>
    <t>3 x 380D/660Y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</si>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</sst>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b/>
      <sz val="9.0"/>
      <color theme="1"/>
      <name val="Calibri"/>
      <scheme val="minor"/>
    </font>
    <font>
      <sz val="9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>
      <sz val="9.0"/>
      <color theme="1"/>
      <name val="Calibri"/>
    </font>
    <font>
      <b/>
      <sz val="9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2EFD9"/>
        <bgColor rgb="FFE2EFD9"/>
      </patternFill>
    </fill>
  </fills>
  <borders count="3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1" xfId="0" applyAlignment="1" applyFont="1" applyNumberFormat="1">
      <alignment horizontal="left"/>
    </xf>
    <xf borderId="0" fillId="0" fontId="1" numFmtId="164" xfId="0" applyAlignment="1" applyFont="1" applyNumberFormat="1">
      <alignment horizontal="left"/>
    </xf>
    <xf borderId="0" fillId="0" fontId="1" numFmtId="2" xfId="0" applyAlignment="1" applyFont="1" applyNumberForma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Font="1"/>
    <xf borderId="0" fillId="0" fontId="4" numFmtId="0" xfId="0" applyAlignment="1" applyFont="1">
      <alignment horizontal="left"/>
    </xf>
    <xf borderId="0" fillId="0" fontId="4" numFmtId="1" xfId="0" applyAlignment="1" applyFont="1" applyNumberFormat="1">
      <alignment horizontal="left"/>
    </xf>
    <xf borderId="0" fillId="0" fontId="4" numFmtId="164" xfId="0" applyAlignment="1" applyFont="1" applyNumberFormat="1">
      <alignment horizontal="left"/>
    </xf>
    <xf borderId="0" fillId="0" fontId="4" numFmtId="165" xfId="0" applyAlignment="1" applyFont="1" applyNumberFormat="1">
      <alignment horizontal="left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textRotation="0"/>
    </xf>
    <xf borderId="0" fillId="0" fontId="4" numFmtId="2" xfId="0" applyAlignment="1" applyFont="1" applyNumberFormat="1">
      <alignment horizontal="left"/>
    </xf>
    <xf borderId="1" fillId="2" fontId="5" numFmtId="0" xfId="0" applyAlignment="1" applyBorder="1" applyFill="1" applyFont="1">
      <alignment horizontal="left" readingOrder="0" vertical="center"/>
    </xf>
    <xf borderId="1" fillId="2" fontId="6" numFmtId="0" xfId="0" applyAlignment="1" applyBorder="1" applyFont="1">
      <alignment horizontal="left" readingOrder="0" vertical="center"/>
    </xf>
    <xf borderId="1" fillId="2" fontId="5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1" fillId="3" fontId="6" numFmtId="0" xfId="0" applyAlignment="1" applyBorder="1" applyFill="1" applyFont="1">
      <alignment horizontal="left"/>
    </xf>
    <xf borderId="1" fillId="3" fontId="6" numFmtId="0" xfId="0" applyAlignment="1" applyBorder="1" applyFont="1">
      <alignment horizontal="left" readingOrder="0"/>
    </xf>
    <xf borderId="1" fillId="4" fontId="6" numFmtId="0" xfId="0" applyAlignment="1" applyBorder="1" applyFill="1" applyFont="1">
      <alignment horizontal="left" readingOrder="0"/>
    </xf>
    <xf borderId="1" fillId="4" fontId="6" numFmtId="0" xfId="0" applyAlignment="1" applyBorder="1" applyFont="1">
      <alignment horizontal="left"/>
    </xf>
    <xf borderId="1" fillId="0" fontId="6" numFmtId="0" xfId="0" applyAlignment="1" applyBorder="1" applyFont="1">
      <alignment horizontal="left"/>
    </xf>
    <xf borderId="1" fillId="0" fontId="6" numFmtId="0" xfId="0" applyAlignment="1" applyBorder="1" applyFont="1">
      <alignment horizontal="left" readingOrder="0"/>
    </xf>
    <xf borderId="0" fillId="0" fontId="6" numFmtId="0" xfId="0" applyAlignment="1" applyFont="1">
      <alignment readingOrder="0"/>
    </xf>
    <xf borderId="0" fillId="4" fontId="6" numFmtId="0" xfId="0" applyAlignment="1" applyFont="1">
      <alignment horizontal="left"/>
    </xf>
    <xf borderId="0" fillId="4" fontId="6" numFmtId="0" xfId="0" applyAlignment="1" applyFont="1">
      <alignment readingOrder="0"/>
    </xf>
    <xf borderId="0" fillId="0" fontId="7" numFmtId="0" xfId="0" applyAlignment="1" applyFont="1">
      <alignment horizontal="left"/>
    </xf>
    <xf borderId="0" fillId="3" fontId="6" numFmtId="0" xfId="0" applyAlignment="1" applyFont="1">
      <alignment horizontal="left"/>
    </xf>
    <xf borderId="0" fillId="0" fontId="7" numFmtId="0" xfId="0" applyAlignment="1" applyFont="1">
      <alignment horizontal="left"/>
    </xf>
    <xf borderId="1" fillId="2" fontId="5" numFmtId="0" xfId="0" applyAlignment="1" applyBorder="1" applyFont="1">
      <alignment horizontal="left" vertical="center"/>
    </xf>
    <xf borderId="0" fillId="0" fontId="8" numFmtId="0" xfId="0" applyAlignment="1" applyFont="1">
      <alignment horizontal="left" shrinkToFit="0" vertical="top" wrapText="1"/>
    </xf>
    <xf borderId="2" fillId="5" fontId="8" numFmtId="0" xfId="0" applyAlignment="1" applyBorder="1" applyFill="1" applyFont="1">
      <alignment horizontal="left" shrinkToFit="0" vertical="top" wrapText="1"/>
    </xf>
    <xf borderId="2" fillId="4" fontId="8" numFmtId="0" xfId="0" applyAlignment="1" applyBorder="1" applyFont="1">
      <alignment horizontal="left" shrinkToFit="0" vertical="top" wrapText="1"/>
    </xf>
    <xf borderId="2" fillId="5" fontId="8" numFmtId="0" xfId="0" applyAlignment="1" applyBorder="1" applyFont="1">
      <alignment horizontal="left" readingOrder="0" shrinkToFit="0" vertical="top" wrapText="1"/>
    </xf>
    <xf borderId="0" fillId="0" fontId="8" numFmtId="0" xfId="0" applyAlignment="1" applyFont="1">
      <alignment horizontal="left" readingOrder="0" shrinkToFit="0" vertical="top" wrapText="1"/>
    </xf>
    <xf borderId="2" fillId="6" fontId="8" numFmtId="0" xfId="0" applyAlignment="1" applyBorder="1" applyFill="1" applyFont="1">
      <alignment horizontal="left" readingOrder="0" shrinkToFit="0" vertical="top" wrapText="1"/>
    </xf>
    <xf borderId="2" fillId="6" fontId="8" numFmtId="164" xfId="0" applyAlignment="1" applyBorder="1" applyFont="1" applyNumberFormat="1">
      <alignment horizontal="left" readingOrder="0" shrinkToFit="0" vertical="top" wrapText="1"/>
    </xf>
    <xf borderId="0" fillId="6" fontId="8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readingOrder="0" shrinkToFit="0" vertical="top" wrapText="1"/>
    </xf>
    <xf borderId="0" fillId="0" fontId="7" numFmtId="0" xfId="0" applyAlignment="1" applyFont="1">
      <alignment horizontal="left" shrinkToFit="0" vertical="top" wrapText="1"/>
    </xf>
    <xf borderId="0" fillId="0" fontId="7" numFmtId="164" xfId="0" applyAlignment="1" applyFont="1" applyNumberFormat="1">
      <alignment horizontal="left" vertical="top"/>
    </xf>
    <xf borderId="2" fillId="7" fontId="7" numFmtId="164" xfId="0" applyAlignment="1" applyBorder="1" applyFill="1" applyFont="1" applyNumberFormat="1">
      <alignment horizontal="left" vertical="top"/>
    </xf>
    <xf borderId="2" fillId="5" fontId="7" numFmtId="164" xfId="0" applyAlignment="1" applyBorder="1" applyFont="1" applyNumberFormat="1">
      <alignment horizontal="left" vertical="top"/>
    </xf>
    <xf borderId="2" fillId="5" fontId="7" numFmtId="0" xfId="0" applyAlignment="1" applyBorder="1" applyFont="1">
      <alignment horizontal="left" vertical="top"/>
    </xf>
    <xf borderId="0" fillId="0" fontId="7" numFmtId="1" xfId="0" applyAlignment="1" applyFont="1" applyNumberFormat="1">
      <alignment horizontal="left" vertical="top"/>
    </xf>
    <xf borderId="0" fillId="0" fontId="7" numFmtId="0" xfId="0" applyAlignment="1" applyFont="1">
      <alignment horizontal="left" readingOrder="0" vertical="top"/>
    </xf>
    <xf borderId="0" fillId="0" fontId="7" numFmtId="0" xfId="0" applyAlignment="1" applyFont="1">
      <alignment horizontal="left" vertical="top"/>
    </xf>
    <xf borderId="2" fillId="3" fontId="7" numFmtId="0" xfId="0" applyAlignment="1" applyBorder="1" applyFont="1">
      <alignment horizontal="left" readingOrder="0" shrinkToFit="0" vertical="top" wrapText="1"/>
    </xf>
    <xf borderId="2" fillId="3" fontId="7" numFmtId="0" xfId="0" applyAlignment="1" applyBorder="1" applyFont="1">
      <alignment horizontal="left" shrinkToFit="0" vertical="top" wrapText="1"/>
    </xf>
    <xf borderId="2" fillId="3" fontId="7" numFmtId="164" xfId="0" applyAlignment="1" applyBorder="1" applyFont="1" applyNumberFormat="1">
      <alignment horizontal="left" vertical="top"/>
    </xf>
    <xf borderId="2" fillId="3" fontId="7" numFmtId="1" xfId="0" applyAlignment="1" applyBorder="1" applyFont="1" applyNumberFormat="1">
      <alignment horizontal="left" vertical="top"/>
    </xf>
    <xf borderId="2" fillId="3" fontId="7" numFmtId="0" xfId="0" applyAlignment="1" applyBorder="1" applyFont="1">
      <alignment horizontal="left" readingOrder="0" vertical="top"/>
    </xf>
    <xf borderId="2" fillId="3" fontId="7" numFmtId="0" xfId="0" applyAlignment="1" applyBorder="1" applyFont="1">
      <alignment horizontal="left" vertical="top"/>
    </xf>
    <xf borderId="2" fillId="8" fontId="7" numFmtId="0" xfId="0" applyAlignment="1" applyBorder="1" applyFill="1" applyFont="1">
      <alignment horizontal="left" readingOrder="0" shrinkToFit="0" vertical="top" wrapText="1"/>
    </xf>
    <xf borderId="2" fillId="8" fontId="7" numFmtId="0" xfId="0" applyAlignment="1" applyBorder="1" applyFont="1">
      <alignment horizontal="left" shrinkToFit="0" vertical="top" wrapText="1"/>
    </xf>
    <xf borderId="2" fillId="8" fontId="7" numFmtId="164" xfId="0" applyAlignment="1" applyBorder="1" applyFont="1" applyNumberFormat="1">
      <alignment horizontal="left" vertical="top"/>
    </xf>
    <xf borderId="2" fillId="8" fontId="7" numFmtId="0" xfId="0" applyAlignment="1" applyBorder="1" applyFont="1">
      <alignment horizontal="left" vertical="top"/>
    </xf>
    <xf borderId="2" fillId="8" fontId="7" numFmtId="1" xfId="0" applyAlignment="1" applyBorder="1" applyFont="1" applyNumberFormat="1">
      <alignment horizontal="left" vertical="top"/>
    </xf>
    <xf borderId="2" fillId="8" fontId="7" numFmtId="0" xfId="0" applyAlignment="1" applyBorder="1" applyFont="1">
      <alignment horizontal="left" readingOrder="0" vertical="top"/>
    </xf>
    <xf borderId="2" fillId="6" fontId="7" numFmtId="0" xfId="0" applyAlignment="1" applyBorder="1" applyFont="1">
      <alignment horizontal="left" readingOrder="0" vertical="top"/>
    </xf>
    <xf borderId="2" fillId="3" fontId="7" numFmtId="164" xfId="0" applyAlignment="1" applyBorder="1" applyFont="1" applyNumberFormat="1">
      <alignment horizontal="left" shrinkToFit="0" vertical="top" wrapText="1"/>
    </xf>
    <xf borderId="0" fillId="7" fontId="7" numFmtId="164" xfId="0" applyAlignment="1" applyFont="1" applyNumberFormat="1">
      <alignment horizontal="left" vertical="top"/>
    </xf>
    <xf borderId="0" fillId="0" fontId="7" numFmtId="0" xfId="0" applyAlignment="1" applyFont="1">
      <alignment horizontal="left" readingOrder="0"/>
    </xf>
    <xf borderId="0" fillId="0" fontId="7" numFmtId="0" xfId="0" applyFont="1"/>
    <xf borderId="0" fillId="0" fontId="7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</dxfs>
  <tableStyles count="4">
    <tableStyle count="3" pivot="0" name="HFS_CRV-style">
      <tableStyleElement dxfId="1" type="headerRow"/>
      <tableStyleElement dxfId="2" type="firstRowStripe"/>
      <tableStyleElement dxfId="3" type="secondRowStripe"/>
    </tableStyle>
    <tableStyle count="3" pivot="0" name="HFS_NBV-style">
      <tableStyleElement dxfId="1" type="headerRow"/>
      <tableStyleElement dxfId="2" type="firstRowStripe"/>
      <tableStyleElement dxfId="3" type="secondRowStripe"/>
    </tableStyle>
    <tableStyle count="3" pivot="0" name="CRV-style">
      <tableStyleElement dxfId="1" type="headerRow"/>
      <tableStyleElement dxfId="2" type="firstRowStripe"/>
      <tableStyleElement dxfId="3" type="secondRowStripe"/>
    </tableStyle>
    <tableStyle count="3" pivot="0" name="NBV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391" displayName="Table_1" name="Table_1" id="1">
  <tableColumns count="31">
    <tableColumn name="Наименование" id="1"/>
    <tableColumn name="Насос" id="2"/>
    <tableColumn name="В" id="3"/>
    <tableColumn name="В1" id="4"/>
    <tableColumn name="В2" id="5"/>
    <tableColumn name="Ш1" id="6"/>
    <tableColumn name="Ш2" id="7"/>
    <tableColumn name="Ш3" id="8"/>
    <tableColumn name="Шобщ" id="9"/>
    <tableColumn name="Р1" id="10"/>
    <tableColumn name="Р2" id="11"/>
    <tableColumn name="Р3" id="12"/>
    <tableColumn name="Р4" id="13"/>
    <tableColumn name="РП" id="14"/>
    <tableColumn name="РВ" id="15"/>
    <tableColumn name="ПАЗ" id="16"/>
    <tableColumn name="ОТВ-Е" id="17"/>
    <tableColumn name="ВШ" id="18"/>
    <tableColumn name="ШШ" id="19"/>
    <tableColumn name="ШО" id="20"/>
    <tableColumn name="К" id="21"/>
    <tableColumn name="DN" id="22"/>
    <tableColumn name="Общее кол-во" id="23"/>
    <tableColumn name="Основа" id="24"/>
    <tableColumn name="Резерв" id="25"/>
    <tableColumn name="Мощность" id="26"/>
    <tableColumn name="Ток" id="27"/>
    <tableColumn name="Схема пуска" id="28"/>
    <tableColumn name="Торцевое" id="29"/>
    <tableColumn name="Масса нетто" id="30"/>
    <tableColumn name="Артикул" id="31"/>
  </tableColumns>
  <tableStyleInfo name="HFS_CRV-style" showColumnStripes="0" showFirstColumn="1" showLastColumn="1" showRowStripes="1"/>
</table>
</file>

<file path=xl/tables/table2.xml><?xml version="1.0" encoding="utf-8"?>
<table xmlns="http://schemas.openxmlformats.org/spreadsheetml/2006/main" ref="A1:AE391" displayName="Table_2" name="Table_2" id="2">
  <tableColumns count="31">
    <tableColumn name="Наименование продукта:" id="1"/>
    <tableColumn name="Насос" id="2"/>
    <tableColumn name="В" id="3"/>
    <tableColumn name="В1" id="4"/>
    <tableColumn name="В2" id="5"/>
    <tableColumn name="Ш1" id="6"/>
    <tableColumn name="Ш2" id="7"/>
    <tableColumn name="Ш3" id="8"/>
    <tableColumn name="Шобщ" id="9"/>
    <tableColumn name="Р1" id="10"/>
    <tableColumn name="Р2" id="11"/>
    <tableColumn name="Р3" id="12"/>
    <tableColumn name="Р4" id="13"/>
    <tableColumn name="РП" id="14"/>
    <tableColumn name="РВ" id="15"/>
    <tableColumn name="ПАЗ" id="16"/>
    <tableColumn name="ОТВ-Е" id="17"/>
    <tableColumn name="ВШ" id="18"/>
    <tableColumn name="ШШ" id="19"/>
    <tableColumn name="ШО" id="20"/>
    <tableColumn name="К" id="21"/>
    <tableColumn name="DN" id="22"/>
    <tableColumn name="Общее кол-во" id="23"/>
    <tableColumn name="Основа" id="24"/>
    <tableColumn name="Резерв" id="25"/>
    <tableColumn name="Мощность" id="26"/>
    <tableColumn name="Ток" id="27"/>
    <tableColumn name="Схема пуска" id="28"/>
    <tableColumn name="Торцевое" id="29"/>
    <tableColumn name="Масса нетто" id="30"/>
    <tableColumn name="Артикул" id="31"/>
  </tableColumns>
  <tableStyleInfo name="HFS_NBV-style" showColumnStripes="0" showFirstColumn="1" showLastColumn="1" showRowStripes="1"/>
</table>
</file>

<file path=xl/tables/table3.xml><?xml version="1.0" encoding="utf-8"?>
<table xmlns="http://schemas.openxmlformats.org/spreadsheetml/2006/main" ref="A1:CA300" displayName="Table_3" name="Table_3" id="3">
  <tableColumns count="79">
    <tableColumn name="Насос" id="1"/>
    <tableColumn name="Артикул" id="2"/>
    <tableColumn name="Q1" id="3"/>
    <tableColumn name="Q2" id="4"/>
    <tableColumn name="Q3" id="5"/>
    <tableColumn name="Q4" id="6"/>
    <tableColumn name="Q5" id="7"/>
    <tableColumn name="Q6" id="8"/>
    <tableColumn name="Q7" id="9"/>
    <tableColumn name="Q8" id="10"/>
    <tableColumn name="Q9" id="11"/>
    <tableColumn name="Q10" id="12"/>
    <tableColumn name="H1" id="13"/>
    <tableColumn name="H2" id="14"/>
    <tableColumn name="H3" id="15"/>
    <tableColumn name="H4" id="16"/>
    <tableColumn name="H5" id="17"/>
    <tableColumn name="H6" id="18"/>
    <tableColumn name="H7" id="19"/>
    <tableColumn name="H8" id="20"/>
    <tableColumn name="H9" id="21"/>
    <tableColumn name="H10" id="22"/>
    <tableColumn name="P1" id="23"/>
    <tableColumn name="P2" id="24"/>
    <tableColumn name="P3" id="25"/>
    <tableColumn name="P4" id="26"/>
    <tableColumn name="P5" id="27"/>
    <tableColumn name="P6" id="28"/>
    <tableColumn name="P7" id="29"/>
    <tableColumn name="P8" id="30"/>
    <tableColumn name="P9" id="31"/>
    <tableColumn name="P10" id="32"/>
    <tableColumn name="NPSH1" id="33"/>
    <tableColumn name="NPSH2" id="34"/>
    <tableColumn name="NPSH3" id="35"/>
    <tableColumn name="NPSH4" id="36"/>
    <tableColumn name="NPSH5" id="37"/>
    <tableColumn name="NPSH6" id="38"/>
    <tableColumn name="NPSH7" id="39"/>
    <tableColumn name="NPSH8" id="40"/>
    <tableColumn name="NPSH9" id="41"/>
    <tableColumn name="NPSH10" id="42"/>
    <tableColumn name="КПД1" id="43"/>
    <tableColumn name="КПД2" id="44"/>
    <tableColumn name="КПД3" id="45"/>
    <tableColumn name="КПД4" id="46"/>
    <tableColumn name="КПД5" id="47"/>
    <tableColumn name="КПД6" id="48"/>
    <tableColumn name="КПД7" id="49"/>
    <tableColumn name="КПД8" id="50"/>
    <tableColumn name="КПД9" id="51"/>
    <tableColumn name="КПД10" id="52"/>
    <tableColumn name="B1" id="53"/>
    <tableColumn name="B2" id="54"/>
    <tableColumn name="D1" id="55"/>
    <tableColumn name="D2" id="56"/>
    <tableColumn name="D3" id="57"/>
    <tableColumn name="D4" id="58"/>
    <tableColumn name="D5" id="59"/>
    <tableColumn name="D6" id="60"/>
    <tableColumn name="a1" id="61"/>
    <tableColumn name="a2" id="62"/>
    <tableColumn name="a3" id="63"/>
    <tableColumn name="a4" id="64"/>
    <tableColumn name="a5" id="65"/>
    <tableColumn name="Hh1" id="66"/>
    <tableColumn name="Hh2" id="67"/>
    <tableColumn name="nxd1" id="68"/>
    <tableColumn name="nxd2" id="69"/>
    <tableColumn name="Давл, бар" id="70"/>
    <tableColumn name="Вход" id="71"/>
    <tableColumn name="Выход" id="72"/>
    <tableColumn name="P2, кВт" id="73"/>
    <tableColumn name="I, А △" id="74"/>
    <tableColumn name="I, А Y" id="75"/>
    <tableColumn name="pole" id="76"/>
    <tableColumn name="Вес (Нетто), кг" id="77"/>
    <tableColumn name="Наименование" id="78"/>
    <tableColumn name="Торцевое" id="79"/>
  </tableColumns>
  <tableStyleInfo name="CRV-style" showColumnStripes="0" showFirstColumn="1" showLastColumn="1" showRowStripes="1"/>
</table>
</file>

<file path=xl/tables/table4.xml><?xml version="1.0" encoding="utf-8"?>
<table xmlns="http://schemas.openxmlformats.org/spreadsheetml/2006/main" ref="A1:CA300" displayName="Table_4" name="Table_4" id="4">
  <tableColumns count="79">
    <tableColumn name="Насос" id="1"/>
    <tableColumn name="Артикул" id="2"/>
    <tableColumn name="Q1" id="3"/>
    <tableColumn name="Q2" id="4"/>
    <tableColumn name="Q3" id="5"/>
    <tableColumn name="Q4" id="6"/>
    <tableColumn name="Q5" id="7"/>
    <tableColumn name="Q6" id="8"/>
    <tableColumn name="Q7" id="9"/>
    <tableColumn name="Q8" id="10"/>
    <tableColumn name="Q9" id="11"/>
    <tableColumn name="Q10" id="12"/>
    <tableColumn name="H1" id="13"/>
    <tableColumn name="H2" id="14"/>
    <tableColumn name="H3" id="15"/>
    <tableColumn name="H4" id="16"/>
    <tableColumn name="H5" id="17"/>
    <tableColumn name="H6" id="18"/>
    <tableColumn name="H7" id="19"/>
    <tableColumn name="H8" id="20"/>
    <tableColumn name="H9" id="21"/>
    <tableColumn name="H10" id="22"/>
    <tableColumn name="P1" id="23"/>
    <tableColumn name="P2" id="24"/>
    <tableColumn name="P3" id="25"/>
    <tableColumn name="P4" id="26"/>
    <tableColumn name="P5" id="27"/>
    <tableColumn name="P6" id="28"/>
    <tableColumn name="P7" id="29"/>
    <tableColumn name="P8" id="30"/>
    <tableColumn name="P9" id="31"/>
    <tableColumn name="P10" id="32"/>
    <tableColumn name="NPSH1" id="33"/>
    <tableColumn name="NPSH2" id="34"/>
    <tableColumn name="NPSH3" id="35"/>
    <tableColumn name="NPSH4" id="36"/>
    <tableColumn name="NPSH5" id="37"/>
    <tableColumn name="NPSH6" id="38"/>
    <tableColumn name="NPSH7" id="39"/>
    <tableColumn name="NPSH8" id="40"/>
    <tableColumn name="NPSH9" id="41"/>
    <tableColumn name="NPSH10" id="42"/>
    <tableColumn name="КПД1" id="43"/>
    <tableColumn name="КПД2" id="44"/>
    <tableColumn name="КПД3" id="45"/>
    <tableColumn name="КПД4" id="46"/>
    <tableColumn name="КПД5" id="47"/>
    <tableColumn name="КПД6" id="48"/>
    <tableColumn name="КПД7" id="49"/>
    <tableColumn name="КПД8" id="50"/>
    <tableColumn name="КПД9" id="51"/>
    <tableColumn name="КПД10" id="52"/>
    <tableColumn name="B1" id="53"/>
    <tableColumn name="B2" id="54"/>
    <tableColumn name="D1" id="55"/>
    <tableColumn name="D2" id="56"/>
    <tableColumn name="D3" id="57"/>
    <tableColumn name="D4" id="58"/>
    <tableColumn name="D5" id="59"/>
    <tableColumn name="D6" id="60"/>
    <tableColumn name="a1" id="61"/>
    <tableColumn name="a2" id="62"/>
    <tableColumn name="a3" id="63"/>
    <tableColumn name="a4" id="64"/>
    <tableColumn name="a5" id="65"/>
    <tableColumn name="Hh1" id="66"/>
    <tableColumn name="Hh2" id="67"/>
    <tableColumn name="nxd1" id="68"/>
    <tableColumn name="nxd2" id="69"/>
    <tableColumn name="Давл, бар" id="70"/>
    <tableColumn name="Вход" id="71"/>
    <tableColumn name="Выход" id="72"/>
    <tableColumn name="P2, кВт" id="73"/>
    <tableColumn name="I, А △" id="74"/>
    <tableColumn name="I, А Y" id="75"/>
    <tableColumn name="pole" id="76"/>
    <tableColumn name="Вес (Нетто), кг" id="77"/>
    <tableColumn name="Наименование" id="78"/>
    <tableColumn name="Торцевое" id="79"/>
  </tableColumns>
  <tableStyleInfo name="NB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41.29"/>
    <col customWidth="1" min="3" max="3" width="12.29"/>
    <col customWidth="1" min="5" max="5" width="7.57"/>
    <col customWidth="1" min="6" max="6" width="10.71"/>
    <col customWidth="1" min="7" max="7" width="5.43"/>
    <col customWidth="1" min="8" max="8" width="5.86"/>
    <col customWidth="1" min="9" max="9" width="6.57"/>
    <col customWidth="1" min="10" max="10" width="6.71"/>
    <col customWidth="1" min="11" max="11" width="6.43"/>
  </cols>
  <sheetData>
    <row r="1">
      <c r="F1" s="1"/>
      <c r="G1" s="2"/>
      <c r="H1" s="3"/>
      <c r="I1" s="4"/>
      <c r="J1" s="4"/>
      <c r="K1" s="1"/>
    </row>
    <row r="2">
      <c r="B2" s="5" t="s">
        <v>0</v>
      </c>
      <c r="C2" s="5" t="s">
        <v>1</v>
      </c>
      <c r="D2" s="5" t="s">
        <v>2</v>
      </c>
      <c r="E2" s="6" t="s">
        <v>3</v>
      </c>
      <c r="G2" s="6" t="s">
        <v>4</v>
      </c>
      <c r="H2" s="6" t="s">
        <v>5</v>
      </c>
      <c r="I2" s="6" t="s">
        <v>6</v>
      </c>
      <c r="J2" s="7" t="s">
        <v>7</v>
      </c>
      <c r="K2" s="8" t="s">
        <v>8</v>
      </c>
    </row>
    <row r="3">
      <c r="B3" s="9" t="s">
        <v>9</v>
      </c>
      <c r="C3" s="10" t="str">
        <f t="array" ref="C3">IFERROR(INDEX(HFS_CRV!$B:$B, MATCH($B$3, HFS_CRV!$A:$A, 0)), "СТАНЦИЯ НЕ НАЙДЕНА")</f>
        <v>CRV 10-1C</v>
      </c>
      <c r="D3" s="1">
        <f t="array" ref="D3">IFERROR(INDEX(HFS_CRV!$AE:$AE, MATCH($B$3, HFS_CRV!$A:$A, 0)), "СТАНЦИЯ НЕ НАЙДЕНА")</f>
        <v>75211384</v>
      </c>
      <c r="E3" s="11" t="str">
        <f t="array" ref="E3:E22">TRANSPOSE(HFS_CRV!$C$1:$V$1)</f>
        <v>В</v>
      </c>
      <c r="F3" s="12">
        <f t="array" ref="F3:F22">IFERROR(TRANSPOSE(INDEX(HFS_CRV!$C:$V, MATCH($B$3, HFS_CRV!$A:$A, 0), 0)), "")</f>
        <v>1650</v>
      </c>
      <c r="G3" s="13">
        <f t="array" ref="G3:G12">IFERROR(TRANSPOSE(INDEX(CRV!$C:$L, MATCH($C$3, CRV!$A:$A, 0), 0)), "")</f>
        <v>0</v>
      </c>
      <c r="H3" s="14">
        <f t="array" ref="H3:H12">IFERROR(TRANSPOSE(INDEX(CRV!$M:$V, MATCH($C$3, CRV!$A:$A, 0), 0)), "")</f>
        <v>13.75</v>
      </c>
      <c r="I3" s="15">
        <f t="array" ref="I3:I12">IFERROR(TRANSPOSE(INDEX(CRV!$W:$AF, MATCH($C$3, CRV!$A:$A, 0), 0)), "")</f>
        <v>0.102</v>
      </c>
      <c r="J3" s="15">
        <f t="array" ref="J3:J12">IFERROR(TRANSPOSE(INDEX(CRV!$AG:$AP, MATCH($C$3, CRV!$A:$A, 0), 0)), "")</f>
        <v>0.427</v>
      </c>
      <c r="K3" s="14">
        <f t="array" ref="K3:K12">IFERROR(TRANSPOSE(INDEX(CRV!$AQ:$AZ, MATCH($C$3, CRV!$A:$A, 0), 0)), "")</f>
        <v>0</v>
      </c>
    </row>
    <row r="4" ht="10.5" customHeight="1">
      <c r="E4" s="11" t="s">
        <v>10</v>
      </c>
      <c r="F4" s="12">
        <v>613.0</v>
      </c>
      <c r="G4" s="13">
        <v>5.0</v>
      </c>
      <c r="H4" s="14">
        <v>11.45</v>
      </c>
      <c r="I4" s="15">
        <v>0.242</v>
      </c>
      <c r="J4" s="15">
        <v>0.948</v>
      </c>
      <c r="K4" s="14">
        <v>54.0</v>
      </c>
    </row>
    <row r="5" ht="10.5" customHeight="1">
      <c r="B5" s="16" t="s">
        <v>11</v>
      </c>
      <c r="E5" s="11" t="s">
        <v>12</v>
      </c>
      <c r="F5" s="12">
        <v>180.0</v>
      </c>
      <c r="G5" s="13">
        <v>7.0</v>
      </c>
      <c r="H5" s="14">
        <v>10.4</v>
      </c>
      <c r="I5" s="15">
        <v>0.2843</v>
      </c>
      <c r="J5" s="15">
        <v>1.241</v>
      </c>
      <c r="K5" s="14">
        <v>63.51</v>
      </c>
    </row>
    <row r="6" ht="10.5" customHeight="1">
      <c r="B6" s="16" t="s">
        <v>13</v>
      </c>
      <c r="E6" s="11" t="s">
        <v>14</v>
      </c>
      <c r="F6" s="12">
        <v>565.0</v>
      </c>
      <c r="G6" s="13">
        <v>8.0</v>
      </c>
      <c r="H6" s="14">
        <v>9.85</v>
      </c>
      <c r="I6" s="15">
        <v>0.2993</v>
      </c>
      <c r="J6" s="15">
        <v>1.449</v>
      </c>
      <c r="K6" s="14">
        <v>66.12</v>
      </c>
    </row>
    <row r="7" ht="10.5" customHeight="1">
      <c r="B7" s="16" t="s">
        <v>15</v>
      </c>
      <c r="E7" s="11" t="s">
        <v>16</v>
      </c>
      <c r="F7" s="12">
        <v>520.0</v>
      </c>
      <c r="G7" s="13">
        <v>9.0</v>
      </c>
      <c r="H7" s="14">
        <v>9.25</v>
      </c>
      <c r="I7" s="15">
        <v>0.3105</v>
      </c>
      <c r="J7" s="15">
        <v>1.709</v>
      </c>
      <c r="K7" s="14">
        <v>68.06</v>
      </c>
    </row>
    <row r="8" ht="10.5" customHeight="1">
      <c r="B8" s="16" t="s">
        <v>17</v>
      </c>
      <c r="E8" s="11" t="s">
        <v>18</v>
      </c>
      <c r="F8" s="12">
        <v>1549.0</v>
      </c>
      <c r="G8" s="13">
        <v>10.0</v>
      </c>
      <c r="H8" s="14">
        <v>8.65</v>
      </c>
      <c r="I8" s="15">
        <v>0.3178</v>
      </c>
      <c r="J8" s="15">
        <v>2.067</v>
      </c>
      <c r="K8" s="14">
        <v>69.23</v>
      </c>
    </row>
    <row r="9" ht="10.5" customHeight="1">
      <c r="B9" s="16" t="s">
        <v>19</v>
      </c>
      <c r="E9" s="11" t="s">
        <v>20</v>
      </c>
      <c r="F9" s="12">
        <v>1085.0</v>
      </c>
      <c r="G9" s="13">
        <v>11.0</v>
      </c>
      <c r="H9" s="14">
        <v>8.0</v>
      </c>
      <c r="I9" s="15">
        <v>0.3208</v>
      </c>
      <c r="J9" s="15">
        <v>2.553</v>
      </c>
      <c r="K9" s="14">
        <v>69.5</v>
      </c>
    </row>
    <row r="10" ht="10.5" customHeight="1">
      <c r="B10" s="16" t="s">
        <v>21</v>
      </c>
      <c r="E10" s="11" t="s">
        <v>22</v>
      </c>
      <c r="F10" s="12">
        <v>1760.0</v>
      </c>
      <c r="G10" s="13">
        <v>12.0</v>
      </c>
      <c r="H10" s="14">
        <v>7.35</v>
      </c>
      <c r="I10" s="15">
        <v>0.3192</v>
      </c>
      <c r="J10" s="15">
        <v>3.094</v>
      </c>
      <c r="K10" s="14">
        <v>68.65</v>
      </c>
    </row>
    <row r="11" ht="10.5" customHeight="1">
      <c r="B11" s="17"/>
      <c r="E11" s="11" t="s">
        <v>23</v>
      </c>
      <c r="F11" s="12">
        <v>427.0</v>
      </c>
      <c r="G11" s="13">
        <v>13.0</v>
      </c>
      <c r="H11" s="14">
        <v>6.599464278</v>
      </c>
      <c r="I11" s="15">
        <v>0.3124</v>
      </c>
      <c r="J11" s="15">
        <v>3.68</v>
      </c>
      <c r="K11" s="14">
        <v>66.3</v>
      </c>
    </row>
    <row r="12" ht="10.5" customHeight="1">
      <c r="B12" s="16" t="s">
        <v>24</v>
      </c>
      <c r="E12" s="18" t="s">
        <v>25</v>
      </c>
      <c r="F12" s="12"/>
      <c r="G12" s="13">
        <v>14.0</v>
      </c>
      <c r="H12" s="14">
        <v>5.82</v>
      </c>
      <c r="I12" s="15">
        <v>0.2996</v>
      </c>
      <c r="J12" s="15">
        <v>4.326</v>
      </c>
      <c r="K12" s="14">
        <v>61.81</v>
      </c>
    </row>
    <row r="13" ht="10.5" customHeight="1">
      <c r="B13" s="16" t="s">
        <v>26</v>
      </c>
      <c r="E13" s="11" t="s">
        <v>27</v>
      </c>
      <c r="F13" s="12"/>
      <c r="G13" s="13"/>
      <c r="H13" s="14"/>
      <c r="I13" s="19"/>
      <c r="J13" s="19"/>
      <c r="K13" s="12"/>
    </row>
    <row r="14" ht="10.5" customHeight="1">
      <c r="B14" s="16" t="s">
        <v>28</v>
      </c>
      <c r="E14" s="11" t="s">
        <v>29</v>
      </c>
      <c r="F14" s="12">
        <v>385.0</v>
      </c>
      <c r="G14" s="13"/>
      <c r="H14" s="14"/>
      <c r="I14" s="19"/>
      <c r="J14" s="19"/>
      <c r="K14" s="12"/>
    </row>
    <row r="15" ht="10.5" customHeight="1">
      <c r="B15" s="16" t="s">
        <v>30</v>
      </c>
      <c r="E15" s="11" t="s">
        <v>31</v>
      </c>
      <c r="F15" s="12">
        <v>100.0</v>
      </c>
      <c r="G15" s="13"/>
      <c r="H15" s="14"/>
      <c r="I15" s="19"/>
      <c r="J15" s="19"/>
      <c r="K15" s="12"/>
    </row>
    <row r="16" ht="10.5" customHeight="1">
      <c r="B16" s="17"/>
      <c r="E16" s="11" t="s">
        <v>32</v>
      </c>
      <c r="F16" s="12"/>
      <c r="G16" s="13"/>
      <c r="H16" s="14"/>
      <c r="I16" s="19"/>
      <c r="J16" s="19"/>
      <c r="K16" s="12"/>
    </row>
    <row r="17" ht="10.5" customHeight="1">
      <c r="B17" s="16" t="s">
        <v>33</v>
      </c>
      <c r="E17" s="11" t="s">
        <v>34</v>
      </c>
      <c r="F17" s="12" t="s">
        <v>35</v>
      </c>
      <c r="G17" s="13"/>
      <c r="H17" s="14"/>
      <c r="I17" s="19"/>
      <c r="J17" s="19"/>
      <c r="K17" s="12"/>
    </row>
    <row r="18" ht="10.5" customHeight="1">
      <c r="B18" s="16" t="s">
        <v>36</v>
      </c>
      <c r="E18" s="11" t="s">
        <v>37</v>
      </c>
      <c r="F18" s="12">
        <v>1000.0</v>
      </c>
      <c r="G18" s="13"/>
      <c r="H18" s="14"/>
      <c r="I18" s="19"/>
      <c r="J18" s="19"/>
      <c r="K18" s="12"/>
    </row>
    <row r="19" ht="10.5" customHeight="1">
      <c r="B19" s="16" t="s">
        <v>38</v>
      </c>
      <c r="E19" s="11" t="s">
        <v>39</v>
      </c>
      <c r="F19" s="12">
        <v>800.0</v>
      </c>
      <c r="G19" s="13"/>
      <c r="H19" s="14"/>
      <c r="I19" s="19"/>
      <c r="J19" s="19"/>
      <c r="K19" s="12"/>
    </row>
    <row r="20" ht="10.5" customHeight="1">
      <c r="B20" s="16" t="s">
        <v>40</v>
      </c>
      <c r="E20" s="11" t="s">
        <v>41</v>
      </c>
      <c r="F20" s="12">
        <v>860.0</v>
      </c>
      <c r="G20" s="13"/>
      <c r="H20" s="14"/>
      <c r="I20" s="19"/>
      <c r="J20" s="19"/>
      <c r="K20" s="12"/>
    </row>
    <row r="21" ht="10.5" customHeight="1">
      <c r="B21" s="16" t="s">
        <v>42</v>
      </c>
      <c r="E21" s="11" t="s">
        <v>43</v>
      </c>
      <c r="F21" s="12">
        <v>450.0</v>
      </c>
      <c r="G21" s="13"/>
      <c r="H21" s="14"/>
      <c r="I21" s="19"/>
      <c r="J21" s="19"/>
      <c r="K21" s="12"/>
    </row>
    <row r="22" ht="10.5" customHeight="1">
      <c r="B22" s="16" t="s">
        <v>44</v>
      </c>
      <c r="E22" s="11" t="s">
        <v>45</v>
      </c>
      <c r="F22" s="12" t="s">
        <v>46</v>
      </c>
      <c r="G22" s="13"/>
      <c r="H22" s="14"/>
      <c r="I22" s="19"/>
      <c r="J22" s="19"/>
      <c r="K22" s="12"/>
    </row>
    <row r="23" ht="10.5" customHeight="1">
      <c r="B23" s="16" t="s">
        <v>47</v>
      </c>
      <c r="E23" s="17"/>
      <c r="F23" s="12"/>
      <c r="G23" s="13"/>
      <c r="H23" s="14"/>
      <c r="I23" s="19"/>
      <c r="J23" s="19"/>
      <c r="K23" s="12"/>
    </row>
    <row r="24" ht="10.5" customHeight="1">
      <c r="B24" s="17"/>
      <c r="F24" s="1"/>
      <c r="G24" s="2"/>
      <c r="H24" s="3"/>
      <c r="I24" s="4"/>
      <c r="J24" s="4"/>
      <c r="K24" s="1"/>
    </row>
    <row r="25" ht="10.5" customHeight="1">
      <c r="B25" s="16" t="s">
        <v>48</v>
      </c>
      <c r="F25" s="1"/>
      <c r="G25" s="2"/>
      <c r="H25" s="3"/>
      <c r="I25" s="4"/>
      <c r="J25" s="4"/>
      <c r="K25" s="1"/>
    </row>
    <row r="26" ht="10.5" customHeight="1">
      <c r="B26" s="17"/>
      <c r="F26" s="1"/>
      <c r="G26" s="2"/>
      <c r="H26" s="3"/>
      <c r="I26" s="4"/>
      <c r="J26" s="4"/>
      <c r="K26" s="1"/>
    </row>
    <row r="27" ht="10.5" customHeight="1">
      <c r="B27" s="16" t="s">
        <v>49</v>
      </c>
      <c r="F27" s="1"/>
      <c r="G27" s="2"/>
      <c r="H27" s="3"/>
      <c r="I27" s="4"/>
      <c r="J27" s="4"/>
      <c r="K27" s="1"/>
    </row>
    <row r="28" ht="10.5" customHeight="1">
      <c r="B28" s="16" t="s">
        <v>50</v>
      </c>
      <c r="F28" s="1"/>
      <c r="G28" s="2"/>
      <c r="H28" s="3"/>
      <c r="I28" s="4"/>
      <c r="J28" s="4"/>
      <c r="K28" s="1"/>
    </row>
    <row r="29" ht="10.5" customHeight="1">
      <c r="B29" s="16" t="s">
        <v>51</v>
      </c>
      <c r="F29" s="1"/>
      <c r="G29" s="2"/>
      <c r="H29" s="3"/>
      <c r="I29" s="4"/>
      <c r="J29" s="4"/>
      <c r="K29" s="1"/>
    </row>
    <row r="30" ht="10.5" customHeight="1">
      <c r="B30" s="16" t="s">
        <v>52</v>
      </c>
      <c r="F30" s="1"/>
      <c r="G30" s="2"/>
      <c r="H30" s="3"/>
      <c r="I30" s="4"/>
      <c r="J30" s="4"/>
      <c r="K30" s="1"/>
    </row>
    <row r="31" ht="10.5" customHeight="1">
      <c r="B31" s="16" t="s">
        <v>53</v>
      </c>
      <c r="F31" s="1"/>
      <c r="G31" s="2"/>
      <c r="H31" s="3"/>
      <c r="I31" s="4"/>
      <c r="J31" s="4"/>
      <c r="K31" s="1"/>
    </row>
    <row r="32" ht="10.5" customHeight="1">
      <c r="B32" s="17"/>
      <c r="F32" s="1"/>
      <c r="G32" s="2"/>
      <c r="H32" s="3"/>
      <c r="I32" s="4"/>
      <c r="J32" s="4"/>
      <c r="K32" s="1"/>
    </row>
    <row r="33" ht="10.5" customHeight="1">
      <c r="B33" s="16" t="s">
        <v>54</v>
      </c>
      <c r="F33" s="1"/>
      <c r="G33" s="2"/>
      <c r="H33" s="3"/>
      <c r="I33" s="4"/>
      <c r="J33" s="4"/>
      <c r="K33" s="1"/>
    </row>
    <row r="34" ht="10.5" customHeight="1">
      <c r="B34" s="16" t="s">
        <v>55</v>
      </c>
      <c r="F34" s="1"/>
      <c r="G34" s="2"/>
      <c r="H34" s="3"/>
      <c r="I34" s="4"/>
      <c r="J34" s="4"/>
      <c r="K34" s="1"/>
    </row>
    <row r="35" ht="10.5" customHeight="1">
      <c r="B35" s="16" t="s">
        <v>56</v>
      </c>
      <c r="F35" s="1"/>
      <c r="G35" s="2"/>
      <c r="H35" s="3"/>
      <c r="I35" s="4"/>
      <c r="J35" s="4"/>
      <c r="K35" s="1"/>
    </row>
    <row r="36">
      <c r="F36" s="1"/>
      <c r="G36" s="2"/>
      <c r="H36" s="3"/>
      <c r="I36" s="4"/>
      <c r="J36" s="4"/>
      <c r="K36" s="1"/>
    </row>
    <row r="37">
      <c r="F37" s="1"/>
      <c r="G37" s="2"/>
      <c r="H37" s="3"/>
      <c r="I37" s="4"/>
      <c r="J37" s="4"/>
      <c r="K37" s="1"/>
    </row>
    <row r="38">
      <c r="F38" s="1"/>
      <c r="G38" s="2"/>
      <c r="H38" s="3"/>
      <c r="I38" s="4"/>
      <c r="J38" s="4"/>
      <c r="K38" s="1"/>
    </row>
    <row r="39">
      <c r="F39" s="1"/>
      <c r="G39" s="2"/>
      <c r="H39" s="3"/>
      <c r="I39" s="4"/>
      <c r="J39" s="4"/>
      <c r="K39" s="1"/>
    </row>
    <row r="40">
      <c r="F40" s="1"/>
      <c r="G40" s="2"/>
      <c r="H40" s="3"/>
      <c r="I40" s="4"/>
      <c r="J40" s="4"/>
      <c r="K40" s="1"/>
    </row>
    <row r="41">
      <c r="F41" s="1"/>
      <c r="G41" s="2"/>
      <c r="H41" s="3"/>
      <c r="I41" s="4"/>
      <c r="J41" s="4"/>
      <c r="K41" s="1"/>
    </row>
    <row r="42">
      <c r="F42" s="1"/>
      <c r="G42" s="2"/>
      <c r="H42" s="3"/>
      <c r="I42" s="4"/>
      <c r="J42" s="4"/>
      <c r="K42" s="1"/>
    </row>
    <row r="43">
      <c r="F43" s="1"/>
      <c r="G43" s="2"/>
      <c r="H43" s="3"/>
      <c r="I43" s="4"/>
      <c r="J43" s="4"/>
      <c r="K43" s="1"/>
    </row>
    <row r="44">
      <c r="F44" s="1"/>
      <c r="G44" s="2"/>
      <c r="H44" s="3"/>
      <c r="I44" s="4"/>
      <c r="J44" s="4"/>
      <c r="K44" s="1"/>
    </row>
    <row r="45">
      <c r="F45" s="1"/>
      <c r="G45" s="2"/>
      <c r="H45" s="3"/>
      <c r="I45" s="4"/>
      <c r="J45" s="4"/>
      <c r="K45" s="1"/>
    </row>
    <row r="46">
      <c r="F46" s="1"/>
      <c r="G46" s="2"/>
      <c r="H46" s="3"/>
      <c r="I46" s="4"/>
      <c r="J46" s="4"/>
      <c r="K46" s="1"/>
    </row>
    <row r="47">
      <c r="F47" s="1"/>
      <c r="G47" s="2"/>
      <c r="H47" s="3"/>
      <c r="I47" s="4"/>
      <c r="J47" s="4"/>
      <c r="K47" s="1"/>
    </row>
    <row r="48">
      <c r="F48" s="1"/>
      <c r="G48" s="2"/>
      <c r="H48" s="3"/>
      <c r="I48" s="4"/>
      <c r="J48" s="4"/>
      <c r="K48" s="1"/>
    </row>
    <row r="49">
      <c r="F49" s="1"/>
      <c r="G49" s="2"/>
      <c r="H49" s="3"/>
      <c r="I49" s="4"/>
      <c r="J49" s="4"/>
      <c r="K49" s="1"/>
    </row>
    <row r="50">
      <c r="F50" s="1"/>
      <c r="G50" s="2"/>
      <c r="H50" s="3"/>
      <c r="I50" s="4"/>
      <c r="J50" s="4"/>
      <c r="K50" s="1"/>
    </row>
    <row r="51">
      <c r="F51" s="1"/>
      <c r="G51" s="2"/>
      <c r="H51" s="3"/>
      <c r="I51" s="4"/>
      <c r="J51" s="4"/>
      <c r="K51" s="1"/>
    </row>
    <row r="52">
      <c r="F52" s="1"/>
      <c r="G52" s="2"/>
      <c r="H52" s="3"/>
      <c r="I52" s="4"/>
      <c r="J52" s="4"/>
      <c r="K52" s="1"/>
    </row>
    <row r="53">
      <c r="F53" s="1"/>
      <c r="G53" s="2"/>
      <c r="H53" s="3"/>
      <c r="I53" s="4"/>
      <c r="J53" s="4"/>
      <c r="K53" s="1"/>
    </row>
    <row r="54">
      <c r="F54" s="1"/>
      <c r="G54" s="2"/>
      <c r="H54" s="3"/>
      <c r="I54" s="4"/>
      <c r="J54" s="4"/>
      <c r="K54" s="1"/>
    </row>
    <row r="55">
      <c r="F55" s="1"/>
      <c r="G55" s="2"/>
      <c r="H55" s="3"/>
      <c r="I55" s="4"/>
      <c r="J55" s="4"/>
      <c r="K55" s="1"/>
    </row>
    <row r="56">
      <c r="F56" s="1"/>
      <c r="G56" s="2"/>
      <c r="H56" s="3"/>
      <c r="I56" s="4"/>
      <c r="J56" s="4"/>
      <c r="K56" s="1"/>
    </row>
    <row r="57">
      <c r="F57" s="1"/>
      <c r="G57" s="2"/>
      <c r="H57" s="3"/>
      <c r="I57" s="4"/>
      <c r="J57" s="4"/>
      <c r="K57" s="1"/>
    </row>
    <row r="58">
      <c r="F58" s="1"/>
      <c r="G58" s="2"/>
      <c r="H58" s="3"/>
      <c r="I58" s="4"/>
      <c r="J58" s="4"/>
      <c r="K58" s="1"/>
    </row>
    <row r="59">
      <c r="F59" s="1"/>
      <c r="G59" s="2"/>
      <c r="H59" s="3"/>
      <c r="I59" s="4"/>
      <c r="J59" s="4"/>
      <c r="K59" s="1"/>
    </row>
    <row r="60">
      <c r="F60" s="1"/>
      <c r="G60" s="2"/>
      <c r="H60" s="3"/>
      <c r="I60" s="4"/>
      <c r="J60" s="4"/>
      <c r="K60" s="1"/>
    </row>
    <row r="61">
      <c r="F61" s="1"/>
      <c r="G61" s="2"/>
      <c r="H61" s="3"/>
      <c r="I61" s="4"/>
      <c r="J61" s="4"/>
      <c r="K61" s="1"/>
    </row>
    <row r="62">
      <c r="F62" s="1"/>
      <c r="G62" s="2"/>
      <c r="H62" s="3"/>
      <c r="I62" s="4"/>
      <c r="J62" s="4"/>
      <c r="K62" s="1"/>
    </row>
    <row r="63">
      <c r="F63" s="1"/>
      <c r="G63" s="2"/>
      <c r="H63" s="3"/>
      <c r="I63" s="4"/>
      <c r="J63" s="4"/>
      <c r="K63" s="1"/>
    </row>
    <row r="64">
      <c r="F64" s="1"/>
      <c r="G64" s="2"/>
      <c r="H64" s="3"/>
      <c r="I64" s="4"/>
      <c r="J64" s="4"/>
      <c r="K64" s="1"/>
    </row>
    <row r="65">
      <c r="F65" s="1"/>
      <c r="G65" s="2"/>
      <c r="H65" s="3"/>
      <c r="I65" s="4"/>
      <c r="J65" s="4"/>
      <c r="K65" s="1"/>
    </row>
    <row r="66">
      <c r="F66" s="1"/>
      <c r="G66" s="2"/>
      <c r="H66" s="3"/>
      <c r="I66" s="4"/>
      <c r="J66" s="4"/>
      <c r="K66" s="1"/>
    </row>
    <row r="67">
      <c r="F67" s="1"/>
      <c r="G67" s="2"/>
      <c r="H67" s="3"/>
      <c r="I67" s="4"/>
      <c r="J67" s="4"/>
      <c r="K67" s="1"/>
    </row>
    <row r="68">
      <c r="F68" s="1"/>
      <c r="G68" s="2"/>
      <c r="H68" s="3"/>
      <c r="I68" s="4"/>
      <c r="J68" s="4"/>
      <c r="K68" s="1"/>
    </row>
    <row r="69">
      <c r="F69" s="1"/>
      <c r="G69" s="2"/>
      <c r="H69" s="3"/>
      <c r="I69" s="4"/>
      <c r="J69" s="4"/>
      <c r="K69" s="1"/>
    </row>
    <row r="70">
      <c r="F70" s="1"/>
      <c r="G70" s="2"/>
      <c r="H70" s="3"/>
      <c r="I70" s="4"/>
      <c r="J70" s="4"/>
      <c r="K70" s="1"/>
    </row>
    <row r="71">
      <c r="F71" s="1"/>
      <c r="G71" s="2"/>
      <c r="H71" s="3"/>
      <c r="I71" s="4"/>
      <c r="J71" s="4"/>
      <c r="K71" s="1"/>
    </row>
    <row r="72">
      <c r="F72" s="1"/>
      <c r="G72" s="2"/>
      <c r="H72" s="3"/>
      <c r="I72" s="4"/>
      <c r="J72" s="4"/>
      <c r="K72" s="1"/>
    </row>
    <row r="73">
      <c r="F73" s="1"/>
      <c r="G73" s="2"/>
      <c r="H73" s="3"/>
      <c r="I73" s="4"/>
      <c r="J73" s="4"/>
      <c r="K73" s="1"/>
    </row>
    <row r="74">
      <c r="F74" s="1"/>
      <c r="G74" s="2"/>
      <c r="H74" s="3"/>
      <c r="I74" s="4"/>
      <c r="J74" s="4"/>
      <c r="K74" s="1"/>
    </row>
    <row r="75">
      <c r="F75" s="1"/>
      <c r="G75" s="2"/>
      <c r="H75" s="3"/>
      <c r="I75" s="4"/>
      <c r="J75" s="4"/>
      <c r="K75" s="1"/>
    </row>
    <row r="76">
      <c r="F76" s="1"/>
      <c r="G76" s="2"/>
      <c r="H76" s="3"/>
      <c r="I76" s="4"/>
      <c r="J76" s="4"/>
      <c r="K76" s="1"/>
    </row>
    <row r="77">
      <c r="F77" s="1"/>
      <c r="G77" s="2"/>
      <c r="H77" s="3"/>
      <c r="I77" s="4"/>
      <c r="J77" s="4"/>
      <c r="K77" s="1"/>
    </row>
    <row r="78">
      <c r="F78" s="1"/>
      <c r="G78" s="2"/>
      <c r="H78" s="3"/>
      <c r="I78" s="4"/>
      <c r="J78" s="4"/>
      <c r="K78" s="1"/>
    </row>
    <row r="79">
      <c r="F79" s="1"/>
      <c r="G79" s="2"/>
      <c r="H79" s="3"/>
      <c r="I79" s="4"/>
      <c r="J79" s="4"/>
      <c r="K79" s="1"/>
    </row>
    <row r="80">
      <c r="F80" s="1"/>
      <c r="G80" s="2"/>
      <c r="H80" s="3"/>
      <c r="I80" s="4"/>
      <c r="J80" s="4"/>
      <c r="K80" s="1"/>
    </row>
    <row r="81">
      <c r="F81" s="1"/>
      <c r="G81" s="2"/>
      <c r="H81" s="3"/>
      <c r="I81" s="4"/>
      <c r="J81" s="4"/>
      <c r="K81" s="1"/>
    </row>
    <row r="82">
      <c r="F82" s="1"/>
      <c r="G82" s="2"/>
      <c r="H82" s="3"/>
      <c r="I82" s="4"/>
      <c r="J82" s="4"/>
      <c r="K82" s="1"/>
    </row>
    <row r="83">
      <c r="F83" s="1"/>
      <c r="G83" s="2"/>
      <c r="H83" s="3"/>
      <c r="I83" s="4"/>
      <c r="J83" s="4"/>
      <c r="K83" s="1"/>
    </row>
    <row r="84">
      <c r="F84" s="1"/>
      <c r="G84" s="2"/>
      <c r="H84" s="3"/>
      <c r="I84" s="4"/>
      <c r="J84" s="4"/>
      <c r="K84" s="1"/>
    </row>
    <row r="85">
      <c r="F85" s="1"/>
      <c r="G85" s="2"/>
      <c r="H85" s="3"/>
      <c r="I85" s="4"/>
      <c r="J85" s="4"/>
      <c r="K85" s="1"/>
    </row>
    <row r="86">
      <c r="F86" s="1"/>
      <c r="G86" s="2"/>
      <c r="H86" s="3"/>
      <c r="I86" s="4"/>
      <c r="J86" s="4"/>
      <c r="K86" s="1"/>
    </row>
    <row r="87">
      <c r="F87" s="1"/>
      <c r="G87" s="2"/>
      <c r="H87" s="3"/>
      <c r="I87" s="4"/>
      <c r="J87" s="4"/>
      <c r="K87" s="1"/>
    </row>
    <row r="88">
      <c r="F88" s="1"/>
      <c r="G88" s="2"/>
      <c r="H88" s="3"/>
      <c r="I88" s="4"/>
      <c r="J88" s="4"/>
      <c r="K88" s="1"/>
    </row>
    <row r="89">
      <c r="F89" s="1"/>
      <c r="G89" s="2"/>
      <c r="H89" s="3"/>
      <c r="I89" s="4"/>
      <c r="J89" s="4"/>
      <c r="K89" s="1"/>
    </row>
    <row r="90">
      <c r="F90" s="1"/>
      <c r="G90" s="2"/>
      <c r="H90" s="3"/>
      <c r="I90" s="4"/>
      <c r="J90" s="4"/>
      <c r="K90" s="1"/>
    </row>
    <row r="91">
      <c r="F91" s="1"/>
      <c r="G91" s="2"/>
      <c r="H91" s="3"/>
      <c r="I91" s="4"/>
      <c r="J91" s="4"/>
      <c r="K91" s="1"/>
    </row>
    <row r="92">
      <c r="F92" s="1"/>
      <c r="G92" s="2"/>
      <c r="H92" s="3"/>
      <c r="I92" s="4"/>
      <c r="J92" s="4"/>
      <c r="K92" s="1"/>
    </row>
    <row r="93">
      <c r="F93" s="1"/>
      <c r="G93" s="2"/>
      <c r="H93" s="3"/>
      <c r="I93" s="4"/>
      <c r="J93" s="4"/>
      <c r="K93" s="1"/>
    </row>
    <row r="94">
      <c r="F94" s="1"/>
      <c r="G94" s="2"/>
      <c r="H94" s="3"/>
      <c r="I94" s="4"/>
      <c r="J94" s="4"/>
      <c r="K94" s="1"/>
    </row>
    <row r="95">
      <c r="F95" s="1"/>
      <c r="G95" s="2"/>
      <c r="H95" s="3"/>
      <c r="I95" s="4"/>
      <c r="J95" s="4"/>
      <c r="K95" s="1"/>
    </row>
    <row r="96">
      <c r="F96" s="1"/>
      <c r="G96" s="2"/>
      <c r="H96" s="3"/>
      <c r="I96" s="4"/>
      <c r="J96" s="4"/>
      <c r="K96" s="1"/>
    </row>
    <row r="97">
      <c r="F97" s="1"/>
      <c r="G97" s="2"/>
      <c r="H97" s="3"/>
      <c r="I97" s="4"/>
      <c r="J97" s="4"/>
      <c r="K97" s="1"/>
    </row>
    <row r="98">
      <c r="F98" s="1"/>
      <c r="G98" s="2"/>
      <c r="H98" s="3"/>
      <c r="I98" s="4"/>
      <c r="J98" s="4"/>
      <c r="K98" s="1"/>
    </row>
    <row r="99">
      <c r="F99" s="1"/>
      <c r="G99" s="2"/>
      <c r="H99" s="3"/>
      <c r="I99" s="4"/>
      <c r="J99" s="4"/>
      <c r="K99" s="1"/>
    </row>
    <row r="100">
      <c r="F100" s="1"/>
      <c r="G100" s="2"/>
      <c r="H100" s="3"/>
      <c r="I100" s="4"/>
      <c r="J100" s="4"/>
      <c r="K100" s="1"/>
    </row>
    <row r="101">
      <c r="F101" s="1"/>
      <c r="G101" s="2"/>
      <c r="H101" s="3"/>
      <c r="I101" s="4"/>
      <c r="J101" s="4"/>
      <c r="K101" s="1"/>
    </row>
    <row r="102">
      <c r="F102" s="1"/>
      <c r="G102" s="2"/>
      <c r="H102" s="3"/>
      <c r="I102" s="4"/>
      <c r="J102" s="4"/>
      <c r="K102" s="1"/>
    </row>
    <row r="103">
      <c r="F103" s="1"/>
      <c r="G103" s="2"/>
      <c r="H103" s="3"/>
      <c r="I103" s="4"/>
      <c r="J103" s="4"/>
      <c r="K103" s="1"/>
    </row>
    <row r="104">
      <c r="F104" s="1"/>
      <c r="G104" s="2"/>
      <c r="H104" s="3"/>
      <c r="I104" s="4"/>
      <c r="J104" s="4"/>
      <c r="K104" s="1"/>
    </row>
    <row r="105">
      <c r="F105" s="1"/>
      <c r="G105" s="2"/>
      <c r="H105" s="3"/>
      <c r="I105" s="4"/>
      <c r="J105" s="4"/>
      <c r="K105" s="1"/>
    </row>
    <row r="106">
      <c r="F106" s="1"/>
      <c r="G106" s="2"/>
      <c r="H106" s="3"/>
      <c r="I106" s="4"/>
      <c r="J106" s="4"/>
      <c r="K106" s="1"/>
    </row>
    <row r="107">
      <c r="F107" s="1"/>
      <c r="G107" s="2"/>
      <c r="H107" s="3"/>
      <c r="I107" s="4"/>
      <c r="J107" s="4"/>
      <c r="K107" s="1"/>
    </row>
    <row r="108">
      <c r="F108" s="1"/>
      <c r="G108" s="2"/>
      <c r="H108" s="3"/>
      <c r="I108" s="4"/>
      <c r="J108" s="4"/>
      <c r="K108" s="1"/>
    </row>
    <row r="109">
      <c r="F109" s="1"/>
      <c r="G109" s="2"/>
      <c r="H109" s="3"/>
      <c r="I109" s="4"/>
      <c r="J109" s="4"/>
      <c r="K109" s="1"/>
    </row>
    <row r="110">
      <c r="F110" s="1"/>
      <c r="G110" s="2"/>
      <c r="H110" s="3"/>
      <c r="I110" s="4"/>
      <c r="J110" s="4"/>
      <c r="K110" s="1"/>
    </row>
    <row r="111">
      <c r="F111" s="1"/>
      <c r="G111" s="2"/>
      <c r="H111" s="3"/>
      <c r="I111" s="4"/>
      <c r="J111" s="4"/>
      <c r="K111" s="1"/>
    </row>
    <row r="112">
      <c r="F112" s="1"/>
      <c r="G112" s="2"/>
      <c r="H112" s="3"/>
      <c r="I112" s="4"/>
      <c r="J112" s="4"/>
      <c r="K112" s="1"/>
    </row>
    <row r="113">
      <c r="F113" s="1"/>
      <c r="G113" s="2"/>
      <c r="H113" s="3"/>
      <c r="I113" s="4"/>
      <c r="J113" s="4"/>
      <c r="K113" s="1"/>
    </row>
    <row r="114">
      <c r="F114" s="1"/>
      <c r="G114" s="2"/>
      <c r="H114" s="3"/>
      <c r="I114" s="4"/>
      <c r="J114" s="4"/>
      <c r="K114" s="1"/>
    </row>
    <row r="115">
      <c r="F115" s="1"/>
      <c r="G115" s="2"/>
      <c r="H115" s="3"/>
      <c r="I115" s="4"/>
      <c r="J115" s="4"/>
      <c r="K115" s="1"/>
    </row>
    <row r="116">
      <c r="F116" s="1"/>
      <c r="G116" s="2"/>
      <c r="H116" s="3"/>
      <c r="I116" s="4"/>
      <c r="J116" s="4"/>
      <c r="K116" s="1"/>
    </row>
    <row r="117">
      <c r="F117" s="1"/>
      <c r="G117" s="2"/>
      <c r="H117" s="3"/>
      <c r="I117" s="4"/>
      <c r="J117" s="4"/>
      <c r="K117" s="1"/>
    </row>
    <row r="118">
      <c r="F118" s="1"/>
      <c r="G118" s="2"/>
      <c r="H118" s="3"/>
      <c r="I118" s="4"/>
      <c r="J118" s="4"/>
      <c r="K118" s="1"/>
    </row>
    <row r="119">
      <c r="F119" s="1"/>
      <c r="G119" s="2"/>
      <c r="H119" s="3"/>
      <c r="I119" s="4"/>
      <c r="J119" s="4"/>
      <c r="K119" s="1"/>
    </row>
    <row r="120">
      <c r="F120" s="1"/>
      <c r="G120" s="2"/>
      <c r="H120" s="3"/>
      <c r="I120" s="4"/>
      <c r="J120" s="4"/>
      <c r="K120" s="1"/>
    </row>
    <row r="121">
      <c r="F121" s="1"/>
      <c r="G121" s="2"/>
      <c r="H121" s="3"/>
      <c r="I121" s="4"/>
      <c r="J121" s="4"/>
      <c r="K121" s="1"/>
    </row>
    <row r="122">
      <c r="F122" s="1"/>
      <c r="G122" s="2"/>
      <c r="H122" s="3"/>
      <c r="I122" s="4"/>
      <c r="J122" s="4"/>
      <c r="K122" s="1"/>
    </row>
    <row r="123">
      <c r="F123" s="1"/>
      <c r="G123" s="2"/>
      <c r="H123" s="3"/>
      <c r="I123" s="4"/>
      <c r="J123" s="4"/>
      <c r="K123" s="1"/>
    </row>
    <row r="124">
      <c r="F124" s="1"/>
      <c r="G124" s="2"/>
      <c r="H124" s="3"/>
      <c r="I124" s="4"/>
      <c r="J124" s="4"/>
      <c r="K124" s="1"/>
    </row>
    <row r="125">
      <c r="F125" s="1"/>
      <c r="G125" s="2"/>
      <c r="H125" s="3"/>
      <c r="I125" s="4"/>
      <c r="J125" s="4"/>
      <c r="K125" s="1"/>
    </row>
    <row r="126">
      <c r="F126" s="1"/>
      <c r="G126" s="2"/>
      <c r="H126" s="3"/>
      <c r="I126" s="4"/>
      <c r="J126" s="4"/>
      <c r="K126" s="1"/>
    </row>
    <row r="127">
      <c r="F127" s="1"/>
      <c r="G127" s="2"/>
      <c r="H127" s="3"/>
      <c r="I127" s="4"/>
      <c r="J127" s="4"/>
      <c r="K127" s="1"/>
    </row>
    <row r="128">
      <c r="F128" s="1"/>
      <c r="G128" s="2"/>
      <c r="H128" s="3"/>
      <c r="I128" s="4"/>
      <c r="J128" s="4"/>
      <c r="K128" s="1"/>
    </row>
    <row r="129">
      <c r="F129" s="1"/>
      <c r="G129" s="2"/>
      <c r="H129" s="3"/>
      <c r="I129" s="4"/>
      <c r="J129" s="4"/>
      <c r="K129" s="1"/>
    </row>
    <row r="130">
      <c r="F130" s="1"/>
      <c r="G130" s="2"/>
      <c r="H130" s="3"/>
      <c r="I130" s="4"/>
      <c r="J130" s="4"/>
      <c r="K130" s="1"/>
    </row>
    <row r="131">
      <c r="F131" s="1"/>
      <c r="G131" s="2"/>
      <c r="H131" s="3"/>
      <c r="I131" s="4"/>
      <c r="J131" s="4"/>
      <c r="K131" s="1"/>
    </row>
    <row r="132">
      <c r="F132" s="1"/>
      <c r="G132" s="2"/>
      <c r="H132" s="3"/>
      <c r="I132" s="4"/>
      <c r="J132" s="4"/>
      <c r="K132" s="1"/>
    </row>
    <row r="133">
      <c r="F133" s="1"/>
      <c r="G133" s="2"/>
      <c r="H133" s="3"/>
      <c r="I133" s="4"/>
      <c r="J133" s="4"/>
      <c r="K133" s="1"/>
    </row>
    <row r="134">
      <c r="F134" s="1"/>
      <c r="G134" s="2"/>
      <c r="H134" s="3"/>
      <c r="I134" s="4"/>
      <c r="J134" s="4"/>
      <c r="K134" s="1"/>
    </row>
    <row r="135">
      <c r="F135" s="1"/>
      <c r="G135" s="2"/>
      <c r="H135" s="3"/>
      <c r="I135" s="4"/>
      <c r="J135" s="4"/>
      <c r="K135" s="1"/>
    </row>
    <row r="136">
      <c r="F136" s="1"/>
      <c r="G136" s="2"/>
      <c r="H136" s="3"/>
      <c r="I136" s="4"/>
      <c r="J136" s="4"/>
      <c r="K136" s="1"/>
    </row>
    <row r="137">
      <c r="F137" s="1"/>
      <c r="G137" s="2"/>
      <c r="H137" s="3"/>
      <c r="I137" s="4"/>
      <c r="J137" s="4"/>
      <c r="K137" s="1"/>
    </row>
    <row r="138">
      <c r="F138" s="1"/>
      <c r="G138" s="2"/>
      <c r="H138" s="3"/>
      <c r="I138" s="4"/>
      <c r="J138" s="4"/>
      <c r="K138" s="1"/>
    </row>
    <row r="139">
      <c r="F139" s="1"/>
      <c r="G139" s="2"/>
      <c r="H139" s="3"/>
      <c r="I139" s="4"/>
      <c r="J139" s="4"/>
      <c r="K139" s="1"/>
    </row>
    <row r="140">
      <c r="F140" s="1"/>
      <c r="G140" s="2"/>
      <c r="H140" s="3"/>
      <c r="I140" s="4"/>
      <c r="J140" s="4"/>
      <c r="K140" s="1"/>
    </row>
    <row r="141">
      <c r="F141" s="1"/>
      <c r="G141" s="2"/>
      <c r="H141" s="3"/>
      <c r="I141" s="4"/>
      <c r="J141" s="4"/>
      <c r="K141" s="1"/>
    </row>
    <row r="142">
      <c r="F142" s="1"/>
      <c r="G142" s="2"/>
      <c r="H142" s="3"/>
      <c r="I142" s="4"/>
      <c r="J142" s="4"/>
      <c r="K142" s="1"/>
    </row>
    <row r="143">
      <c r="F143" s="1"/>
      <c r="G143" s="2"/>
      <c r="H143" s="3"/>
      <c r="I143" s="4"/>
      <c r="J143" s="4"/>
      <c r="K143" s="1"/>
    </row>
    <row r="144">
      <c r="F144" s="1"/>
      <c r="G144" s="2"/>
      <c r="H144" s="3"/>
      <c r="I144" s="4"/>
      <c r="J144" s="4"/>
      <c r="K144" s="1"/>
    </row>
    <row r="145">
      <c r="F145" s="1"/>
      <c r="G145" s="2"/>
      <c r="H145" s="3"/>
      <c r="I145" s="4"/>
      <c r="J145" s="4"/>
      <c r="K145" s="1"/>
    </row>
    <row r="146">
      <c r="F146" s="1"/>
      <c r="G146" s="2"/>
      <c r="H146" s="3"/>
      <c r="I146" s="4"/>
      <c r="J146" s="4"/>
      <c r="K146" s="1"/>
    </row>
    <row r="147">
      <c r="F147" s="1"/>
      <c r="G147" s="2"/>
      <c r="H147" s="3"/>
      <c r="I147" s="4"/>
      <c r="J147" s="4"/>
      <c r="K147" s="1"/>
    </row>
    <row r="148">
      <c r="F148" s="1"/>
      <c r="G148" s="2"/>
      <c r="H148" s="3"/>
      <c r="I148" s="4"/>
      <c r="J148" s="4"/>
      <c r="K148" s="1"/>
    </row>
    <row r="149">
      <c r="F149" s="1"/>
      <c r="G149" s="2"/>
      <c r="H149" s="3"/>
      <c r="I149" s="4"/>
      <c r="J149" s="4"/>
      <c r="K149" s="1"/>
    </row>
    <row r="150">
      <c r="F150" s="1"/>
      <c r="G150" s="2"/>
      <c r="H150" s="3"/>
      <c r="I150" s="4"/>
      <c r="J150" s="4"/>
      <c r="K150" s="1"/>
    </row>
    <row r="151">
      <c r="F151" s="1"/>
      <c r="G151" s="2"/>
      <c r="H151" s="3"/>
      <c r="I151" s="4"/>
      <c r="J151" s="4"/>
      <c r="K151" s="1"/>
    </row>
    <row r="152">
      <c r="F152" s="1"/>
      <c r="G152" s="2"/>
      <c r="H152" s="3"/>
      <c r="I152" s="4"/>
      <c r="J152" s="4"/>
      <c r="K152" s="1"/>
    </row>
    <row r="153">
      <c r="F153" s="1"/>
      <c r="G153" s="2"/>
      <c r="H153" s="3"/>
      <c r="I153" s="4"/>
      <c r="J153" s="4"/>
      <c r="K153" s="1"/>
    </row>
    <row r="154">
      <c r="F154" s="1"/>
      <c r="G154" s="2"/>
      <c r="H154" s="3"/>
      <c r="I154" s="4"/>
      <c r="J154" s="4"/>
      <c r="K154" s="1"/>
    </row>
    <row r="155">
      <c r="F155" s="1"/>
      <c r="G155" s="2"/>
      <c r="H155" s="3"/>
      <c r="I155" s="4"/>
      <c r="J155" s="4"/>
      <c r="K155" s="1"/>
    </row>
    <row r="156">
      <c r="F156" s="1"/>
      <c r="G156" s="2"/>
      <c r="H156" s="3"/>
      <c r="I156" s="4"/>
      <c r="J156" s="4"/>
      <c r="K156" s="1"/>
    </row>
    <row r="157">
      <c r="F157" s="1"/>
      <c r="G157" s="2"/>
      <c r="H157" s="3"/>
      <c r="I157" s="4"/>
      <c r="J157" s="4"/>
      <c r="K157" s="1"/>
    </row>
    <row r="158">
      <c r="F158" s="1"/>
      <c r="G158" s="2"/>
      <c r="H158" s="3"/>
      <c r="I158" s="4"/>
      <c r="J158" s="4"/>
      <c r="K158" s="1"/>
    </row>
    <row r="159">
      <c r="F159" s="1"/>
      <c r="G159" s="2"/>
      <c r="H159" s="3"/>
      <c r="I159" s="4"/>
      <c r="J159" s="4"/>
      <c r="K159" s="1"/>
    </row>
    <row r="160">
      <c r="F160" s="1"/>
      <c r="G160" s="2"/>
      <c r="H160" s="3"/>
      <c r="I160" s="4"/>
      <c r="J160" s="4"/>
      <c r="K160" s="1"/>
    </row>
    <row r="161">
      <c r="F161" s="1"/>
      <c r="G161" s="2"/>
      <c r="H161" s="3"/>
      <c r="I161" s="4"/>
      <c r="J161" s="4"/>
      <c r="K161" s="1"/>
    </row>
    <row r="162">
      <c r="F162" s="1"/>
      <c r="G162" s="2"/>
      <c r="H162" s="3"/>
      <c r="I162" s="4"/>
      <c r="J162" s="4"/>
      <c r="K162" s="1"/>
    </row>
    <row r="163">
      <c r="F163" s="1"/>
      <c r="G163" s="2"/>
      <c r="H163" s="3"/>
      <c r="I163" s="4"/>
      <c r="J163" s="4"/>
      <c r="K163" s="1"/>
    </row>
    <row r="164">
      <c r="F164" s="1"/>
      <c r="G164" s="2"/>
      <c r="H164" s="3"/>
      <c r="I164" s="4"/>
      <c r="J164" s="4"/>
      <c r="K164" s="1"/>
    </row>
    <row r="165">
      <c r="F165" s="1"/>
      <c r="G165" s="2"/>
      <c r="H165" s="3"/>
      <c r="I165" s="4"/>
      <c r="J165" s="4"/>
      <c r="K165" s="1"/>
    </row>
    <row r="166">
      <c r="F166" s="1"/>
      <c r="G166" s="2"/>
      <c r="H166" s="3"/>
      <c r="I166" s="4"/>
      <c r="J166" s="4"/>
      <c r="K166" s="1"/>
    </row>
    <row r="167">
      <c r="F167" s="1"/>
      <c r="G167" s="2"/>
      <c r="H167" s="3"/>
      <c r="I167" s="4"/>
      <c r="J167" s="4"/>
      <c r="K167" s="1"/>
    </row>
    <row r="168">
      <c r="F168" s="1"/>
      <c r="G168" s="2"/>
      <c r="H168" s="3"/>
      <c r="I168" s="4"/>
      <c r="J168" s="4"/>
      <c r="K168" s="1"/>
    </row>
    <row r="169">
      <c r="F169" s="1"/>
      <c r="G169" s="2"/>
      <c r="H169" s="3"/>
      <c r="I169" s="4"/>
      <c r="J169" s="4"/>
      <c r="K169" s="1"/>
    </row>
    <row r="170">
      <c r="F170" s="1"/>
      <c r="G170" s="2"/>
      <c r="H170" s="3"/>
      <c r="I170" s="4"/>
      <c r="J170" s="4"/>
      <c r="K170" s="1"/>
    </row>
    <row r="171">
      <c r="F171" s="1"/>
      <c r="G171" s="2"/>
      <c r="H171" s="3"/>
      <c r="I171" s="4"/>
      <c r="J171" s="4"/>
      <c r="K171" s="1"/>
    </row>
    <row r="172">
      <c r="F172" s="1"/>
      <c r="G172" s="2"/>
      <c r="H172" s="3"/>
      <c r="I172" s="4"/>
      <c r="J172" s="4"/>
      <c r="K172" s="1"/>
    </row>
    <row r="173">
      <c r="F173" s="1"/>
      <c r="G173" s="2"/>
      <c r="H173" s="3"/>
      <c r="I173" s="4"/>
      <c r="J173" s="4"/>
      <c r="K173" s="1"/>
    </row>
    <row r="174">
      <c r="F174" s="1"/>
      <c r="G174" s="2"/>
      <c r="H174" s="3"/>
      <c r="I174" s="4"/>
      <c r="J174" s="4"/>
      <c r="K174" s="1"/>
    </row>
    <row r="175">
      <c r="F175" s="1"/>
      <c r="G175" s="2"/>
      <c r="H175" s="3"/>
      <c r="I175" s="4"/>
      <c r="J175" s="4"/>
      <c r="K175" s="1"/>
    </row>
    <row r="176">
      <c r="F176" s="1"/>
      <c r="G176" s="2"/>
      <c r="H176" s="3"/>
      <c r="I176" s="4"/>
      <c r="J176" s="4"/>
      <c r="K176" s="1"/>
    </row>
    <row r="177">
      <c r="F177" s="1"/>
      <c r="G177" s="2"/>
      <c r="H177" s="3"/>
      <c r="I177" s="4"/>
      <c r="J177" s="4"/>
      <c r="K177" s="1"/>
    </row>
    <row r="178">
      <c r="F178" s="1"/>
      <c r="G178" s="2"/>
      <c r="H178" s="3"/>
      <c r="I178" s="4"/>
      <c r="J178" s="4"/>
      <c r="K178" s="1"/>
    </row>
    <row r="179">
      <c r="F179" s="1"/>
      <c r="G179" s="2"/>
      <c r="H179" s="3"/>
      <c r="I179" s="4"/>
      <c r="J179" s="4"/>
      <c r="K179" s="1"/>
    </row>
    <row r="180">
      <c r="F180" s="1"/>
      <c r="G180" s="2"/>
      <c r="H180" s="3"/>
      <c r="I180" s="4"/>
      <c r="J180" s="4"/>
      <c r="K180" s="1"/>
    </row>
    <row r="181">
      <c r="F181" s="1"/>
      <c r="G181" s="2"/>
      <c r="H181" s="3"/>
      <c r="I181" s="4"/>
      <c r="J181" s="4"/>
      <c r="K181" s="1"/>
    </row>
    <row r="182">
      <c r="F182" s="1"/>
      <c r="G182" s="2"/>
      <c r="H182" s="3"/>
      <c r="I182" s="4"/>
      <c r="J182" s="4"/>
      <c r="K182" s="1"/>
    </row>
    <row r="183">
      <c r="F183" s="1"/>
      <c r="G183" s="2"/>
      <c r="H183" s="3"/>
      <c r="I183" s="4"/>
      <c r="J183" s="4"/>
      <c r="K183" s="1"/>
    </row>
    <row r="184">
      <c r="F184" s="1"/>
      <c r="G184" s="2"/>
      <c r="H184" s="3"/>
      <c r="I184" s="4"/>
      <c r="J184" s="4"/>
      <c r="K184" s="1"/>
    </row>
    <row r="185">
      <c r="F185" s="1"/>
      <c r="G185" s="2"/>
      <c r="H185" s="3"/>
      <c r="I185" s="4"/>
      <c r="J185" s="4"/>
      <c r="K185" s="1"/>
    </row>
    <row r="186">
      <c r="F186" s="1"/>
      <c r="G186" s="2"/>
      <c r="H186" s="3"/>
      <c r="I186" s="4"/>
      <c r="J186" s="4"/>
      <c r="K186" s="1"/>
    </row>
    <row r="187">
      <c r="F187" s="1"/>
      <c r="G187" s="2"/>
      <c r="H187" s="3"/>
      <c r="I187" s="4"/>
      <c r="J187" s="4"/>
      <c r="K187" s="1"/>
    </row>
    <row r="188">
      <c r="F188" s="1"/>
      <c r="G188" s="2"/>
      <c r="H188" s="3"/>
      <c r="I188" s="4"/>
      <c r="J188" s="4"/>
      <c r="K188" s="1"/>
    </row>
    <row r="189">
      <c r="F189" s="1"/>
      <c r="G189" s="2"/>
      <c r="H189" s="3"/>
      <c r="I189" s="4"/>
      <c r="J189" s="4"/>
      <c r="K189" s="1"/>
    </row>
    <row r="190">
      <c r="F190" s="1"/>
      <c r="G190" s="2"/>
      <c r="H190" s="3"/>
      <c r="I190" s="4"/>
      <c r="J190" s="4"/>
      <c r="K190" s="1"/>
    </row>
    <row r="191">
      <c r="F191" s="1"/>
      <c r="G191" s="2"/>
      <c r="H191" s="3"/>
      <c r="I191" s="4"/>
      <c r="J191" s="4"/>
      <c r="K191" s="1"/>
    </row>
    <row r="192">
      <c r="F192" s="1"/>
      <c r="G192" s="2"/>
      <c r="H192" s="3"/>
      <c r="I192" s="4"/>
      <c r="J192" s="4"/>
      <c r="K192" s="1"/>
    </row>
    <row r="193">
      <c r="F193" s="1"/>
      <c r="G193" s="2"/>
      <c r="H193" s="3"/>
      <c r="I193" s="4"/>
      <c r="J193" s="4"/>
      <c r="K193" s="1"/>
    </row>
    <row r="194">
      <c r="F194" s="1"/>
      <c r="G194" s="2"/>
      <c r="H194" s="3"/>
      <c r="I194" s="4"/>
      <c r="J194" s="4"/>
      <c r="K194" s="1"/>
    </row>
    <row r="195">
      <c r="F195" s="1"/>
      <c r="G195" s="2"/>
      <c r="H195" s="3"/>
      <c r="I195" s="4"/>
      <c r="J195" s="4"/>
      <c r="K195" s="1"/>
    </row>
    <row r="196">
      <c r="F196" s="1"/>
      <c r="G196" s="2"/>
      <c r="H196" s="3"/>
      <c r="I196" s="4"/>
      <c r="J196" s="4"/>
      <c r="K196" s="1"/>
    </row>
    <row r="197">
      <c r="F197" s="1"/>
      <c r="G197" s="2"/>
      <c r="H197" s="3"/>
      <c r="I197" s="4"/>
      <c r="J197" s="4"/>
      <c r="K197" s="1"/>
    </row>
    <row r="198">
      <c r="F198" s="1"/>
      <c r="G198" s="2"/>
      <c r="H198" s="3"/>
      <c r="I198" s="4"/>
      <c r="J198" s="4"/>
      <c r="K198" s="1"/>
    </row>
    <row r="199">
      <c r="F199" s="1"/>
      <c r="G199" s="2"/>
      <c r="H199" s="3"/>
      <c r="I199" s="4"/>
      <c r="J199" s="4"/>
      <c r="K199" s="1"/>
    </row>
    <row r="200">
      <c r="F200" s="1"/>
      <c r="G200" s="2"/>
      <c r="H200" s="3"/>
      <c r="I200" s="4"/>
      <c r="J200" s="4"/>
      <c r="K200" s="1"/>
    </row>
    <row r="201">
      <c r="F201" s="1"/>
      <c r="G201" s="2"/>
      <c r="H201" s="3"/>
      <c r="I201" s="4"/>
      <c r="J201" s="4"/>
      <c r="K201" s="1"/>
    </row>
    <row r="202">
      <c r="F202" s="1"/>
      <c r="G202" s="2"/>
      <c r="H202" s="3"/>
      <c r="I202" s="4"/>
      <c r="J202" s="4"/>
      <c r="K202" s="1"/>
    </row>
    <row r="203">
      <c r="F203" s="1"/>
      <c r="G203" s="2"/>
      <c r="H203" s="3"/>
      <c r="I203" s="4"/>
      <c r="J203" s="4"/>
      <c r="K203" s="1"/>
    </row>
    <row r="204">
      <c r="F204" s="1"/>
      <c r="G204" s="2"/>
      <c r="H204" s="3"/>
      <c r="I204" s="4"/>
      <c r="J204" s="4"/>
      <c r="K204" s="1"/>
    </row>
    <row r="205">
      <c r="F205" s="1"/>
      <c r="G205" s="2"/>
      <c r="H205" s="3"/>
      <c r="I205" s="4"/>
      <c r="J205" s="4"/>
      <c r="K205" s="1"/>
    </row>
    <row r="206">
      <c r="F206" s="1"/>
      <c r="G206" s="2"/>
      <c r="H206" s="3"/>
      <c r="I206" s="4"/>
      <c r="J206" s="4"/>
      <c r="K206" s="1"/>
    </row>
    <row r="207">
      <c r="F207" s="1"/>
      <c r="G207" s="2"/>
      <c r="H207" s="3"/>
      <c r="I207" s="4"/>
      <c r="J207" s="4"/>
      <c r="K207" s="1"/>
    </row>
    <row r="208">
      <c r="F208" s="1"/>
      <c r="G208" s="2"/>
      <c r="H208" s="3"/>
      <c r="I208" s="4"/>
      <c r="J208" s="4"/>
      <c r="K208" s="1"/>
    </row>
    <row r="209">
      <c r="F209" s="1"/>
      <c r="G209" s="2"/>
      <c r="H209" s="3"/>
      <c r="I209" s="4"/>
      <c r="J209" s="4"/>
      <c r="K209" s="1"/>
    </row>
    <row r="210">
      <c r="F210" s="1"/>
      <c r="G210" s="2"/>
      <c r="H210" s="3"/>
      <c r="I210" s="4"/>
      <c r="J210" s="4"/>
      <c r="K210" s="1"/>
    </row>
    <row r="211">
      <c r="F211" s="1"/>
      <c r="G211" s="2"/>
      <c r="H211" s="3"/>
      <c r="I211" s="4"/>
      <c r="J211" s="4"/>
      <c r="K211" s="1"/>
    </row>
    <row r="212">
      <c r="F212" s="1"/>
      <c r="G212" s="2"/>
      <c r="H212" s="3"/>
      <c r="I212" s="4"/>
      <c r="J212" s="4"/>
      <c r="K212" s="1"/>
    </row>
    <row r="213">
      <c r="F213" s="1"/>
      <c r="G213" s="2"/>
      <c r="H213" s="3"/>
      <c r="I213" s="4"/>
      <c r="J213" s="4"/>
      <c r="K213" s="1"/>
    </row>
    <row r="214">
      <c r="F214" s="1"/>
      <c r="G214" s="2"/>
      <c r="H214" s="3"/>
      <c r="I214" s="4"/>
      <c r="J214" s="4"/>
      <c r="K214" s="1"/>
    </row>
    <row r="215">
      <c r="F215" s="1"/>
      <c r="G215" s="2"/>
      <c r="H215" s="3"/>
      <c r="I215" s="4"/>
      <c r="J215" s="4"/>
      <c r="K215" s="1"/>
    </row>
    <row r="216">
      <c r="F216" s="1"/>
      <c r="G216" s="2"/>
      <c r="H216" s="3"/>
      <c r="I216" s="4"/>
      <c r="J216" s="4"/>
      <c r="K216" s="1"/>
    </row>
    <row r="217">
      <c r="F217" s="1"/>
      <c r="G217" s="2"/>
      <c r="H217" s="3"/>
      <c r="I217" s="4"/>
      <c r="J217" s="4"/>
      <c r="K217" s="1"/>
    </row>
    <row r="218">
      <c r="F218" s="1"/>
      <c r="G218" s="2"/>
      <c r="H218" s="3"/>
      <c r="I218" s="4"/>
      <c r="J218" s="4"/>
      <c r="K218" s="1"/>
    </row>
    <row r="219">
      <c r="F219" s="1"/>
      <c r="G219" s="2"/>
      <c r="H219" s="3"/>
      <c r="I219" s="4"/>
      <c r="J219" s="4"/>
      <c r="K219" s="1"/>
    </row>
    <row r="220">
      <c r="F220" s="1"/>
      <c r="G220" s="2"/>
      <c r="H220" s="3"/>
      <c r="I220" s="4"/>
      <c r="J220" s="4"/>
      <c r="K220" s="1"/>
    </row>
    <row r="221">
      <c r="F221" s="1"/>
      <c r="G221" s="2"/>
      <c r="H221" s="3"/>
      <c r="I221" s="4"/>
      <c r="J221" s="4"/>
      <c r="K221" s="1"/>
    </row>
    <row r="222">
      <c r="F222" s="1"/>
      <c r="G222" s="2"/>
      <c r="H222" s="3"/>
      <c r="I222" s="4"/>
      <c r="J222" s="4"/>
      <c r="K222" s="1"/>
    </row>
    <row r="223">
      <c r="F223" s="1"/>
      <c r="G223" s="2"/>
      <c r="H223" s="3"/>
      <c r="I223" s="4"/>
      <c r="J223" s="4"/>
      <c r="K223" s="1"/>
    </row>
    <row r="224">
      <c r="F224" s="1"/>
      <c r="G224" s="2"/>
      <c r="H224" s="3"/>
      <c r="I224" s="4"/>
      <c r="J224" s="4"/>
      <c r="K224" s="1"/>
    </row>
    <row r="225">
      <c r="F225" s="1"/>
      <c r="G225" s="2"/>
      <c r="H225" s="3"/>
      <c r="I225" s="4"/>
      <c r="J225" s="4"/>
      <c r="K225" s="1"/>
    </row>
    <row r="226">
      <c r="F226" s="1"/>
      <c r="G226" s="2"/>
      <c r="H226" s="3"/>
      <c r="I226" s="4"/>
      <c r="J226" s="4"/>
      <c r="K226" s="1"/>
    </row>
    <row r="227">
      <c r="F227" s="1"/>
      <c r="G227" s="2"/>
      <c r="H227" s="3"/>
      <c r="I227" s="4"/>
      <c r="J227" s="4"/>
      <c r="K227" s="1"/>
    </row>
    <row r="228">
      <c r="F228" s="1"/>
      <c r="G228" s="2"/>
      <c r="H228" s="3"/>
      <c r="I228" s="4"/>
      <c r="J228" s="4"/>
      <c r="K228" s="1"/>
    </row>
    <row r="229">
      <c r="F229" s="1"/>
      <c r="G229" s="2"/>
      <c r="H229" s="3"/>
      <c r="I229" s="4"/>
      <c r="J229" s="4"/>
      <c r="K229" s="1"/>
    </row>
    <row r="230">
      <c r="F230" s="1"/>
      <c r="G230" s="2"/>
      <c r="H230" s="3"/>
      <c r="I230" s="4"/>
      <c r="J230" s="4"/>
      <c r="K230" s="1"/>
    </row>
    <row r="231">
      <c r="F231" s="1"/>
      <c r="G231" s="2"/>
      <c r="H231" s="3"/>
      <c r="I231" s="4"/>
      <c r="J231" s="4"/>
      <c r="K231" s="1"/>
    </row>
    <row r="232">
      <c r="F232" s="1"/>
      <c r="G232" s="2"/>
      <c r="H232" s="3"/>
      <c r="I232" s="4"/>
      <c r="J232" s="4"/>
      <c r="K232" s="1"/>
    </row>
    <row r="233">
      <c r="F233" s="1"/>
      <c r="G233" s="2"/>
      <c r="H233" s="3"/>
      <c r="I233" s="4"/>
      <c r="J233" s="4"/>
      <c r="K233" s="1"/>
    </row>
    <row r="234">
      <c r="F234" s="1"/>
      <c r="G234" s="2"/>
      <c r="H234" s="3"/>
      <c r="I234" s="4"/>
      <c r="J234" s="4"/>
      <c r="K234" s="1"/>
    </row>
    <row r="235">
      <c r="F235" s="1"/>
      <c r="G235" s="2"/>
      <c r="H235" s="3"/>
      <c r="I235" s="4"/>
      <c r="J235" s="4"/>
      <c r="K235" s="1"/>
    </row>
    <row r="236">
      <c r="F236" s="1"/>
      <c r="G236" s="2"/>
      <c r="H236" s="3"/>
      <c r="I236" s="4"/>
      <c r="J236" s="4"/>
      <c r="K236" s="1"/>
    </row>
    <row r="237">
      <c r="F237" s="1"/>
      <c r="G237" s="2"/>
      <c r="H237" s="3"/>
      <c r="I237" s="4"/>
      <c r="J237" s="4"/>
      <c r="K237" s="1"/>
    </row>
    <row r="238">
      <c r="F238" s="1"/>
      <c r="G238" s="2"/>
      <c r="H238" s="3"/>
      <c r="I238" s="4"/>
      <c r="J238" s="4"/>
      <c r="K238" s="1"/>
    </row>
    <row r="239">
      <c r="F239" s="1"/>
      <c r="G239" s="2"/>
      <c r="H239" s="3"/>
      <c r="I239" s="4"/>
      <c r="J239" s="4"/>
      <c r="K239" s="1"/>
    </row>
    <row r="240">
      <c r="F240" s="1"/>
      <c r="G240" s="2"/>
      <c r="H240" s="3"/>
      <c r="I240" s="4"/>
      <c r="J240" s="4"/>
      <c r="K240" s="1"/>
    </row>
    <row r="241">
      <c r="F241" s="1"/>
      <c r="G241" s="2"/>
      <c r="H241" s="3"/>
      <c r="I241" s="4"/>
      <c r="J241" s="4"/>
      <c r="K241" s="1"/>
    </row>
    <row r="242">
      <c r="F242" s="1"/>
      <c r="G242" s="2"/>
      <c r="H242" s="3"/>
      <c r="I242" s="4"/>
      <c r="J242" s="4"/>
      <c r="K242" s="1"/>
    </row>
    <row r="243">
      <c r="F243" s="1"/>
      <c r="G243" s="2"/>
      <c r="H243" s="3"/>
      <c r="I243" s="4"/>
      <c r="J243" s="4"/>
      <c r="K243" s="1"/>
    </row>
    <row r="244">
      <c r="F244" s="1"/>
      <c r="G244" s="2"/>
      <c r="H244" s="3"/>
      <c r="I244" s="4"/>
      <c r="J244" s="4"/>
      <c r="K244" s="1"/>
    </row>
    <row r="245">
      <c r="F245" s="1"/>
      <c r="G245" s="2"/>
      <c r="H245" s="3"/>
      <c r="I245" s="4"/>
      <c r="J245" s="4"/>
      <c r="K245" s="1"/>
    </row>
    <row r="246">
      <c r="F246" s="1"/>
      <c r="G246" s="2"/>
      <c r="H246" s="3"/>
      <c r="I246" s="4"/>
      <c r="J246" s="4"/>
      <c r="K246" s="1"/>
    </row>
    <row r="247">
      <c r="F247" s="1"/>
      <c r="G247" s="2"/>
      <c r="H247" s="3"/>
      <c r="I247" s="4"/>
      <c r="J247" s="4"/>
      <c r="K247" s="1"/>
    </row>
    <row r="248">
      <c r="F248" s="1"/>
      <c r="G248" s="2"/>
      <c r="H248" s="3"/>
      <c r="I248" s="4"/>
      <c r="J248" s="4"/>
      <c r="K248" s="1"/>
    </row>
    <row r="249">
      <c r="F249" s="1"/>
      <c r="G249" s="2"/>
      <c r="H249" s="3"/>
      <c r="I249" s="4"/>
      <c r="J249" s="4"/>
      <c r="K249" s="1"/>
    </row>
    <row r="250">
      <c r="F250" s="1"/>
      <c r="G250" s="2"/>
      <c r="H250" s="3"/>
      <c r="I250" s="4"/>
      <c r="J250" s="4"/>
      <c r="K250" s="1"/>
    </row>
    <row r="251">
      <c r="F251" s="1"/>
      <c r="G251" s="2"/>
      <c r="H251" s="3"/>
      <c r="I251" s="4"/>
      <c r="J251" s="4"/>
      <c r="K251" s="1"/>
    </row>
    <row r="252">
      <c r="F252" s="1"/>
      <c r="G252" s="2"/>
      <c r="H252" s="3"/>
      <c r="I252" s="4"/>
      <c r="J252" s="4"/>
      <c r="K252" s="1"/>
    </row>
    <row r="253">
      <c r="F253" s="1"/>
      <c r="G253" s="2"/>
      <c r="H253" s="3"/>
      <c r="I253" s="4"/>
      <c r="J253" s="4"/>
      <c r="K253" s="1"/>
    </row>
    <row r="254">
      <c r="F254" s="1"/>
      <c r="G254" s="2"/>
      <c r="H254" s="3"/>
      <c r="I254" s="4"/>
      <c r="J254" s="4"/>
      <c r="K254" s="1"/>
    </row>
    <row r="255">
      <c r="F255" s="1"/>
      <c r="G255" s="2"/>
      <c r="H255" s="3"/>
      <c r="I255" s="4"/>
      <c r="J255" s="4"/>
      <c r="K255" s="1"/>
    </row>
    <row r="256">
      <c r="F256" s="1"/>
      <c r="G256" s="2"/>
      <c r="H256" s="3"/>
      <c r="I256" s="4"/>
      <c r="J256" s="4"/>
      <c r="K256" s="1"/>
    </row>
    <row r="257">
      <c r="F257" s="1"/>
      <c r="G257" s="2"/>
      <c r="H257" s="3"/>
      <c r="I257" s="4"/>
      <c r="J257" s="4"/>
      <c r="K257" s="1"/>
    </row>
    <row r="258">
      <c r="F258" s="1"/>
      <c r="G258" s="2"/>
      <c r="H258" s="3"/>
      <c r="I258" s="4"/>
      <c r="J258" s="4"/>
      <c r="K258" s="1"/>
    </row>
    <row r="259">
      <c r="F259" s="1"/>
      <c r="G259" s="2"/>
      <c r="H259" s="3"/>
      <c r="I259" s="4"/>
      <c r="J259" s="4"/>
      <c r="K259" s="1"/>
    </row>
    <row r="260">
      <c r="F260" s="1"/>
      <c r="G260" s="2"/>
      <c r="H260" s="3"/>
      <c r="I260" s="4"/>
      <c r="J260" s="4"/>
      <c r="K260" s="1"/>
    </row>
    <row r="261">
      <c r="F261" s="1"/>
      <c r="G261" s="2"/>
      <c r="H261" s="3"/>
      <c r="I261" s="4"/>
      <c r="J261" s="4"/>
      <c r="K261" s="1"/>
    </row>
    <row r="262">
      <c r="F262" s="1"/>
      <c r="G262" s="2"/>
      <c r="H262" s="3"/>
      <c r="I262" s="4"/>
      <c r="J262" s="4"/>
      <c r="K262" s="1"/>
    </row>
    <row r="263">
      <c r="F263" s="1"/>
      <c r="G263" s="2"/>
      <c r="H263" s="3"/>
      <c r="I263" s="4"/>
      <c r="J263" s="4"/>
      <c r="K263" s="1"/>
    </row>
    <row r="264">
      <c r="F264" s="1"/>
      <c r="G264" s="2"/>
      <c r="H264" s="3"/>
      <c r="I264" s="4"/>
      <c r="J264" s="4"/>
      <c r="K264" s="1"/>
    </row>
    <row r="265">
      <c r="F265" s="1"/>
      <c r="G265" s="2"/>
      <c r="H265" s="3"/>
      <c r="I265" s="4"/>
      <c r="J265" s="4"/>
      <c r="K265" s="1"/>
    </row>
    <row r="266">
      <c r="F266" s="1"/>
      <c r="G266" s="2"/>
      <c r="H266" s="3"/>
      <c r="I266" s="4"/>
      <c r="J266" s="4"/>
      <c r="K266" s="1"/>
    </row>
    <row r="267">
      <c r="F267" s="1"/>
      <c r="G267" s="2"/>
      <c r="H267" s="3"/>
      <c r="I267" s="4"/>
      <c r="J267" s="4"/>
      <c r="K267" s="1"/>
    </row>
    <row r="268">
      <c r="F268" s="1"/>
      <c r="G268" s="2"/>
      <c r="H268" s="3"/>
      <c r="I268" s="4"/>
      <c r="J268" s="4"/>
      <c r="K268" s="1"/>
    </row>
    <row r="269">
      <c r="F269" s="1"/>
      <c r="G269" s="2"/>
      <c r="H269" s="3"/>
      <c r="I269" s="4"/>
      <c r="J269" s="4"/>
      <c r="K269" s="1"/>
    </row>
    <row r="270">
      <c r="F270" s="1"/>
      <c r="G270" s="2"/>
      <c r="H270" s="3"/>
      <c r="I270" s="4"/>
      <c r="J270" s="4"/>
      <c r="K270" s="1"/>
    </row>
    <row r="271">
      <c r="F271" s="1"/>
      <c r="G271" s="2"/>
      <c r="H271" s="3"/>
      <c r="I271" s="4"/>
      <c r="J271" s="4"/>
      <c r="K271" s="1"/>
    </row>
    <row r="272">
      <c r="F272" s="1"/>
      <c r="G272" s="2"/>
      <c r="H272" s="3"/>
      <c r="I272" s="4"/>
      <c r="J272" s="4"/>
      <c r="K272" s="1"/>
    </row>
    <row r="273">
      <c r="F273" s="1"/>
      <c r="G273" s="2"/>
      <c r="H273" s="3"/>
      <c r="I273" s="4"/>
      <c r="J273" s="4"/>
      <c r="K273" s="1"/>
    </row>
    <row r="274">
      <c r="F274" s="1"/>
      <c r="G274" s="2"/>
      <c r="H274" s="3"/>
      <c r="I274" s="4"/>
      <c r="J274" s="4"/>
      <c r="K274" s="1"/>
    </row>
    <row r="275">
      <c r="F275" s="1"/>
      <c r="G275" s="2"/>
      <c r="H275" s="3"/>
      <c r="I275" s="4"/>
      <c r="J275" s="4"/>
      <c r="K275" s="1"/>
    </row>
    <row r="276">
      <c r="F276" s="1"/>
      <c r="G276" s="2"/>
      <c r="H276" s="3"/>
      <c r="I276" s="4"/>
      <c r="J276" s="4"/>
      <c r="K276" s="1"/>
    </row>
    <row r="277">
      <c r="F277" s="1"/>
      <c r="G277" s="2"/>
      <c r="H277" s="3"/>
      <c r="I277" s="4"/>
      <c r="J277" s="4"/>
      <c r="K277" s="1"/>
    </row>
    <row r="278">
      <c r="F278" s="1"/>
      <c r="G278" s="2"/>
      <c r="H278" s="3"/>
      <c r="I278" s="4"/>
      <c r="J278" s="4"/>
      <c r="K278" s="1"/>
    </row>
    <row r="279">
      <c r="F279" s="1"/>
      <c r="G279" s="2"/>
      <c r="H279" s="3"/>
      <c r="I279" s="4"/>
      <c r="J279" s="4"/>
      <c r="K279" s="1"/>
    </row>
    <row r="280">
      <c r="F280" s="1"/>
      <c r="G280" s="2"/>
      <c r="H280" s="3"/>
      <c r="I280" s="4"/>
      <c r="J280" s="4"/>
      <c r="K280" s="1"/>
    </row>
    <row r="281">
      <c r="F281" s="1"/>
      <c r="G281" s="2"/>
      <c r="H281" s="3"/>
      <c r="I281" s="4"/>
      <c r="J281" s="4"/>
      <c r="K281" s="1"/>
    </row>
    <row r="282">
      <c r="F282" s="1"/>
      <c r="G282" s="2"/>
      <c r="H282" s="3"/>
      <c r="I282" s="4"/>
      <c r="J282" s="4"/>
      <c r="K282" s="1"/>
    </row>
    <row r="283">
      <c r="F283" s="1"/>
      <c r="G283" s="2"/>
      <c r="H283" s="3"/>
      <c r="I283" s="4"/>
      <c r="J283" s="4"/>
      <c r="K283" s="1"/>
    </row>
    <row r="284">
      <c r="F284" s="1"/>
      <c r="G284" s="2"/>
      <c r="H284" s="3"/>
      <c r="I284" s="4"/>
      <c r="J284" s="4"/>
      <c r="K284" s="1"/>
    </row>
    <row r="285">
      <c r="F285" s="1"/>
      <c r="G285" s="2"/>
      <c r="H285" s="3"/>
      <c r="I285" s="4"/>
      <c r="J285" s="4"/>
      <c r="K285" s="1"/>
    </row>
    <row r="286">
      <c r="F286" s="1"/>
      <c r="G286" s="2"/>
      <c r="H286" s="3"/>
      <c r="I286" s="4"/>
      <c r="J286" s="4"/>
      <c r="K286" s="1"/>
    </row>
    <row r="287">
      <c r="F287" s="1"/>
      <c r="G287" s="2"/>
      <c r="H287" s="3"/>
      <c r="I287" s="4"/>
      <c r="J287" s="4"/>
      <c r="K287" s="1"/>
    </row>
    <row r="288">
      <c r="F288" s="1"/>
      <c r="G288" s="2"/>
      <c r="H288" s="3"/>
      <c r="I288" s="4"/>
      <c r="J288" s="4"/>
      <c r="K288" s="1"/>
    </row>
    <row r="289">
      <c r="F289" s="1"/>
      <c r="G289" s="2"/>
      <c r="H289" s="3"/>
      <c r="I289" s="4"/>
      <c r="J289" s="4"/>
      <c r="K289" s="1"/>
    </row>
    <row r="290">
      <c r="F290" s="1"/>
      <c r="G290" s="2"/>
      <c r="H290" s="3"/>
      <c r="I290" s="4"/>
      <c r="J290" s="4"/>
      <c r="K290" s="1"/>
    </row>
    <row r="291">
      <c r="F291" s="1"/>
      <c r="G291" s="2"/>
      <c r="H291" s="3"/>
      <c r="I291" s="4"/>
      <c r="J291" s="4"/>
      <c r="K291" s="1"/>
    </row>
    <row r="292">
      <c r="F292" s="1"/>
      <c r="G292" s="2"/>
      <c r="H292" s="3"/>
      <c r="I292" s="4"/>
      <c r="J292" s="4"/>
      <c r="K292" s="1"/>
    </row>
    <row r="293">
      <c r="F293" s="1"/>
      <c r="G293" s="2"/>
      <c r="H293" s="3"/>
      <c r="I293" s="4"/>
      <c r="J293" s="4"/>
      <c r="K293" s="1"/>
    </row>
    <row r="294">
      <c r="F294" s="1"/>
      <c r="G294" s="2"/>
      <c r="H294" s="3"/>
      <c r="I294" s="4"/>
      <c r="J294" s="4"/>
      <c r="K294" s="1"/>
    </row>
    <row r="295">
      <c r="F295" s="1"/>
      <c r="G295" s="2"/>
      <c r="H295" s="3"/>
      <c r="I295" s="4"/>
      <c r="J295" s="4"/>
      <c r="K295" s="1"/>
    </row>
    <row r="296">
      <c r="F296" s="1"/>
      <c r="G296" s="2"/>
      <c r="H296" s="3"/>
      <c r="I296" s="4"/>
      <c r="J296" s="4"/>
      <c r="K296" s="1"/>
    </row>
    <row r="297">
      <c r="F297" s="1"/>
      <c r="G297" s="2"/>
      <c r="H297" s="3"/>
      <c r="I297" s="4"/>
      <c r="J297" s="4"/>
      <c r="K297" s="1"/>
    </row>
    <row r="298">
      <c r="F298" s="1"/>
      <c r="G298" s="2"/>
      <c r="H298" s="3"/>
      <c r="I298" s="4"/>
      <c r="J298" s="4"/>
      <c r="K298" s="1"/>
    </row>
    <row r="299">
      <c r="F299" s="1"/>
      <c r="G299" s="2"/>
      <c r="H299" s="3"/>
      <c r="I299" s="4"/>
      <c r="J299" s="4"/>
      <c r="K299" s="1"/>
    </row>
    <row r="300">
      <c r="F300" s="1"/>
      <c r="G300" s="2"/>
      <c r="H300" s="3"/>
      <c r="I300" s="4"/>
      <c r="J300" s="4"/>
      <c r="K300" s="1"/>
    </row>
    <row r="301">
      <c r="F301" s="1"/>
      <c r="G301" s="2"/>
      <c r="H301" s="3"/>
      <c r="I301" s="4"/>
      <c r="J301" s="4"/>
      <c r="K301" s="1"/>
    </row>
    <row r="302">
      <c r="F302" s="1"/>
      <c r="G302" s="2"/>
      <c r="H302" s="3"/>
      <c r="I302" s="4"/>
      <c r="J302" s="4"/>
      <c r="K302" s="1"/>
    </row>
    <row r="303">
      <c r="F303" s="1"/>
      <c r="G303" s="2"/>
      <c r="H303" s="3"/>
      <c r="I303" s="4"/>
      <c r="J303" s="4"/>
      <c r="K303" s="1"/>
    </row>
    <row r="304">
      <c r="F304" s="1"/>
      <c r="G304" s="2"/>
      <c r="H304" s="3"/>
      <c r="I304" s="4"/>
      <c r="J304" s="4"/>
      <c r="K304" s="1"/>
    </row>
    <row r="305">
      <c r="F305" s="1"/>
      <c r="G305" s="2"/>
      <c r="H305" s="3"/>
      <c r="I305" s="4"/>
      <c r="J305" s="4"/>
      <c r="K305" s="1"/>
    </row>
    <row r="306">
      <c r="F306" s="1"/>
      <c r="G306" s="2"/>
      <c r="H306" s="3"/>
      <c r="I306" s="4"/>
      <c r="J306" s="4"/>
      <c r="K306" s="1"/>
    </row>
    <row r="307">
      <c r="F307" s="1"/>
      <c r="G307" s="2"/>
      <c r="H307" s="3"/>
      <c r="I307" s="4"/>
      <c r="J307" s="4"/>
      <c r="K307" s="1"/>
    </row>
    <row r="308">
      <c r="F308" s="1"/>
      <c r="G308" s="2"/>
      <c r="H308" s="3"/>
      <c r="I308" s="4"/>
      <c r="J308" s="4"/>
      <c r="K308" s="1"/>
    </row>
    <row r="309">
      <c r="F309" s="1"/>
      <c r="G309" s="2"/>
      <c r="H309" s="3"/>
      <c r="I309" s="4"/>
      <c r="J309" s="4"/>
      <c r="K309" s="1"/>
    </row>
    <row r="310">
      <c r="F310" s="1"/>
      <c r="G310" s="2"/>
      <c r="H310" s="3"/>
      <c r="I310" s="4"/>
      <c r="J310" s="4"/>
      <c r="K310" s="1"/>
    </row>
    <row r="311">
      <c r="F311" s="1"/>
      <c r="G311" s="2"/>
      <c r="H311" s="3"/>
      <c r="I311" s="4"/>
      <c r="J311" s="4"/>
      <c r="K311" s="1"/>
    </row>
    <row r="312">
      <c r="F312" s="1"/>
      <c r="G312" s="2"/>
      <c r="H312" s="3"/>
      <c r="I312" s="4"/>
      <c r="J312" s="4"/>
      <c r="K312" s="1"/>
    </row>
    <row r="313">
      <c r="F313" s="1"/>
      <c r="G313" s="2"/>
      <c r="H313" s="3"/>
      <c r="I313" s="4"/>
      <c r="J313" s="4"/>
      <c r="K313" s="1"/>
    </row>
    <row r="314">
      <c r="F314" s="1"/>
      <c r="G314" s="2"/>
      <c r="H314" s="3"/>
      <c r="I314" s="4"/>
      <c r="J314" s="4"/>
      <c r="K314" s="1"/>
    </row>
    <row r="315">
      <c r="F315" s="1"/>
      <c r="G315" s="2"/>
      <c r="H315" s="3"/>
      <c r="I315" s="4"/>
      <c r="J315" s="4"/>
      <c r="K315" s="1"/>
    </row>
    <row r="316">
      <c r="F316" s="1"/>
      <c r="G316" s="2"/>
      <c r="H316" s="3"/>
      <c r="I316" s="4"/>
      <c r="J316" s="4"/>
      <c r="K316" s="1"/>
    </row>
    <row r="317">
      <c r="F317" s="1"/>
      <c r="G317" s="2"/>
      <c r="H317" s="3"/>
      <c r="I317" s="4"/>
      <c r="J317" s="4"/>
      <c r="K317" s="1"/>
    </row>
    <row r="318">
      <c r="F318" s="1"/>
      <c r="G318" s="2"/>
      <c r="H318" s="3"/>
      <c r="I318" s="4"/>
      <c r="J318" s="4"/>
      <c r="K318" s="1"/>
    </row>
    <row r="319">
      <c r="F319" s="1"/>
      <c r="G319" s="2"/>
      <c r="H319" s="3"/>
      <c r="I319" s="4"/>
      <c r="J319" s="4"/>
      <c r="K319" s="1"/>
    </row>
    <row r="320">
      <c r="F320" s="1"/>
      <c r="G320" s="2"/>
      <c r="H320" s="3"/>
      <c r="I320" s="4"/>
      <c r="J320" s="4"/>
      <c r="K320" s="1"/>
    </row>
    <row r="321">
      <c r="F321" s="1"/>
      <c r="G321" s="2"/>
      <c r="H321" s="3"/>
      <c r="I321" s="4"/>
      <c r="J321" s="4"/>
      <c r="K321" s="1"/>
    </row>
    <row r="322">
      <c r="F322" s="1"/>
      <c r="G322" s="2"/>
      <c r="H322" s="3"/>
      <c r="I322" s="4"/>
      <c r="J322" s="4"/>
      <c r="K322" s="1"/>
    </row>
    <row r="323">
      <c r="F323" s="1"/>
      <c r="G323" s="2"/>
      <c r="H323" s="3"/>
      <c r="I323" s="4"/>
      <c r="J323" s="4"/>
      <c r="K323" s="1"/>
    </row>
    <row r="324">
      <c r="F324" s="1"/>
      <c r="G324" s="2"/>
      <c r="H324" s="3"/>
      <c r="I324" s="4"/>
      <c r="J324" s="4"/>
      <c r="K324" s="1"/>
    </row>
    <row r="325">
      <c r="F325" s="1"/>
      <c r="G325" s="2"/>
      <c r="H325" s="3"/>
      <c r="I325" s="4"/>
      <c r="J325" s="4"/>
      <c r="K325" s="1"/>
    </row>
    <row r="326">
      <c r="F326" s="1"/>
      <c r="G326" s="2"/>
      <c r="H326" s="3"/>
      <c r="I326" s="4"/>
      <c r="J326" s="4"/>
      <c r="K326" s="1"/>
    </row>
    <row r="327">
      <c r="F327" s="1"/>
      <c r="G327" s="2"/>
      <c r="H327" s="3"/>
      <c r="I327" s="4"/>
      <c r="J327" s="4"/>
      <c r="K327" s="1"/>
    </row>
    <row r="328">
      <c r="F328" s="1"/>
      <c r="G328" s="2"/>
      <c r="H328" s="3"/>
      <c r="I328" s="4"/>
      <c r="J328" s="4"/>
      <c r="K328" s="1"/>
    </row>
    <row r="329">
      <c r="F329" s="1"/>
      <c r="G329" s="2"/>
      <c r="H329" s="3"/>
      <c r="I329" s="4"/>
      <c r="J329" s="4"/>
      <c r="K329" s="1"/>
    </row>
    <row r="330">
      <c r="F330" s="1"/>
      <c r="G330" s="2"/>
      <c r="H330" s="3"/>
      <c r="I330" s="4"/>
      <c r="J330" s="4"/>
      <c r="K330" s="1"/>
    </row>
    <row r="331">
      <c r="F331" s="1"/>
      <c r="G331" s="2"/>
      <c r="H331" s="3"/>
      <c r="I331" s="4"/>
      <c r="J331" s="4"/>
      <c r="K331" s="1"/>
    </row>
    <row r="332">
      <c r="F332" s="1"/>
      <c r="G332" s="2"/>
      <c r="H332" s="3"/>
      <c r="I332" s="4"/>
      <c r="J332" s="4"/>
      <c r="K332" s="1"/>
    </row>
    <row r="333">
      <c r="F333" s="1"/>
      <c r="G333" s="2"/>
      <c r="H333" s="3"/>
      <c r="I333" s="4"/>
      <c r="J333" s="4"/>
      <c r="K333" s="1"/>
    </row>
    <row r="334">
      <c r="F334" s="1"/>
      <c r="G334" s="2"/>
      <c r="H334" s="3"/>
      <c r="I334" s="4"/>
      <c r="J334" s="4"/>
      <c r="K334" s="1"/>
    </row>
    <row r="335">
      <c r="F335" s="1"/>
      <c r="G335" s="2"/>
      <c r="H335" s="3"/>
      <c r="I335" s="4"/>
      <c r="J335" s="4"/>
      <c r="K335" s="1"/>
    </row>
    <row r="336">
      <c r="F336" s="1"/>
      <c r="G336" s="2"/>
      <c r="H336" s="3"/>
      <c r="I336" s="4"/>
      <c r="J336" s="4"/>
      <c r="K336" s="1"/>
    </row>
    <row r="337">
      <c r="F337" s="1"/>
      <c r="G337" s="2"/>
      <c r="H337" s="3"/>
      <c r="I337" s="4"/>
      <c r="J337" s="4"/>
      <c r="K337" s="1"/>
    </row>
    <row r="338">
      <c r="F338" s="1"/>
      <c r="G338" s="2"/>
      <c r="H338" s="3"/>
      <c r="I338" s="4"/>
      <c r="J338" s="4"/>
      <c r="K338" s="1"/>
    </row>
    <row r="339">
      <c r="F339" s="1"/>
      <c r="G339" s="2"/>
      <c r="H339" s="3"/>
      <c r="I339" s="4"/>
      <c r="J339" s="4"/>
      <c r="K339" s="1"/>
    </row>
    <row r="340">
      <c r="F340" s="1"/>
      <c r="G340" s="2"/>
      <c r="H340" s="3"/>
      <c r="I340" s="4"/>
      <c r="J340" s="4"/>
      <c r="K340" s="1"/>
    </row>
    <row r="341">
      <c r="F341" s="1"/>
      <c r="G341" s="2"/>
      <c r="H341" s="3"/>
      <c r="I341" s="4"/>
      <c r="J341" s="4"/>
      <c r="K341" s="1"/>
    </row>
    <row r="342">
      <c r="F342" s="1"/>
      <c r="G342" s="2"/>
      <c r="H342" s="3"/>
      <c r="I342" s="4"/>
      <c r="J342" s="4"/>
      <c r="K342" s="1"/>
    </row>
    <row r="343">
      <c r="F343" s="1"/>
      <c r="G343" s="2"/>
      <c r="H343" s="3"/>
      <c r="I343" s="4"/>
      <c r="J343" s="4"/>
      <c r="K343" s="1"/>
    </row>
    <row r="344">
      <c r="F344" s="1"/>
      <c r="G344" s="2"/>
      <c r="H344" s="3"/>
      <c r="I344" s="4"/>
      <c r="J344" s="4"/>
      <c r="K344" s="1"/>
    </row>
    <row r="345">
      <c r="F345" s="1"/>
      <c r="G345" s="2"/>
      <c r="H345" s="3"/>
      <c r="I345" s="4"/>
      <c r="J345" s="4"/>
      <c r="K345" s="1"/>
    </row>
    <row r="346">
      <c r="F346" s="1"/>
      <c r="G346" s="2"/>
      <c r="H346" s="3"/>
      <c r="I346" s="4"/>
      <c r="J346" s="4"/>
      <c r="K346" s="1"/>
    </row>
    <row r="347">
      <c r="F347" s="1"/>
      <c r="G347" s="2"/>
      <c r="H347" s="3"/>
      <c r="I347" s="4"/>
      <c r="J347" s="4"/>
      <c r="K347" s="1"/>
    </row>
    <row r="348">
      <c r="F348" s="1"/>
      <c r="G348" s="2"/>
      <c r="H348" s="3"/>
      <c r="I348" s="4"/>
      <c r="J348" s="4"/>
      <c r="K348" s="1"/>
    </row>
    <row r="349">
      <c r="F349" s="1"/>
      <c r="G349" s="2"/>
      <c r="H349" s="3"/>
      <c r="I349" s="4"/>
      <c r="J349" s="4"/>
      <c r="K349" s="1"/>
    </row>
    <row r="350">
      <c r="F350" s="1"/>
      <c r="G350" s="2"/>
      <c r="H350" s="3"/>
      <c r="I350" s="4"/>
      <c r="J350" s="4"/>
      <c r="K350" s="1"/>
    </row>
    <row r="351">
      <c r="F351" s="1"/>
      <c r="G351" s="2"/>
      <c r="H351" s="3"/>
      <c r="I351" s="4"/>
      <c r="J351" s="4"/>
      <c r="K351" s="1"/>
    </row>
    <row r="352">
      <c r="F352" s="1"/>
      <c r="G352" s="2"/>
      <c r="H352" s="3"/>
      <c r="I352" s="4"/>
      <c r="J352" s="4"/>
      <c r="K352" s="1"/>
    </row>
    <row r="353">
      <c r="F353" s="1"/>
      <c r="G353" s="2"/>
      <c r="H353" s="3"/>
      <c r="I353" s="4"/>
      <c r="J353" s="4"/>
      <c r="K353" s="1"/>
    </row>
    <row r="354">
      <c r="F354" s="1"/>
      <c r="G354" s="2"/>
      <c r="H354" s="3"/>
      <c r="I354" s="4"/>
      <c r="J354" s="4"/>
      <c r="K354" s="1"/>
    </row>
    <row r="355">
      <c r="F355" s="1"/>
      <c r="G355" s="2"/>
      <c r="H355" s="3"/>
      <c r="I355" s="4"/>
      <c r="J355" s="4"/>
      <c r="K355" s="1"/>
    </row>
    <row r="356">
      <c r="F356" s="1"/>
      <c r="G356" s="2"/>
      <c r="H356" s="3"/>
      <c r="I356" s="4"/>
      <c r="J356" s="4"/>
      <c r="K356" s="1"/>
    </row>
    <row r="357">
      <c r="F357" s="1"/>
      <c r="G357" s="2"/>
      <c r="H357" s="3"/>
      <c r="I357" s="4"/>
      <c r="J357" s="4"/>
      <c r="K357" s="1"/>
    </row>
    <row r="358">
      <c r="F358" s="1"/>
      <c r="G358" s="2"/>
      <c r="H358" s="3"/>
      <c r="I358" s="4"/>
      <c r="J358" s="4"/>
      <c r="K358" s="1"/>
    </row>
    <row r="359">
      <c r="F359" s="1"/>
      <c r="G359" s="2"/>
      <c r="H359" s="3"/>
      <c r="I359" s="4"/>
      <c r="J359" s="4"/>
      <c r="K359" s="1"/>
    </row>
    <row r="360">
      <c r="F360" s="1"/>
      <c r="G360" s="2"/>
      <c r="H360" s="3"/>
      <c r="I360" s="4"/>
      <c r="J360" s="4"/>
      <c r="K360" s="1"/>
    </row>
    <row r="361">
      <c r="F361" s="1"/>
      <c r="G361" s="2"/>
      <c r="H361" s="3"/>
      <c r="I361" s="4"/>
      <c r="J361" s="4"/>
      <c r="K361" s="1"/>
    </row>
    <row r="362">
      <c r="F362" s="1"/>
      <c r="G362" s="2"/>
      <c r="H362" s="3"/>
      <c r="I362" s="4"/>
      <c r="J362" s="4"/>
      <c r="K362" s="1"/>
    </row>
    <row r="363">
      <c r="F363" s="1"/>
      <c r="G363" s="2"/>
      <c r="H363" s="3"/>
      <c r="I363" s="4"/>
      <c r="J363" s="4"/>
      <c r="K363" s="1"/>
    </row>
    <row r="364">
      <c r="F364" s="1"/>
      <c r="G364" s="2"/>
      <c r="H364" s="3"/>
      <c r="I364" s="4"/>
      <c r="J364" s="4"/>
      <c r="K364" s="1"/>
    </row>
    <row r="365">
      <c r="F365" s="1"/>
      <c r="G365" s="2"/>
      <c r="H365" s="3"/>
      <c r="I365" s="4"/>
      <c r="J365" s="4"/>
      <c r="K365" s="1"/>
    </row>
    <row r="366">
      <c r="F366" s="1"/>
      <c r="G366" s="2"/>
      <c r="H366" s="3"/>
      <c r="I366" s="4"/>
      <c r="J366" s="4"/>
      <c r="K366" s="1"/>
    </row>
    <row r="367">
      <c r="F367" s="1"/>
      <c r="G367" s="2"/>
      <c r="H367" s="3"/>
      <c r="I367" s="4"/>
      <c r="J367" s="4"/>
      <c r="K367" s="1"/>
    </row>
    <row r="368">
      <c r="F368" s="1"/>
      <c r="G368" s="2"/>
      <c r="H368" s="3"/>
      <c r="I368" s="4"/>
      <c r="J368" s="4"/>
      <c r="K368" s="1"/>
    </row>
    <row r="369">
      <c r="F369" s="1"/>
      <c r="G369" s="2"/>
      <c r="H369" s="3"/>
      <c r="I369" s="4"/>
      <c r="J369" s="4"/>
      <c r="K369" s="1"/>
    </row>
    <row r="370">
      <c r="F370" s="1"/>
      <c r="G370" s="2"/>
      <c r="H370" s="3"/>
      <c r="I370" s="4"/>
      <c r="J370" s="4"/>
      <c r="K370" s="1"/>
    </row>
    <row r="371">
      <c r="F371" s="1"/>
      <c r="G371" s="2"/>
      <c r="H371" s="3"/>
      <c r="I371" s="4"/>
      <c r="J371" s="4"/>
      <c r="K371" s="1"/>
    </row>
    <row r="372">
      <c r="F372" s="1"/>
      <c r="G372" s="2"/>
      <c r="H372" s="3"/>
      <c r="I372" s="4"/>
      <c r="J372" s="4"/>
      <c r="K372" s="1"/>
    </row>
    <row r="373">
      <c r="F373" s="1"/>
      <c r="G373" s="2"/>
      <c r="H373" s="3"/>
      <c r="I373" s="4"/>
      <c r="J373" s="4"/>
      <c r="K373" s="1"/>
    </row>
    <row r="374">
      <c r="F374" s="1"/>
      <c r="G374" s="2"/>
      <c r="H374" s="3"/>
      <c r="I374" s="4"/>
      <c r="J374" s="4"/>
      <c r="K374" s="1"/>
    </row>
    <row r="375">
      <c r="F375" s="1"/>
      <c r="G375" s="2"/>
      <c r="H375" s="3"/>
      <c r="I375" s="4"/>
      <c r="J375" s="4"/>
      <c r="K375" s="1"/>
    </row>
    <row r="376">
      <c r="F376" s="1"/>
      <c r="G376" s="2"/>
      <c r="H376" s="3"/>
      <c r="I376" s="4"/>
      <c r="J376" s="4"/>
      <c r="K376" s="1"/>
    </row>
    <row r="377">
      <c r="F377" s="1"/>
      <c r="G377" s="2"/>
      <c r="H377" s="3"/>
      <c r="I377" s="4"/>
      <c r="J377" s="4"/>
      <c r="K377" s="1"/>
    </row>
    <row r="378">
      <c r="F378" s="1"/>
      <c r="G378" s="2"/>
      <c r="H378" s="3"/>
      <c r="I378" s="4"/>
      <c r="J378" s="4"/>
      <c r="K378" s="1"/>
    </row>
    <row r="379">
      <c r="F379" s="1"/>
      <c r="G379" s="2"/>
      <c r="H379" s="3"/>
      <c r="I379" s="4"/>
      <c r="J379" s="4"/>
      <c r="K379" s="1"/>
    </row>
    <row r="380">
      <c r="F380" s="1"/>
      <c r="G380" s="2"/>
      <c r="H380" s="3"/>
      <c r="I380" s="4"/>
      <c r="J380" s="4"/>
      <c r="K380" s="1"/>
    </row>
    <row r="381">
      <c r="F381" s="1"/>
      <c r="G381" s="2"/>
      <c r="H381" s="3"/>
      <c r="I381" s="4"/>
      <c r="J381" s="4"/>
      <c r="K381" s="1"/>
    </row>
    <row r="382">
      <c r="F382" s="1"/>
      <c r="G382" s="2"/>
      <c r="H382" s="3"/>
      <c r="I382" s="4"/>
      <c r="J382" s="4"/>
      <c r="K382" s="1"/>
    </row>
    <row r="383">
      <c r="F383" s="1"/>
      <c r="G383" s="2"/>
      <c r="H383" s="3"/>
      <c r="I383" s="4"/>
      <c r="J383" s="4"/>
      <c r="K383" s="1"/>
    </row>
    <row r="384">
      <c r="F384" s="1"/>
      <c r="G384" s="2"/>
      <c r="H384" s="3"/>
      <c r="I384" s="4"/>
      <c r="J384" s="4"/>
      <c r="K384" s="1"/>
    </row>
    <row r="385">
      <c r="F385" s="1"/>
      <c r="G385" s="2"/>
      <c r="H385" s="3"/>
      <c r="I385" s="4"/>
      <c r="J385" s="4"/>
      <c r="K385" s="1"/>
    </row>
    <row r="386">
      <c r="F386" s="1"/>
      <c r="G386" s="2"/>
      <c r="H386" s="3"/>
      <c r="I386" s="4"/>
      <c r="J386" s="4"/>
      <c r="K386" s="1"/>
    </row>
    <row r="387">
      <c r="F387" s="1"/>
      <c r="G387" s="2"/>
      <c r="H387" s="3"/>
      <c r="I387" s="4"/>
      <c r="J387" s="4"/>
      <c r="K387" s="1"/>
    </row>
    <row r="388">
      <c r="F388" s="1"/>
      <c r="G388" s="2"/>
      <c r="H388" s="3"/>
      <c r="I388" s="4"/>
      <c r="J388" s="4"/>
      <c r="K388" s="1"/>
    </row>
    <row r="389">
      <c r="F389" s="1"/>
      <c r="G389" s="2"/>
      <c r="H389" s="3"/>
      <c r="I389" s="4"/>
      <c r="J389" s="4"/>
      <c r="K389" s="1"/>
    </row>
    <row r="390">
      <c r="F390" s="1"/>
      <c r="G390" s="2"/>
      <c r="H390" s="3"/>
      <c r="I390" s="4"/>
      <c r="J390" s="4"/>
      <c r="K390" s="1"/>
    </row>
    <row r="391">
      <c r="F391" s="1"/>
      <c r="G391" s="2"/>
      <c r="H391" s="3"/>
      <c r="I391" s="4"/>
      <c r="J391" s="4"/>
      <c r="K391" s="1"/>
    </row>
    <row r="392">
      <c r="F392" s="1"/>
      <c r="G392" s="2"/>
      <c r="H392" s="3"/>
      <c r="I392" s="4"/>
      <c r="J392" s="4"/>
      <c r="K392" s="1"/>
    </row>
    <row r="393">
      <c r="F393" s="1"/>
      <c r="G393" s="2"/>
      <c r="H393" s="3"/>
      <c r="I393" s="4"/>
      <c r="J393" s="4"/>
      <c r="K393" s="1"/>
    </row>
    <row r="394">
      <c r="F394" s="1"/>
      <c r="G394" s="2"/>
      <c r="H394" s="3"/>
      <c r="I394" s="4"/>
      <c r="J394" s="4"/>
      <c r="K394" s="1"/>
    </row>
    <row r="395">
      <c r="F395" s="1"/>
      <c r="G395" s="2"/>
      <c r="H395" s="3"/>
      <c r="I395" s="4"/>
      <c r="J395" s="4"/>
      <c r="K395" s="1"/>
    </row>
    <row r="396">
      <c r="F396" s="1"/>
      <c r="G396" s="2"/>
      <c r="H396" s="3"/>
      <c r="I396" s="4"/>
      <c r="J396" s="4"/>
      <c r="K396" s="1"/>
    </row>
    <row r="397">
      <c r="F397" s="1"/>
      <c r="G397" s="2"/>
      <c r="H397" s="3"/>
      <c r="I397" s="4"/>
      <c r="J397" s="4"/>
      <c r="K397" s="1"/>
    </row>
    <row r="398">
      <c r="F398" s="1"/>
      <c r="G398" s="2"/>
      <c r="H398" s="3"/>
      <c r="I398" s="4"/>
      <c r="J398" s="4"/>
      <c r="K398" s="1"/>
    </row>
    <row r="399">
      <c r="F399" s="1"/>
      <c r="G399" s="2"/>
      <c r="H399" s="3"/>
      <c r="I399" s="4"/>
      <c r="J399" s="4"/>
      <c r="K399" s="1"/>
    </row>
    <row r="400">
      <c r="F400" s="1"/>
      <c r="G400" s="2"/>
      <c r="H400" s="3"/>
      <c r="I400" s="4"/>
      <c r="J400" s="4"/>
      <c r="K400" s="1"/>
    </row>
    <row r="401">
      <c r="F401" s="1"/>
      <c r="G401" s="2"/>
      <c r="H401" s="3"/>
      <c r="I401" s="4"/>
      <c r="J401" s="4"/>
      <c r="K401" s="1"/>
    </row>
    <row r="402">
      <c r="F402" s="1"/>
      <c r="G402" s="2"/>
      <c r="H402" s="3"/>
      <c r="I402" s="4"/>
      <c r="J402" s="4"/>
      <c r="K402" s="1"/>
    </row>
    <row r="403">
      <c r="F403" s="1"/>
      <c r="G403" s="2"/>
      <c r="H403" s="3"/>
      <c r="I403" s="4"/>
      <c r="J403" s="4"/>
      <c r="K403" s="1"/>
    </row>
    <row r="404">
      <c r="F404" s="1"/>
      <c r="G404" s="2"/>
      <c r="H404" s="3"/>
      <c r="I404" s="4"/>
      <c r="J404" s="4"/>
      <c r="K404" s="1"/>
    </row>
    <row r="405">
      <c r="F405" s="1"/>
      <c r="G405" s="2"/>
      <c r="H405" s="3"/>
      <c r="I405" s="4"/>
      <c r="J405" s="4"/>
      <c r="K405" s="1"/>
    </row>
    <row r="406">
      <c r="F406" s="1"/>
      <c r="G406" s="2"/>
      <c r="H406" s="3"/>
      <c r="I406" s="4"/>
      <c r="J406" s="4"/>
      <c r="K406" s="1"/>
    </row>
    <row r="407">
      <c r="F407" s="1"/>
      <c r="G407" s="2"/>
      <c r="H407" s="3"/>
      <c r="I407" s="4"/>
      <c r="J407" s="4"/>
      <c r="K407" s="1"/>
    </row>
    <row r="408">
      <c r="F408" s="1"/>
      <c r="G408" s="2"/>
      <c r="H408" s="3"/>
      <c r="I408" s="4"/>
      <c r="J408" s="4"/>
      <c r="K408" s="1"/>
    </row>
    <row r="409">
      <c r="F409" s="1"/>
      <c r="G409" s="2"/>
      <c r="H409" s="3"/>
      <c r="I409" s="4"/>
      <c r="J409" s="4"/>
      <c r="K409" s="1"/>
    </row>
    <row r="410">
      <c r="F410" s="1"/>
      <c r="G410" s="2"/>
      <c r="H410" s="3"/>
      <c r="I410" s="4"/>
      <c r="J410" s="4"/>
      <c r="K410" s="1"/>
    </row>
    <row r="411">
      <c r="F411" s="1"/>
      <c r="G411" s="2"/>
      <c r="H411" s="3"/>
      <c r="I411" s="4"/>
      <c r="J411" s="4"/>
      <c r="K411" s="1"/>
    </row>
    <row r="412">
      <c r="F412" s="1"/>
      <c r="G412" s="2"/>
      <c r="H412" s="3"/>
      <c r="I412" s="4"/>
      <c r="J412" s="4"/>
      <c r="K412" s="1"/>
    </row>
    <row r="413">
      <c r="F413" s="1"/>
      <c r="G413" s="2"/>
      <c r="H413" s="3"/>
      <c r="I413" s="4"/>
      <c r="J413" s="4"/>
      <c r="K413" s="1"/>
    </row>
    <row r="414">
      <c r="F414" s="1"/>
      <c r="G414" s="2"/>
      <c r="H414" s="3"/>
      <c r="I414" s="4"/>
      <c r="J414" s="4"/>
      <c r="K414" s="1"/>
    </row>
    <row r="415">
      <c r="F415" s="1"/>
      <c r="G415" s="2"/>
      <c r="H415" s="3"/>
      <c r="I415" s="4"/>
      <c r="J415" s="4"/>
      <c r="K415" s="1"/>
    </row>
    <row r="416">
      <c r="F416" s="1"/>
      <c r="G416" s="2"/>
      <c r="H416" s="3"/>
      <c r="I416" s="4"/>
      <c r="J416" s="4"/>
      <c r="K416" s="1"/>
    </row>
    <row r="417">
      <c r="F417" s="1"/>
      <c r="G417" s="2"/>
      <c r="H417" s="3"/>
      <c r="I417" s="4"/>
      <c r="J417" s="4"/>
      <c r="K417" s="1"/>
    </row>
    <row r="418">
      <c r="F418" s="1"/>
      <c r="G418" s="2"/>
      <c r="H418" s="3"/>
      <c r="I418" s="4"/>
      <c r="J418" s="4"/>
      <c r="K418" s="1"/>
    </row>
    <row r="419">
      <c r="F419" s="1"/>
      <c r="G419" s="2"/>
      <c r="H419" s="3"/>
      <c r="I419" s="4"/>
      <c r="J419" s="4"/>
      <c r="K419" s="1"/>
    </row>
    <row r="420">
      <c r="F420" s="1"/>
      <c r="G420" s="2"/>
      <c r="H420" s="3"/>
      <c r="I420" s="4"/>
      <c r="J420" s="4"/>
      <c r="K420" s="1"/>
    </row>
    <row r="421">
      <c r="F421" s="1"/>
      <c r="G421" s="2"/>
      <c r="H421" s="3"/>
      <c r="I421" s="4"/>
      <c r="J421" s="4"/>
      <c r="K421" s="1"/>
    </row>
    <row r="422">
      <c r="F422" s="1"/>
      <c r="G422" s="2"/>
      <c r="H422" s="3"/>
      <c r="I422" s="4"/>
      <c r="J422" s="4"/>
      <c r="K422" s="1"/>
    </row>
    <row r="423">
      <c r="F423" s="1"/>
      <c r="G423" s="2"/>
      <c r="H423" s="3"/>
      <c r="I423" s="4"/>
      <c r="J423" s="4"/>
      <c r="K423" s="1"/>
    </row>
    <row r="424">
      <c r="F424" s="1"/>
      <c r="G424" s="2"/>
      <c r="H424" s="3"/>
      <c r="I424" s="4"/>
      <c r="J424" s="4"/>
      <c r="K424" s="1"/>
    </row>
    <row r="425">
      <c r="F425" s="1"/>
      <c r="G425" s="2"/>
      <c r="H425" s="3"/>
      <c r="I425" s="4"/>
      <c r="J425" s="4"/>
      <c r="K425" s="1"/>
    </row>
    <row r="426">
      <c r="F426" s="1"/>
      <c r="G426" s="2"/>
      <c r="H426" s="3"/>
      <c r="I426" s="4"/>
      <c r="J426" s="4"/>
      <c r="K426" s="1"/>
    </row>
    <row r="427">
      <c r="F427" s="1"/>
      <c r="G427" s="2"/>
      <c r="H427" s="3"/>
      <c r="I427" s="4"/>
      <c r="J427" s="4"/>
      <c r="K427" s="1"/>
    </row>
    <row r="428">
      <c r="F428" s="1"/>
      <c r="G428" s="2"/>
      <c r="H428" s="3"/>
      <c r="I428" s="4"/>
      <c r="J428" s="4"/>
      <c r="K428" s="1"/>
    </row>
    <row r="429">
      <c r="F429" s="1"/>
      <c r="G429" s="2"/>
      <c r="H429" s="3"/>
      <c r="I429" s="4"/>
      <c r="J429" s="4"/>
      <c r="K429" s="1"/>
    </row>
    <row r="430">
      <c r="F430" s="1"/>
      <c r="G430" s="2"/>
      <c r="H430" s="3"/>
      <c r="I430" s="4"/>
      <c r="J430" s="4"/>
      <c r="K430" s="1"/>
    </row>
    <row r="431">
      <c r="F431" s="1"/>
      <c r="G431" s="2"/>
      <c r="H431" s="3"/>
      <c r="I431" s="4"/>
      <c r="J431" s="4"/>
      <c r="K431" s="1"/>
    </row>
    <row r="432">
      <c r="F432" s="1"/>
      <c r="G432" s="2"/>
      <c r="H432" s="3"/>
      <c r="I432" s="4"/>
      <c r="J432" s="4"/>
      <c r="K432" s="1"/>
    </row>
    <row r="433">
      <c r="F433" s="1"/>
      <c r="G433" s="2"/>
      <c r="H433" s="3"/>
      <c r="I433" s="4"/>
      <c r="J433" s="4"/>
      <c r="K433" s="1"/>
    </row>
    <row r="434">
      <c r="F434" s="1"/>
      <c r="G434" s="2"/>
      <c r="H434" s="3"/>
      <c r="I434" s="4"/>
      <c r="J434" s="4"/>
      <c r="K434" s="1"/>
    </row>
    <row r="435">
      <c r="F435" s="1"/>
      <c r="G435" s="2"/>
      <c r="H435" s="3"/>
      <c r="I435" s="4"/>
      <c r="J435" s="4"/>
      <c r="K435" s="1"/>
    </row>
    <row r="436">
      <c r="F436" s="1"/>
      <c r="G436" s="2"/>
      <c r="H436" s="3"/>
      <c r="I436" s="4"/>
      <c r="J436" s="4"/>
      <c r="K436" s="1"/>
    </row>
    <row r="437">
      <c r="F437" s="1"/>
      <c r="G437" s="2"/>
      <c r="H437" s="3"/>
      <c r="I437" s="4"/>
      <c r="J437" s="4"/>
      <c r="K437" s="1"/>
    </row>
    <row r="438">
      <c r="F438" s="1"/>
      <c r="G438" s="2"/>
      <c r="H438" s="3"/>
      <c r="I438" s="4"/>
      <c r="J438" s="4"/>
      <c r="K438" s="1"/>
    </row>
    <row r="439">
      <c r="F439" s="1"/>
      <c r="G439" s="2"/>
      <c r="H439" s="3"/>
      <c r="I439" s="4"/>
      <c r="J439" s="4"/>
      <c r="K439" s="1"/>
    </row>
    <row r="440">
      <c r="F440" s="1"/>
      <c r="G440" s="2"/>
      <c r="H440" s="3"/>
      <c r="I440" s="4"/>
      <c r="J440" s="4"/>
      <c r="K440" s="1"/>
    </row>
    <row r="441">
      <c r="F441" s="1"/>
      <c r="G441" s="2"/>
      <c r="H441" s="3"/>
      <c r="I441" s="4"/>
      <c r="J441" s="4"/>
      <c r="K441" s="1"/>
    </row>
    <row r="442">
      <c r="F442" s="1"/>
      <c r="G442" s="2"/>
      <c r="H442" s="3"/>
      <c r="I442" s="4"/>
      <c r="J442" s="4"/>
      <c r="K442" s="1"/>
    </row>
    <row r="443">
      <c r="F443" s="1"/>
      <c r="G443" s="2"/>
      <c r="H443" s="3"/>
      <c r="I443" s="4"/>
      <c r="J443" s="4"/>
      <c r="K443" s="1"/>
    </row>
    <row r="444">
      <c r="F444" s="1"/>
      <c r="G444" s="2"/>
      <c r="H444" s="3"/>
      <c r="I444" s="4"/>
      <c r="J444" s="4"/>
      <c r="K444" s="1"/>
    </row>
    <row r="445">
      <c r="F445" s="1"/>
      <c r="G445" s="2"/>
      <c r="H445" s="3"/>
      <c r="I445" s="4"/>
      <c r="J445" s="4"/>
      <c r="K445" s="1"/>
    </row>
    <row r="446">
      <c r="F446" s="1"/>
      <c r="G446" s="2"/>
      <c r="H446" s="3"/>
      <c r="I446" s="4"/>
      <c r="J446" s="4"/>
      <c r="K446" s="1"/>
    </row>
    <row r="447">
      <c r="F447" s="1"/>
      <c r="G447" s="2"/>
      <c r="H447" s="3"/>
      <c r="I447" s="4"/>
      <c r="J447" s="4"/>
      <c r="K447" s="1"/>
    </row>
    <row r="448">
      <c r="F448" s="1"/>
      <c r="G448" s="2"/>
      <c r="H448" s="3"/>
      <c r="I448" s="4"/>
      <c r="J448" s="4"/>
      <c r="K448" s="1"/>
    </row>
    <row r="449">
      <c r="F449" s="1"/>
      <c r="G449" s="2"/>
      <c r="H449" s="3"/>
      <c r="I449" s="4"/>
      <c r="J449" s="4"/>
      <c r="K449" s="1"/>
    </row>
    <row r="450">
      <c r="F450" s="1"/>
      <c r="G450" s="2"/>
      <c r="H450" s="3"/>
      <c r="I450" s="4"/>
      <c r="J450" s="4"/>
      <c r="K450" s="1"/>
    </row>
    <row r="451">
      <c r="F451" s="1"/>
      <c r="G451" s="2"/>
      <c r="H451" s="3"/>
      <c r="I451" s="4"/>
      <c r="J451" s="4"/>
      <c r="K451" s="1"/>
    </row>
    <row r="452">
      <c r="F452" s="1"/>
      <c r="G452" s="2"/>
      <c r="H452" s="3"/>
      <c r="I452" s="4"/>
      <c r="J452" s="4"/>
      <c r="K452" s="1"/>
    </row>
    <row r="453">
      <c r="F453" s="1"/>
      <c r="G453" s="2"/>
      <c r="H453" s="3"/>
      <c r="I453" s="4"/>
      <c r="J453" s="4"/>
      <c r="K453" s="1"/>
    </row>
    <row r="454">
      <c r="F454" s="1"/>
      <c r="G454" s="2"/>
      <c r="H454" s="3"/>
      <c r="I454" s="4"/>
      <c r="J454" s="4"/>
      <c r="K454" s="1"/>
    </row>
    <row r="455">
      <c r="F455" s="1"/>
      <c r="G455" s="2"/>
      <c r="H455" s="3"/>
      <c r="I455" s="4"/>
      <c r="J455" s="4"/>
      <c r="K455" s="1"/>
    </row>
    <row r="456">
      <c r="F456" s="1"/>
      <c r="G456" s="2"/>
      <c r="H456" s="3"/>
      <c r="I456" s="4"/>
      <c r="J456" s="4"/>
      <c r="K456" s="1"/>
    </row>
    <row r="457">
      <c r="F457" s="1"/>
      <c r="G457" s="2"/>
      <c r="H457" s="3"/>
      <c r="I457" s="4"/>
      <c r="J457" s="4"/>
      <c r="K457" s="1"/>
    </row>
    <row r="458">
      <c r="F458" s="1"/>
      <c r="G458" s="2"/>
      <c r="H458" s="3"/>
      <c r="I458" s="4"/>
      <c r="J458" s="4"/>
      <c r="K458" s="1"/>
    </row>
    <row r="459">
      <c r="F459" s="1"/>
      <c r="G459" s="2"/>
      <c r="H459" s="3"/>
      <c r="I459" s="4"/>
      <c r="J459" s="4"/>
      <c r="K459" s="1"/>
    </row>
    <row r="460">
      <c r="F460" s="1"/>
      <c r="G460" s="2"/>
      <c r="H460" s="3"/>
      <c r="I460" s="4"/>
      <c r="J460" s="4"/>
      <c r="K460" s="1"/>
    </row>
    <row r="461">
      <c r="F461" s="1"/>
      <c r="G461" s="2"/>
      <c r="H461" s="3"/>
      <c r="I461" s="4"/>
      <c r="J461" s="4"/>
      <c r="K461" s="1"/>
    </row>
    <row r="462">
      <c r="F462" s="1"/>
      <c r="G462" s="2"/>
      <c r="H462" s="3"/>
      <c r="I462" s="4"/>
      <c r="J462" s="4"/>
      <c r="K462" s="1"/>
    </row>
    <row r="463">
      <c r="F463" s="1"/>
      <c r="G463" s="2"/>
      <c r="H463" s="3"/>
      <c r="I463" s="4"/>
      <c r="J463" s="4"/>
      <c r="K463" s="1"/>
    </row>
    <row r="464">
      <c r="F464" s="1"/>
      <c r="G464" s="2"/>
      <c r="H464" s="3"/>
      <c r="I464" s="4"/>
      <c r="J464" s="4"/>
      <c r="K464" s="1"/>
    </row>
    <row r="465">
      <c r="F465" s="1"/>
      <c r="G465" s="2"/>
      <c r="H465" s="3"/>
      <c r="I465" s="4"/>
      <c r="J465" s="4"/>
      <c r="K465" s="1"/>
    </row>
    <row r="466">
      <c r="F466" s="1"/>
      <c r="G466" s="2"/>
      <c r="H466" s="3"/>
      <c r="I466" s="4"/>
      <c r="J466" s="4"/>
      <c r="K466" s="1"/>
    </row>
    <row r="467">
      <c r="F467" s="1"/>
      <c r="G467" s="2"/>
      <c r="H467" s="3"/>
      <c r="I467" s="4"/>
      <c r="J467" s="4"/>
      <c r="K467" s="1"/>
    </row>
    <row r="468">
      <c r="F468" s="1"/>
      <c r="G468" s="2"/>
      <c r="H468" s="3"/>
      <c r="I468" s="4"/>
      <c r="J468" s="4"/>
      <c r="K468" s="1"/>
    </row>
    <row r="469">
      <c r="F469" s="1"/>
      <c r="G469" s="2"/>
      <c r="H469" s="3"/>
      <c r="I469" s="4"/>
      <c r="J469" s="4"/>
      <c r="K469" s="1"/>
    </row>
    <row r="470">
      <c r="F470" s="1"/>
      <c r="G470" s="2"/>
      <c r="H470" s="3"/>
      <c r="I470" s="4"/>
      <c r="J470" s="4"/>
      <c r="K470" s="1"/>
    </row>
    <row r="471">
      <c r="F471" s="1"/>
      <c r="G471" s="2"/>
      <c r="H471" s="3"/>
      <c r="I471" s="4"/>
      <c r="J471" s="4"/>
      <c r="K471" s="1"/>
    </row>
    <row r="472">
      <c r="F472" s="1"/>
      <c r="G472" s="2"/>
      <c r="H472" s="3"/>
      <c r="I472" s="4"/>
      <c r="J472" s="4"/>
      <c r="K472" s="1"/>
    </row>
    <row r="473">
      <c r="F473" s="1"/>
      <c r="G473" s="2"/>
      <c r="H473" s="3"/>
      <c r="I473" s="4"/>
      <c r="J473" s="4"/>
      <c r="K473" s="1"/>
    </row>
    <row r="474">
      <c r="F474" s="1"/>
      <c r="G474" s="2"/>
      <c r="H474" s="3"/>
      <c r="I474" s="4"/>
      <c r="J474" s="4"/>
      <c r="K474" s="1"/>
    </row>
    <row r="475">
      <c r="F475" s="1"/>
      <c r="G475" s="2"/>
      <c r="H475" s="3"/>
      <c r="I475" s="4"/>
      <c r="J475" s="4"/>
      <c r="K475" s="1"/>
    </row>
    <row r="476">
      <c r="F476" s="1"/>
      <c r="G476" s="2"/>
      <c r="H476" s="3"/>
      <c r="I476" s="4"/>
      <c r="J476" s="4"/>
      <c r="K476" s="1"/>
    </row>
    <row r="477">
      <c r="F477" s="1"/>
      <c r="G477" s="2"/>
      <c r="H477" s="3"/>
      <c r="I477" s="4"/>
      <c r="J477" s="4"/>
      <c r="K477" s="1"/>
    </row>
    <row r="478">
      <c r="F478" s="1"/>
      <c r="G478" s="2"/>
      <c r="H478" s="3"/>
      <c r="I478" s="4"/>
      <c r="J478" s="4"/>
      <c r="K478" s="1"/>
    </row>
    <row r="479">
      <c r="F479" s="1"/>
      <c r="G479" s="2"/>
      <c r="H479" s="3"/>
      <c r="I479" s="4"/>
      <c r="J479" s="4"/>
      <c r="K479" s="1"/>
    </row>
    <row r="480">
      <c r="F480" s="1"/>
      <c r="G480" s="2"/>
      <c r="H480" s="3"/>
      <c r="I480" s="4"/>
      <c r="J480" s="4"/>
      <c r="K480" s="1"/>
    </row>
    <row r="481">
      <c r="F481" s="1"/>
      <c r="G481" s="2"/>
      <c r="H481" s="3"/>
      <c r="I481" s="4"/>
      <c r="J481" s="4"/>
      <c r="K481" s="1"/>
    </row>
    <row r="482">
      <c r="F482" s="1"/>
      <c r="G482" s="2"/>
      <c r="H482" s="3"/>
      <c r="I482" s="4"/>
      <c r="J482" s="4"/>
      <c r="K482" s="1"/>
    </row>
    <row r="483">
      <c r="F483" s="1"/>
      <c r="G483" s="2"/>
      <c r="H483" s="3"/>
      <c r="I483" s="4"/>
      <c r="J483" s="4"/>
      <c r="K483" s="1"/>
    </row>
    <row r="484">
      <c r="F484" s="1"/>
      <c r="G484" s="2"/>
      <c r="H484" s="3"/>
      <c r="I484" s="4"/>
      <c r="J484" s="4"/>
      <c r="K484" s="1"/>
    </row>
    <row r="485">
      <c r="F485" s="1"/>
      <c r="G485" s="2"/>
      <c r="H485" s="3"/>
      <c r="I485" s="4"/>
      <c r="J485" s="4"/>
      <c r="K485" s="1"/>
    </row>
    <row r="486">
      <c r="F486" s="1"/>
      <c r="G486" s="2"/>
      <c r="H486" s="3"/>
      <c r="I486" s="4"/>
      <c r="J486" s="4"/>
      <c r="K486" s="1"/>
    </row>
    <row r="487">
      <c r="F487" s="1"/>
      <c r="G487" s="2"/>
      <c r="H487" s="3"/>
      <c r="I487" s="4"/>
      <c r="J487" s="4"/>
      <c r="K487" s="1"/>
    </row>
    <row r="488">
      <c r="F488" s="1"/>
      <c r="G488" s="2"/>
      <c r="H488" s="3"/>
      <c r="I488" s="4"/>
      <c r="J488" s="4"/>
      <c r="K488" s="1"/>
    </row>
    <row r="489">
      <c r="F489" s="1"/>
      <c r="G489" s="2"/>
      <c r="H489" s="3"/>
      <c r="I489" s="4"/>
      <c r="J489" s="4"/>
      <c r="K489" s="1"/>
    </row>
    <row r="490">
      <c r="F490" s="1"/>
      <c r="G490" s="2"/>
      <c r="H490" s="3"/>
      <c r="I490" s="4"/>
      <c r="J490" s="4"/>
      <c r="K490" s="1"/>
    </row>
    <row r="491">
      <c r="F491" s="1"/>
      <c r="G491" s="2"/>
      <c r="H491" s="3"/>
      <c r="I491" s="4"/>
      <c r="J491" s="4"/>
      <c r="K491" s="1"/>
    </row>
    <row r="492">
      <c r="F492" s="1"/>
      <c r="G492" s="2"/>
      <c r="H492" s="3"/>
      <c r="I492" s="4"/>
      <c r="J492" s="4"/>
      <c r="K492" s="1"/>
    </row>
    <row r="493">
      <c r="F493" s="1"/>
      <c r="G493" s="2"/>
      <c r="H493" s="3"/>
      <c r="I493" s="4"/>
      <c r="J493" s="4"/>
      <c r="K493" s="1"/>
    </row>
    <row r="494">
      <c r="F494" s="1"/>
      <c r="G494" s="2"/>
      <c r="H494" s="3"/>
      <c r="I494" s="4"/>
      <c r="J494" s="4"/>
      <c r="K494" s="1"/>
    </row>
    <row r="495">
      <c r="F495" s="1"/>
      <c r="G495" s="2"/>
      <c r="H495" s="3"/>
      <c r="I495" s="4"/>
      <c r="J495" s="4"/>
      <c r="K495" s="1"/>
    </row>
    <row r="496">
      <c r="F496" s="1"/>
      <c r="G496" s="2"/>
      <c r="H496" s="3"/>
      <c r="I496" s="4"/>
      <c r="J496" s="4"/>
      <c r="K496" s="1"/>
    </row>
    <row r="497">
      <c r="F497" s="1"/>
      <c r="G497" s="2"/>
      <c r="H497" s="3"/>
      <c r="I497" s="4"/>
      <c r="J497" s="4"/>
      <c r="K497" s="1"/>
    </row>
    <row r="498">
      <c r="F498" s="1"/>
      <c r="G498" s="2"/>
      <c r="H498" s="3"/>
      <c r="I498" s="4"/>
      <c r="J498" s="4"/>
      <c r="K498" s="1"/>
    </row>
    <row r="499">
      <c r="F499" s="1"/>
      <c r="G499" s="2"/>
      <c r="H499" s="3"/>
      <c r="I499" s="4"/>
      <c r="J499" s="4"/>
      <c r="K499" s="1"/>
    </row>
    <row r="500">
      <c r="F500" s="1"/>
      <c r="G500" s="2"/>
      <c r="H500" s="3"/>
      <c r="I500" s="4"/>
      <c r="J500" s="4"/>
      <c r="K500" s="1"/>
    </row>
    <row r="501">
      <c r="F501" s="1"/>
      <c r="G501" s="2"/>
      <c r="H501" s="3"/>
      <c r="I501" s="4"/>
      <c r="J501" s="4"/>
      <c r="K501" s="1"/>
    </row>
    <row r="502">
      <c r="F502" s="1"/>
      <c r="G502" s="2"/>
      <c r="H502" s="3"/>
      <c r="I502" s="4"/>
      <c r="J502" s="4"/>
      <c r="K502" s="1"/>
    </row>
    <row r="503">
      <c r="F503" s="1"/>
      <c r="G503" s="2"/>
      <c r="H503" s="3"/>
      <c r="I503" s="4"/>
      <c r="J503" s="4"/>
      <c r="K503" s="1"/>
    </row>
    <row r="504">
      <c r="F504" s="1"/>
      <c r="G504" s="2"/>
      <c r="H504" s="3"/>
      <c r="I504" s="4"/>
      <c r="J504" s="4"/>
      <c r="K504" s="1"/>
    </row>
    <row r="505">
      <c r="F505" s="1"/>
      <c r="G505" s="2"/>
      <c r="H505" s="3"/>
      <c r="I505" s="4"/>
      <c r="J505" s="4"/>
      <c r="K505" s="1"/>
    </row>
    <row r="506">
      <c r="F506" s="1"/>
      <c r="G506" s="2"/>
      <c r="H506" s="3"/>
      <c r="I506" s="4"/>
      <c r="J506" s="4"/>
      <c r="K506" s="1"/>
    </row>
    <row r="507">
      <c r="F507" s="1"/>
      <c r="G507" s="2"/>
      <c r="H507" s="3"/>
      <c r="I507" s="4"/>
      <c r="J507" s="4"/>
      <c r="K507" s="1"/>
    </row>
    <row r="508">
      <c r="F508" s="1"/>
      <c r="G508" s="2"/>
      <c r="H508" s="3"/>
      <c r="I508" s="4"/>
      <c r="J508" s="4"/>
      <c r="K508" s="1"/>
    </row>
    <row r="509">
      <c r="F509" s="1"/>
      <c r="G509" s="2"/>
      <c r="H509" s="3"/>
      <c r="I509" s="4"/>
      <c r="J509" s="4"/>
      <c r="K509" s="1"/>
    </row>
    <row r="510">
      <c r="F510" s="1"/>
      <c r="G510" s="2"/>
      <c r="H510" s="3"/>
      <c r="I510" s="4"/>
      <c r="J510" s="4"/>
      <c r="K510" s="1"/>
    </row>
    <row r="511">
      <c r="F511" s="1"/>
      <c r="G511" s="2"/>
      <c r="H511" s="3"/>
      <c r="I511" s="4"/>
      <c r="J511" s="4"/>
      <c r="K511" s="1"/>
    </row>
    <row r="512">
      <c r="F512" s="1"/>
      <c r="G512" s="2"/>
      <c r="H512" s="3"/>
      <c r="I512" s="4"/>
      <c r="J512" s="4"/>
      <c r="K512" s="1"/>
    </row>
    <row r="513">
      <c r="F513" s="1"/>
      <c r="G513" s="2"/>
      <c r="H513" s="3"/>
      <c r="I513" s="4"/>
      <c r="J513" s="4"/>
      <c r="K513" s="1"/>
    </row>
    <row r="514">
      <c r="F514" s="1"/>
      <c r="G514" s="2"/>
      <c r="H514" s="3"/>
      <c r="I514" s="4"/>
      <c r="J514" s="4"/>
      <c r="K514" s="1"/>
    </row>
    <row r="515">
      <c r="F515" s="1"/>
      <c r="G515" s="2"/>
      <c r="H515" s="3"/>
      <c r="I515" s="4"/>
      <c r="J515" s="4"/>
      <c r="K515" s="1"/>
    </row>
    <row r="516">
      <c r="F516" s="1"/>
      <c r="G516" s="2"/>
      <c r="H516" s="3"/>
      <c r="I516" s="4"/>
      <c r="J516" s="4"/>
      <c r="K516" s="1"/>
    </row>
    <row r="517">
      <c r="F517" s="1"/>
      <c r="G517" s="2"/>
      <c r="H517" s="3"/>
      <c r="I517" s="4"/>
      <c r="J517" s="4"/>
      <c r="K517" s="1"/>
    </row>
    <row r="518">
      <c r="F518" s="1"/>
      <c r="G518" s="2"/>
      <c r="H518" s="3"/>
      <c r="I518" s="4"/>
      <c r="J518" s="4"/>
      <c r="K518" s="1"/>
    </row>
    <row r="519">
      <c r="F519" s="1"/>
      <c r="G519" s="2"/>
      <c r="H519" s="3"/>
      <c r="I519" s="4"/>
      <c r="J519" s="4"/>
      <c r="K519" s="1"/>
    </row>
    <row r="520">
      <c r="F520" s="1"/>
      <c r="G520" s="2"/>
      <c r="H520" s="3"/>
      <c r="I520" s="4"/>
      <c r="J520" s="4"/>
      <c r="K520" s="1"/>
    </row>
    <row r="521">
      <c r="F521" s="1"/>
      <c r="G521" s="2"/>
      <c r="H521" s="3"/>
      <c r="I521" s="4"/>
      <c r="J521" s="4"/>
      <c r="K521" s="1"/>
    </row>
    <row r="522">
      <c r="F522" s="1"/>
      <c r="G522" s="2"/>
      <c r="H522" s="3"/>
      <c r="I522" s="4"/>
      <c r="J522" s="4"/>
      <c r="K522" s="1"/>
    </row>
    <row r="523">
      <c r="F523" s="1"/>
      <c r="G523" s="2"/>
      <c r="H523" s="3"/>
      <c r="I523" s="4"/>
      <c r="J523" s="4"/>
      <c r="K523" s="1"/>
    </row>
    <row r="524">
      <c r="F524" s="1"/>
      <c r="G524" s="2"/>
      <c r="H524" s="3"/>
      <c r="I524" s="4"/>
      <c r="J524" s="4"/>
      <c r="K524" s="1"/>
    </row>
    <row r="525">
      <c r="F525" s="1"/>
      <c r="G525" s="2"/>
      <c r="H525" s="3"/>
      <c r="I525" s="4"/>
      <c r="J525" s="4"/>
      <c r="K525" s="1"/>
    </row>
    <row r="526">
      <c r="F526" s="1"/>
      <c r="G526" s="2"/>
      <c r="H526" s="3"/>
      <c r="I526" s="4"/>
      <c r="J526" s="4"/>
      <c r="K526" s="1"/>
    </row>
    <row r="527">
      <c r="F527" s="1"/>
      <c r="G527" s="2"/>
      <c r="H527" s="3"/>
      <c r="I527" s="4"/>
      <c r="J527" s="4"/>
      <c r="K527" s="1"/>
    </row>
    <row r="528">
      <c r="F528" s="1"/>
      <c r="G528" s="2"/>
      <c r="H528" s="3"/>
      <c r="I528" s="4"/>
      <c r="J528" s="4"/>
      <c r="K528" s="1"/>
    </row>
    <row r="529">
      <c r="F529" s="1"/>
      <c r="G529" s="2"/>
      <c r="H529" s="3"/>
      <c r="I529" s="4"/>
      <c r="J529" s="4"/>
      <c r="K529" s="1"/>
    </row>
    <row r="530">
      <c r="F530" s="1"/>
      <c r="G530" s="2"/>
      <c r="H530" s="3"/>
      <c r="I530" s="4"/>
      <c r="J530" s="4"/>
      <c r="K530" s="1"/>
    </row>
    <row r="531">
      <c r="F531" s="1"/>
      <c r="G531" s="2"/>
      <c r="H531" s="3"/>
      <c r="I531" s="4"/>
      <c r="J531" s="4"/>
      <c r="K531" s="1"/>
    </row>
    <row r="532">
      <c r="F532" s="1"/>
      <c r="G532" s="2"/>
      <c r="H532" s="3"/>
      <c r="I532" s="4"/>
      <c r="J532" s="4"/>
      <c r="K532" s="1"/>
    </row>
    <row r="533">
      <c r="F533" s="1"/>
      <c r="G533" s="2"/>
      <c r="H533" s="3"/>
      <c r="I533" s="4"/>
      <c r="J533" s="4"/>
      <c r="K533" s="1"/>
    </row>
    <row r="534">
      <c r="F534" s="1"/>
      <c r="G534" s="2"/>
      <c r="H534" s="3"/>
      <c r="I534" s="4"/>
      <c r="J534" s="4"/>
      <c r="K534" s="1"/>
    </row>
    <row r="535">
      <c r="F535" s="1"/>
      <c r="G535" s="2"/>
      <c r="H535" s="3"/>
      <c r="I535" s="4"/>
      <c r="J535" s="4"/>
      <c r="K535" s="1"/>
    </row>
    <row r="536">
      <c r="F536" s="1"/>
      <c r="G536" s="2"/>
      <c r="H536" s="3"/>
      <c r="I536" s="4"/>
      <c r="J536" s="4"/>
      <c r="K536" s="1"/>
    </row>
    <row r="537">
      <c r="F537" s="1"/>
      <c r="G537" s="2"/>
      <c r="H537" s="3"/>
      <c r="I537" s="4"/>
      <c r="J537" s="4"/>
      <c r="K537" s="1"/>
    </row>
    <row r="538">
      <c r="F538" s="1"/>
      <c r="G538" s="2"/>
      <c r="H538" s="3"/>
      <c r="I538" s="4"/>
      <c r="J538" s="4"/>
      <c r="K538" s="1"/>
    </row>
    <row r="539">
      <c r="F539" s="1"/>
      <c r="G539" s="2"/>
      <c r="H539" s="3"/>
      <c r="I539" s="4"/>
      <c r="J539" s="4"/>
      <c r="K539" s="1"/>
    </row>
    <row r="540">
      <c r="F540" s="1"/>
      <c r="G540" s="2"/>
      <c r="H540" s="3"/>
      <c r="I540" s="4"/>
      <c r="J540" s="4"/>
      <c r="K540" s="1"/>
    </row>
    <row r="541">
      <c r="F541" s="1"/>
      <c r="G541" s="2"/>
      <c r="H541" s="3"/>
      <c r="I541" s="4"/>
      <c r="J541" s="4"/>
      <c r="K541" s="1"/>
    </row>
    <row r="542">
      <c r="F542" s="1"/>
      <c r="G542" s="2"/>
      <c r="H542" s="3"/>
      <c r="I542" s="4"/>
      <c r="J542" s="4"/>
      <c r="K542" s="1"/>
    </row>
    <row r="543">
      <c r="F543" s="1"/>
      <c r="G543" s="2"/>
      <c r="H543" s="3"/>
      <c r="I543" s="4"/>
      <c r="J543" s="4"/>
      <c r="K543" s="1"/>
    </row>
    <row r="544">
      <c r="F544" s="1"/>
      <c r="G544" s="2"/>
      <c r="H544" s="3"/>
      <c r="I544" s="4"/>
      <c r="J544" s="4"/>
      <c r="K544" s="1"/>
    </row>
    <row r="545">
      <c r="F545" s="1"/>
      <c r="G545" s="2"/>
      <c r="H545" s="3"/>
      <c r="I545" s="4"/>
      <c r="J545" s="4"/>
      <c r="K545" s="1"/>
    </row>
    <row r="546">
      <c r="F546" s="1"/>
      <c r="G546" s="2"/>
      <c r="H546" s="3"/>
      <c r="I546" s="4"/>
      <c r="J546" s="4"/>
      <c r="K546" s="1"/>
    </row>
    <row r="547">
      <c r="F547" s="1"/>
      <c r="G547" s="2"/>
      <c r="H547" s="3"/>
      <c r="I547" s="4"/>
      <c r="J547" s="4"/>
      <c r="K547" s="1"/>
    </row>
    <row r="548">
      <c r="F548" s="1"/>
      <c r="G548" s="2"/>
      <c r="H548" s="3"/>
      <c r="I548" s="4"/>
      <c r="J548" s="4"/>
      <c r="K548" s="1"/>
    </row>
    <row r="549">
      <c r="F549" s="1"/>
      <c r="G549" s="2"/>
      <c r="H549" s="3"/>
      <c r="I549" s="4"/>
      <c r="J549" s="4"/>
      <c r="K549" s="1"/>
    </row>
    <row r="550">
      <c r="F550" s="1"/>
      <c r="G550" s="2"/>
      <c r="H550" s="3"/>
      <c r="I550" s="4"/>
      <c r="J550" s="4"/>
      <c r="K550" s="1"/>
    </row>
    <row r="551">
      <c r="F551" s="1"/>
      <c r="G551" s="2"/>
      <c r="H551" s="3"/>
      <c r="I551" s="4"/>
      <c r="J551" s="4"/>
      <c r="K551" s="1"/>
    </row>
    <row r="552">
      <c r="F552" s="1"/>
      <c r="G552" s="2"/>
      <c r="H552" s="3"/>
      <c r="I552" s="4"/>
      <c r="J552" s="4"/>
      <c r="K552" s="1"/>
    </row>
    <row r="553">
      <c r="F553" s="1"/>
      <c r="G553" s="2"/>
      <c r="H553" s="3"/>
      <c r="I553" s="4"/>
      <c r="J553" s="4"/>
      <c r="K553" s="1"/>
    </row>
    <row r="554">
      <c r="F554" s="1"/>
      <c r="G554" s="2"/>
      <c r="H554" s="3"/>
      <c r="I554" s="4"/>
      <c r="J554" s="4"/>
      <c r="K554" s="1"/>
    </row>
    <row r="555">
      <c r="F555" s="1"/>
      <c r="G555" s="2"/>
      <c r="H555" s="3"/>
      <c r="I555" s="4"/>
      <c r="J555" s="4"/>
      <c r="K555" s="1"/>
    </row>
    <row r="556">
      <c r="F556" s="1"/>
      <c r="G556" s="2"/>
      <c r="H556" s="3"/>
      <c r="I556" s="4"/>
      <c r="J556" s="4"/>
      <c r="K556" s="1"/>
    </row>
    <row r="557">
      <c r="F557" s="1"/>
      <c r="G557" s="2"/>
      <c r="H557" s="3"/>
      <c r="I557" s="4"/>
      <c r="J557" s="4"/>
      <c r="K557" s="1"/>
    </row>
    <row r="558">
      <c r="F558" s="1"/>
      <c r="G558" s="2"/>
      <c r="H558" s="3"/>
      <c r="I558" s="4"/>
      <c r="J558" s="4"/>
      <c r="K558" s="1"/>
    </row>
    <row r="559">
      <c r="F559" s="1"/>
      <c r="G559" s="2"/>
      <c r="H559" s="3"/>
      <c r="I559" s="4"/>
      <c r="J559" s="4"/>
      <c r="K559" s="1"/>
    </row>
    <row r="560">
      <c r="F560" s="1"/>
      <c r="G560" s="2"/>
      <c r="H560" s="3"/>
      <c r="I560" s="4"/>
      <c r="J560" s="4"/>
      <c r="K560" s="1"/>
    </row>
    <row r="561">
      <c r="F561" s="1"/>
      <c r="G561" s="2"/>
      <c r="H561" s="3"/>
      <c r="I561" s="4"/>
      <c r="J561" s="4"/>
      <c r="K561" s="1"/>
    </row>
    <row r="562">
      <c r="F562" s="1"/>
      <c r="G562" s="2"/>
      <c r="H562" s="3"/>
      <c r="I562" s="4"/>
      <c r="J562" s="4"/>
      <c r="K562" s="1"/>
    </row>
    <row r="563">
      <c r="F563" s="1"/>
      <c r="G563" s="2"/>
      <c r="H563" s="3"/>
      <c r="I563" s="4"/>
      <c r="J563" s="4"/>
      <c r="K563" s="1"/>
    </row>
    <row r="564">
      <c r="F564" s="1"/>
      <c r="G564" s="2"/>
      <c r="H564" s="3"/>
      <c r="I564" s="4"/>
      <c r="J564" s="4"/>
      <c r="K564" s="1"/>
    </row>
    <row r="565">
      <c r="F565" s="1"/>
      <c r="G565" s="2"/>
      <c r="H565" s="3"/>
      <c r="I565" s="4"/>
      <c r="J565" s="4"/>
      <c r="K565" s="1"/>
    </row>
    <row r="566">
      <c r="F566" s="1"/>
      <c r="G566" s="2"/>
      <c r="H566" s="3"/>
      <c r="I566" s="4"/>
      <c r="J566" s="4"/>
      <c r="K566" s="1"/>
    </row>
    <row r="567">
      <c r="F567" s="1"/>
      <c r="G567" s="2"/>
      <c r="H567" s="3"/>
      <c r="I567" s="4"/>
      <c r="J567" s="4"/>
      <c r="K567" s="1"/>
    </row>
    <row r="568">
      <c r="F568" s="1"/>
      <c r="G568" s="2"/>
      <c r="H568" s="3"/>
      <c r="I568" s="4"/>
      <c r="J568" s="4"/>
      <c r="K568" s="1"/>
    </row>
    <row r="569">
      <c r="F569" s="1"/>
      <c r="G569" s="2"/>
      <c r="H569" s="3"/>
      <c r="I569" s="4"/>
      <c r="J569" s="4"/>
      <c r="K569" s="1"/>
    </row>
    <row r="570">
      <c r="F570" s="1"/>
      <c r="G570" s="2"/>
      <c r="H570" s="3"/>
      <c r="I570" s="4"/>
      <c r="J570" s="4"/>
      <c r="K570" s="1"/>
    </row>
    <row r="571">
      <c r="F571" s="1"/>
      <c r="G571" s="2"/>
      <c r="H571" s="3"/>
      <c r="I571" s="4"/>
      <c r="J571" s="4"/>
      <c r="K571" s="1"/>
    </row>
    <row r="572">
      <c r="F572" s="1"/>
      <c r="G572" s="2"/>
      <c r="H572" s="3"/>
      <c r="I572" s="4"/>
      <c r="J572" s="4"/>
      <c r="K572" s="1"/>
    </row>
    <row r="573">
      <c r="F573" s="1"/>
      <c r="G573" s="2"/>
      <c r="H573" s="3"/>
      <c r="I573" s="4"/>
      <c r="J573" s="4"/>
      <c r="K573" s="1"/>
    </row>
    <row r="574">
      <c r="F574" s="1"/>
      <c r="G574" s="2"/>
      <c r="H574" s="3"/>
      <c r="I574" s="4"/>
      <c r="J574" s="4"/>
      <c r="K574" s="1"/>
    </row>
    <row r="575">
      <c r="F575" s="1"/>
      <c r="G575" s="2"/>
      <c r="H575" s="3"/>
      <c r="I575" s="4"/>
      <c r="J575" s="4"/>
      <c r="K575" s="1"/>
    </row>
    <row r="576">
      <c r="F576" s="1"/>
      <c r="G576" s="2"/>
      <c r="H576" s="3"/>
      <c r="I576" s="4"/>
      <c r="J576" s="4"/>
      <c r="K576" s="1"/>
    </row>
    <row r="577">
      <c r="F577" s="1"/>
      <c r="G577" s="2"/>
      <c r="H577" s="3"/>
      <c r="I577" s="4"/>
      <c r="J577" s="4"/>
      <c r="K577" s="1"/>
    </row>
    <row r="578">
      <c r="F578" s="1"/>
      <c r="G578" s="2"/>
      <c r="H578" s="3"/>
      <c r="I578" s="4"/>
      <c r="J578" s="4"/>
      <c r="K578" s="1"/>
    </row>
    <row r="579">
      <c r="F579" s="1"/>
      <c r="G579" s="2"/>
      <c r="H579" s="3"/>
      <c r="I579" s="4"/>
      <c r="J579" s="4"/>
      <c r="K579" s="1"/>
    </row>
    <row r="580">
      <c r="F580" s="1"/>
      <c r="G580" s="2"/>
      <c r="H580" s="3"/>
      <c r="I580" s="4"/>
      <c r="J580" s="4"/>
      <c r="K580" s="1"/>
    </row>
    <row r="581">
      <c r="F581" s="1"/>
      <c r="G581" s="2"/>
      <c r="H581" s="3"/>
      <c r="I581" s="4"/>
      <c r="J581" s="4"/>
      <c r="K581" s="1"/>
    </row>
    <row r="582">
      <c r="F582" s="1"/>
      <c r="G582" s="2"/>
      <c r="H582" s="3"/>
      <c r="I582" s="4"/>
      <c r="J582" s="4"/>
      <c r="K582" s="1"/>
    </row>
    <row r="583">
      <c r="F583" s="1"/>
      <c r="G583" s="2"/>
      <c r="H583" s="3"/>
      <c r="I583" s="4"/>
      <c r="J583" s="4"/>
      <c r="K583" s="1"/>
    </row>
    <row r="584">
      <c r="F584" s="1"/>
      <c r="G584" s="2"/>
      <c r="H584" s="3"/>
      <c r="I584" s="4"/>
      <c r="J584" s="4"/>
      <c r="K584" s="1"/>
    </row>
    <row r="585">
      <c r="F585" s="1"/>
      <c r="G585" s="2"/>
      <c r="H585" s="3"/>
      <c r="I585" s="4"/>
      <c r="J585" s="4"/>
      <c r="K585" s="1"/>
    </row>
    <row r="586">
      <c r="F586" s="1"/>
      <c r="G586" s="2"/>
      <c r="H586" s="3"/>
      <c r="I586" s="4"/>
      <c r="J586" s="4"/>
      <c r="K586" s="1"/>
    </row>
    <row r="587">
      <c r="F587" s="1"/>
      <c r="G587" s="2"/>
      <c r="H587" s="3"/>
      <c r="I587" s="4"/>
      <c r="J587" s="4"/>
      <c r="K587" s="1"/>
    </row>
    <row r="588">
      <c r="F588" s="1"/>
      <c r="G588" s="2"/>
      <c r="H588" s="3"/>
      <c r="I588" s="4"/>
      <c r="J588" s="4"/>
      <c r="K588" s="1"/>
    </row>
    <row r="589">
      <c r="F589" s="1"/>
      <c r="G589" s="2"/>
      <c r="H589" s="3"/>
      <c r="I589" s="4"/>
      <c r="J589" s="4"/>
      <c r="K589" s="1"/>
    </row>
    <row r="590">
      <c r="F590" s="1"/>
      <c r="G590" s="2"/>
      <c r="H590" s="3"/>
      <c r="I590" s="4"/>
      <c r="J590" s="4"/>
      <c r="K590" s="1"/>
    </row>
    <row r="591">
      <c r="F591" s="1"/>
      <c r="G591" s="2"/>
      <c r="H591" s="3"/>
      <c r="I591" s="4"/>
      <c r="J591" s="4"/>
      <c r="K591" s="1"/>
    </row>
    <row r="592">
      <c r="F592" s="1"/>
      <c r="G592" s="2"/>
      <c r="H592" s="3"/>
      <c r="I592" s="4"/>
      <c r="J592" s="4"/>
      <c r="K592" s="1"/>
    </row>
    <row r="593">
      <c r="F593" s="1"/>
      <c r="G593" s="2"/>
      <c r="H593" s="3"/>
      <c r="I593" s="4"/>
      <c r="J593" s="4"/>
      <c r="K593" s="1"/>
    </row>
    <row r="594">
      <c r="F594" s="1"/>
      <c r="G594" s="2"/>
      <c r="H594" s="3"/>
      <c r="I594" s="4"/>
      <c r="J594" s="4"/>
      <c r="K594" s="1"/>
    </row>
    <row r="595">
      <c r="F595" s="1"/>
      <c r="G595" s="2"/>
      <c r="H595" s="3"/>
      <c r="I595" s="4"/>
      <c r="J595" s="4"/>
      <c r="K595" s="1"/>
    </row>
    <row r="596">
      <c r="F596" s="1"/>
      <c r="G596" s="2"/>
      <c r="H596" s="3"/>
      <c r="I596" s="4"/>
      <c r="J596" s="4"/>
      <c r="K596" s="1"/>
    </row>
    <row r="597">
      <c r="F597" s="1"/>
      <c r="G597" s="2"/>
      <c r="H597" s="3"/>
      <c r="I597" s="4"/>
      <c r="J597" s="4"/>
      <c r="K597" s="1"/>
    </row>
    <row r="598">
      <c r="F598" s="1"/>
      <c r="G598" s="2"/>
      <c r="H598" s="3"/>
      <c r="I598" s="4"/>
      <c r="J598" s="4"/>
      <c r="K598" s="1"/>
    </row>
    <row r="599">
      <c r="F599" s="1"/>
      <c r="G599" s="2"/>
      <c r="H599" s="3"/>
      <c r="I599" s="4"/>
      <c r="J599" s="4"/>
      <c r="K599" s="1"/>
    </row>
    <row r="600">
      <c r="F600" s="1"/>
      <c r="G600" s="2"/>
      <c r="H600" s="3"/>
      <c r="I600" s="4"/>
      <c r="J600" s="4"/>
      <c r="K600" s="1"/>
    </row>
    <row r="601">
      <c r="F601" s="1"/>
      <c r="G601" s="2"/>
      <c r="H601" s="3"/>
      <c r="I601" s="4"/>
      <c r="J601" s="4"/>
      <c r="K601" s="1"/>
    </row>
    <row r="602">
      <c r="F602" s="1"/>
      <c r="G602" s="2"/>
      <c r="H602" s="3"/>
      <c r="I602" s="4"/>
      <c r="J602" s="4"/>
      <c r="K602" s="1"/>
    </row>
    <row r="603">
      <c r="F603" s="1"/>
      <c r="G603" s="2"/>
      <c r="H603" s="3"/>
      <c r="I603" s="4"/>
      <c r="J603" s="4"/>
      <c r="K603" s="1"/>
    </row>
    <row r="604">
      <c r="F604" s="1"/>
      <c r="G604" s="2"/>
      <c r="H604" s="3"/>
      <c r="I604" s="4"/>
      <c r="J604" s="4"/>
      <c r="K604" s="1"/>
    </row>
    <row r="605">
      <c r="F605" s="1"/>
      <c r="G605" s="2"/>
      <c r="H605" s="3"/>
      <c r="I605" s="4"/>
      <c r="J605" s="4"/>
      <c r="K605" s="1"/>
    </row>
    <row r="606">
      <c r="F606" s="1"/>
      <c r="G606" s="2"/>
      <c r="H606" s="3"/>
      <c r="I606" s="4"/>
      <c r="J606" s="4"/>
      <c r="K606" s="1"/>
    </row>
    <row r="607">
      <c r="F607" s="1"/>
      <c r="G607" s="2"/>
      <c r="H607" s="3"/>
      <c r="I607" s="4"/>
      <c r="J607" s="4"/>
      <c r="K607" s="1"/>
    </row>
    <row r="608">
      <c r="F608" s="1"/>
      <c r="G608" s="2"/>
      <c r="H608" s="3"/>
      <c r="I608" s="4"/>
      <c r="J608" s="4"/>
      <c r="K608" s="1"/>
    </row>
    <row r="609">
      <c r="F609" s="1"/>
      <c r="G609" s="2"/>
      <c r="H609" s="3"/>
      <c r="I609" s="4"/>
      <c r="J609" s="4"/>
      <c r="K609" s="1"/>
    </row>
    <row r="610">
      <c r="F610" s="1"/>
      <c r="G610" s="2"/>
      <c r="H610" s="3"/>
      <c r="I610" s="4"/>
      <c r="J610" s="4"/>
      <c r="K610" s="1"/>
    </row>
    <row r="611">
      <c r="F611" s="1"/>
      <c r="G611" s="2"/>
      <c r="H611" s="3"/>
      <c r="I611" s="4"/>
      <c r="J611" s="4"/>
      <c r="K611" s="1"/>
    </row>
    <row r="612">
      <c r="F612" s="1"/>
      <c r="G612" s="2"/>
      <c r="H612" s="3"/>
      <c r="I612" s="4"/>
      <c r="J612" s="4"/>
      <c r="K612" s="1"/>
    </row>
    <row r="613">
      <c r="F613" s="1"/>
      <c r="G613" s="2"/>
      <c r="H613" s="3"/>
      <c r="I613" s="4"/>
      <c r="J613" s="4"/>
      <c r="K613" s="1"/>
    </row>
    <row r="614">
      <c r="F614" s="1"/>
      <c r="G614" s="2"/>
      <c r="H614" s="3"/>
      <c r="I614" s="4"/>
      <c r="J614" s="4"/>
      <c r="K614" s="1"/>
    </row>
    <row r="615">
      <c r="F615" s="1"/>
      <c r="G615" s="2"/>
      <c r="H615" s="3"/>
      <c r="I615" s="4"/>
      <c r="J615" s="4"/>
      <c r="K615" s="1"/>
    </row>
    <row r="616">
      <c r="F616" s="1"/>
      <c r="G616" s="2"/>
      <c r="H616" s="3"/>
      <c r="I616" s="4"/>
      <c r="J616" s="4"/>
      <c r="K616" s="1"/>
    </row>
    <row r="617">
      <c r="F617" s="1"/>
      <c r="G617" s="2"/>
      <c r="H617" s="3"/>
      <c r="I617" s="4"/>
      <c r="J617" s="4"/>
      <c r="K617" s="1"/>
    </row>
    <row r="618">
      <c r="F618" s="1"/>
      <c r="G618" s="2"/>
      <c r="H618" s="3"/>
      <c r="I618" s="4"/>
      <c r="J618" s="4"/>
      <c r="K618" s="1"/>
    </row>
    <row r="619">
      <c r="F619" s="1"/>
      <c r="G619" s="2"/>
      <c r="H619" s="3"/>
      <c r="I619" s="4"/>
      <c r="J619" s="4"/>
      <c r="K619" s="1"/>
    </row>
    <row r="620">
      <c r="F620" s="1"/>
      <c r="G620" s="2"/>
      <c r="H620" s="3"/>
      <c r="I620" s="4"/>
      <c r="J620" s="4"/>
      <c r="K620" s="1"/>
    </row>
    <row r="621">
      <c r="F621" s="1"/>
      <c r="G621" s="2"/>
      <c r="H621" s="3"/>
      <c r="I621" s="4"/>
      <c r="J621" s="4"/>
      <c r="K621" s="1"/>
    </row>
    <row r="622">
      <c r="F622" s="1"/>
      <c r="G622" s="2"/>
      <c r="H622" s="3"/>
      <c r="I622" s="4"/>
      <c r="J622" s="4"/>
      <c r="K622" s="1"/>
    </row>
    <row r="623">
      <c r="F623" s="1"/>
      <c r="G623" s="2"/>
      <c r="H623" s="3"/>
      <c r="I623" s="4"/>
      <c r="J623" s="4"/>
      <c r="K623" s="1"/>
    </row>
    <row r="624">
      <c r="F624" s="1"/>
      <c r="G624" s="2"/>
      <c r="H624" s="3"/>
      <c r="I624" s="4"/>
      <c r="J624" s="4"/>
      <c r="K624" s="1"/>
    </row>
    <row r="625">
      <c r="F625" s="1"/>
      <c r="G625" s="2"/>
      <c r="H625" s="3"/>
      <c r="I625" s="4"/>
      <c r="J625" s="4"/>
      <c r="K625" s="1"/>
    </row>
    <row r="626">
      <c r="F626" s="1"/>
      <c r="G626" s="2"/>
      <c r="H626" s="3"/>
      <c r="I626" s="4"/>
      <c r="J626" s="4"/>
      <c r="K626" s="1"/>
    </row>
    <row r="627">
      <c r="F627" s="1"/>
      <c r="G627" s="2"/>
      <c r="H627" s="3"/>
      <c r="I627" s="4"/>
      <c r="J627" s="4"/>
      <c r="K627" s="1"/>
    </row>
    <row r="628">
      <c r="F628" s="1"/>
      <c r="G628" s="2"/>
      <c r="H628" s="3"/>
      <c r="I628" s="4"/>
      <c r="J628" s="4"/>
      <c r="K628" s="1"/>
    </row>
    <row r="629">
      <c r="F629" s="1"/>
      <c r="G629" s="2"/>
      <c r="H629" s="3"/>
      <c r="I629" s="4"/>
      <c r="J629" s="4"/>
      <c r="K629" s="1"/>
    </row>
    <row r="630">
      <c r="F630" s="1"/>
      <c r="G630" s="2"/>
      <c r="H630" s="3"/>
      <c r="I630" s="4"/>
      <c r="J630" s="4"/>
      <c r="K630" s="1"/>
    </row>
    <row r="631">
      <c r="F631" s="1"/>
      <c r="G631" s="2"/>
      <c r="H631" s="3"/>
      <c r="I631" s="4"/>
      <c r="J631" s="4"/>
      <c r="K631" s="1"/>
    </row>
    <row r="632">
      <c r="F632" s="1"/>
      <c r="G632" s="2"/>
      <c r="H632" s="3"/>
      <c r="I632" s="4"/>
      <c r="J632" s="4"/>
      <c r="K632" s="1"/>
    </row>
    <row r="633">
      <c r="F633" s="1"/>
      <c r="G633" s="2"/>
      <c r="H633" s="3"/>
      <c r="I633" s="4"/>
      <c r="J633" s="4"/>
      <c r="K633" s="1"/>
    </row>
    <row r="634">
      <c r="F634" s="1"/>
      <c r="G634" s="2"/>
      <c r="H634" s="3"/>
      <c r="I634" s="4"/>
      <c r="J634" s="4"/>
      <c r="K634" s="1"/>
    </row>
    <row r="635">
      <c r="F635" s="1"/>
      <c r="G635" s="2"/>
      <c r="H635" s="3"/>
      <c r="I635" s="4"/>
      <c r="J635" s="4"/>
      <c r="K635" s="1"/>
    </row>
    <row r="636">
      <c r="F636" s="1"/>
      <c r="G636" s="2"/>
      <c r="H636" s="3"/>
      <c r="I636" s="4"/>
      <c r="J636" s="4"/>
      <c r="K636" s="1"/>
    </row>
    <row r="637">
      <c r="F637" s="1"/>
      <c r="G637" s="2"/>
      <c r="H637" s="3"/>
      <c r="I637" s="4"/>
      <c r="J637" s="4"/>
      <c r="K637" s="1"/>
    </row>
    <row r="638">
      <c r="F638" s="1"/>
      <c r="G638" s="2"/>
      <c r="H638" s="3"/>
      <c r="I638" s="4"/>
      <c r="J638" s="4"/>
      <c r="K638" s="1"/>
    </row>
    <row r="639">
      <c r="F639" s="1"/>
      <c r="G639" s="2"/>
      <c r="H639" s="3"/>
      <c r="I639" s="4"/>
      <c r="J639" s="4"/>
      <c r="K639" s="1"/>
    </row>
    <row r="640">
      <c r="F640" s="1"/>
      <c r="G640" s="2"/>
      <c r="H640" s="3"/>
      <c r="I640" s="4"/>
      <c r="J640" s="4"/>
      <c r="K640" s="1"/>
    </row>
    <row r="641">
      <c r="F641" s="1"/>
      <c r="G641" s="2"/>
      <c r="H641" s="3"/>
      <c r="I641" s="4"/>
      <c r="J641" s="4"/>
      <c r="K641" s="1"/>
    </row>
    <row r="642">
      <c r="F642" s="1"/>
      <c r="G642" s="2"/>
      <c r="H642" s="3"/>
      <c r="I642" s="4"/>
      <c r="J642" s="4"/>
      <c r="K642" s="1"/>
    </row>
    <row r="643">
      <c r="F643" s="1"/>
      <c r="G643" s="2"/>
      <c r="H643" s="3"/>
      <c r="I643" s="4"/>
      <c r="J643" s="4"/>
      <c r="K643" s="1"/>
    </row>
    <row r="644">
      <c r="F644" s="1"/>
      <c r="G644" s="2"/>
      <c r="H644" s="3"/>
      <c r="I644" s="4"/>
      <c r="J644" s="4"/>
      <c r="K644" s="1"/>
    </row>
    <row r="645">
      <c r="F645" s="1"/>
      <c r="G645" s="2"/>
      <c r="H645" s="3"/>
      <c r="I645" s="4"/>
      <c r="J645" s="4"/>
      <c r="K645" s="1"/>
    </row>
    <row r="646">
      <c r="F646" s="1"/>
      <c r="G646" s="2"/>
      <c r="H646" s="3"/>
      <c r="I646" s="4"/>
      <c r="J646" s="4"/>
      <c r="K646" s="1"/>
    </row>
    <row r="647">
      <c r="F647" s="1"/>
      <c r="G647" s="2"/>
      <c r="H647" s="3"/>
      <c r="I647" s="4"/>
      <c r="J647" s="4"/>
      <c r="K647" s="1"/>
    </row>
    <row r="648">
      <c r="F648" s="1"/>
      <c r="G648" s="2"/>
      <c r="H648" s="3"/>
      <c r="I648" s="4"/>
      <c r="J648" s="4"/>
      <c r="K648" s="1"/>
    </row>
    <row r="649">
      <c r="F649" s="1"/>
      <c r="G649" s="2"/>
      <c r="H649" s="3"/>
      <c r="I649" s="4"/>
      <c r="J649" s="4"/>
      <c r="K649" s="1"/>
    </row>
    <row r="650">
      <c r="F650" s="1"/>
      <c r="G650" s="2"/>
      <c r="H650" s="3"/>
      <c r="I650" s="4"/>
      <c r="J650" s="4"/>
      <c r="K650" s="1"/>
    </row>
    <row r="651">
      <c r="F651" s="1"/>
      <c r="G651" s="2"/>
      <c r="H651" s="3"/>
      <c r="I651" s="4"/>
      <c r="J651" s="4"/>
      <c r="K651" s="1"/>
    </row>
    <row r="652">
      <c r="F652" s="1"/>
      <c r="G652" s="2"/>
      <c r="H652" s="3"/>
      <c r="I652" s="4"/>
      <c r="J652" s="4"/>
      <c r="K652" s="1"/>
    </row>
    <row r="653">
      <c r="F653" s="1"/>
      <c r="G653" s="2"/>
      <c r="H653" s="3"/>
      <c r="I653" s="4"/>
      <c r="J653" s="4"/>
      <c r="K653" s="1"/>
    </row>
    <row r="654">
      <c r="F654" s="1"/>
      <c r="G654" s="2"/>
      <c r="H654" s="3"/>
      <c r="I654" s="4"/>
      <c r="J654" s="4"/>
      <c r="K654" s="1"/>
    </row>
    <row r="655">
      <c r="F655" s="1"/>
      <c r="G655" s="2"/>
      <c r="H655" s="3"/>
      <c r="I655" s="4"/>
      <c r="J655" s="4"/>
      <c r="K655" s="1"/>
    </row>
    <row r="656">
      <c r="F656" s="1"/>
      <c r="G656" s="2"/>
      <c r="H656" s="3"/>
      <c r="I656" s="4"/>
      <c r="J656" s="4"/>
      <c r="K656" s="1"/>
    </row>
    <row r="657">
      <c r="F657" s="1"/>
      <c r="G657" s="2"/>
      <c r="H657" s="3"/>
      <c r="I657" s="4"/>
      <c r="J657" s="4"/>
      <c r="K657" s="1"/>
    </row>
    <row r="658">
      <c r="F658" s="1"/>
      <c r="G658" s="2"/>
      <c r="H658" s="3"/>
      <c r="I658" s="4"/>
      <c r="J658" s="4"/>
      <c r="K658" s="1"/>
    </row>
    <row r="659">
      <c r="F659" s="1"/>
      <c r="G659" s="2"/>
      <c r="H659" s="3"/>
      <c r="I659" s="4"/>
      <c r="J659" s="4"/>
      <c r="K659" s="1"/>
    </row>
    <row r="660">
      <c r="F660" s="1"/>
      <c r="G660" s="2"/>
      <c r="H660" s="3"/>
      <c r="I660" s="4"/>
      <c r="J660" s="4"/>
      <c r="K660" s="1"/>
    </row>
    <row r="661">
      <c r="F661" s="1"/>
      <c r="G661" s="2"/>
      <c r="H661" s="3"/>
      <c r="I661" s="4"/>
      <c r="J661" s="4"/>
      <c r="K661" s="1"/>
    </row>
    <row r="662">
      <c r="F662" s="1"/>
      <c r="G662" s="2"/>
      <c r="H662" s="3"/>
      <c r="I662" s="4"/>
      <c r="J662" s="4"/>
      <c r="K662" s="1"/>
    </row>
    <row r="663">
      <c r="F663" s="1"/>
      <c r="G663" s="2"/>
      <c r="H663" s="3"/>
      <c r="I663" s="4"/>
      <c r="J663" s="4"/>
      <c r="K663" s="1"/>
    </row>
    <row r="664">
      <c r="F664" s="1"/>
      <c r="G664" s="2"/>
      <c r="H664" s="3"/>
      <c r="I664" s="4"/>
      <c r="J664" s="4"/>
      <c r="K664" s="1"/>
    </row>
    <row r="665">
      <c r="F665" s="1"/>
      <c r="G665" s="2"/>
      <c r="H665" s="3"/>
      <c r="I665" s="4"/>
      <c r="J665" s="4"/>
      <c r="K665" s="1"/>
    </row>
    <row r="666">
      <c r="F666" s="1"/>
      <c r="G666" s="2"/>
      <c r="H666" s="3"/>
      <c r="I666" s="4"/>
      <c r="J666" s="4"/>
      <c r="K666" s="1"/>
    </row>
    <row r="667">
      <c r="F667" s="1"/>
      <c r="G667" s="2"/>
      <c r="H667" s="3"/>
      <c r="I667" s="4"/>
      <c r="J667" s="4"/>
      <c r="K667" s="1"/>
    </row>
    <row r="668">
      <c r="F668" s="1"/>
      <c r="G668" s="2"/>
      <c r="H668" s="3"/>
      <c r="I668" s="4"/>
      <c r="J668" s="4"/>
      <c r="K668" s="1"/>
    </row>
    <row r="669">
      <c r="F669" s="1"/>
      <c r="G669" s="2"/>
      <c r="H669" s="3"/>
      <c r="I669" s="4"/>
      <c r="J669" s="4"/>
      <c r="K669" s="1"/>
    </row>
    <row r="670">
      <c r="F670" s="1"/>
      <c r="G670" s="2"/>
      <c r="H670" s="3"/>
      <c r="I670" s="4"/>
      <c r="J670" s="4"/>
      <c r="K670" s="1"/>
    </row>
    <row r="671">
      <c r="F671" s="1"/>
      <c r="G671" s="2"/>
      <c r="H671" s="3"/>
      <c r="I671" s="4"/>
      <c r="J671" s="4"/>
      <c r="K671" s="1"/>
    </row>
    <row r="672">
      <c r="F672" s="1"/>
      <c r="G672" s="2"/>
      <c r="H672" s="3"/>
      <c r="I672" s="4"/>
      <c r="J672" s="4"/>
      <c r="K672" s="1"/>
    </row>
    <row r="673">
      <c r="F673" s="1"/>
      <c r="G673" s="2"/>
      <c r="H673" s="3"/>
      <c r="I673" s="4"/>
      <c r="J673" s="4"/>
      <c r="K673" s="1"/>
    </row>
    <row r="674">
      <c r="F674" s="1"/>
      <c r="G674" s="2"/>
      <c r="H674" s="3"/>
      <c r="I674" s="4"/>
      <c r="J674" s="4"/>
      <c r="K674" s="1"/>
    </row>
    <row r="675">
      <c r="F675" s="1"/>
      <c r="G675" s="2"/>
      <c r="H675" s="3"/>
      <c r="I675" s="4"/>
      <c r="J675" s="4"/>
      <c r="K675" s="1"/>
    </row>
    <row r="676">
      <c r="F676" s="1"/>
      <c r="G676" s="2"/>
      <c r="H676" s="3"/>
      <c r="I676" s="4"/>
      <c r="J676" s="4"/>
      <c r="K676" s="1"/>
    </row>
    <row r="677">
      <c r="F677" s="1"/>
      <c r="G677" s="2"/>
      <c r="H677" s="3"/>
      <c r="I677" s="4"/>
      <c r="J677" s="4"/>
      <c r="K677" s="1"/>
    </row>
    <row r="678">
      <c r="F678" s="1"/>
      <c r="G678" s="2"/>
      <c r="H678" s="3"/>
      <c r="I678" s="4"/>
      <c r="J678" s="4"/>
      <c r="K678" s="1"/>
    </row>
    <row r="679">
      <c r="F679" s="1"/>
      <c r="G679" s="2"/>
      <c r="H679" s="3"/>
      <c r="I679" s="4"/>
      <c r="J679" s="4"/>
      <c r="K679" s="1"/>
    </row>
    <row r="680">
      <c r="F680" s="1"/>
      <c r="G680" s="2"/>
      <c r="H680" s="3"/>
      <c r="I680" s="4"/>
      <c r="J680" s="4"/>
      <c r="K680" s="1"/>
    </row>
    <row r="681">
      <c r="F681" s="1"/>
      <c r="G681" s="2"/>
      <c r="H681" s="3"/>
      <c r="I681" s="4"/>
      <c r="J681" s="4"/>
      <c r="K681" s="1"/>
    </row>
    <row r="682">
      <c r="F682" s="1"/>
      <c r="G682" s="2"/>
      <c r="H682" s="3"/>
      <c r="I682" s="4"/>
      <c r="J682" s="4"/>
      <c r="K682" s="1"/>
    </row>
    <row r="683">
      <c r="F683" s="1"/>
      <c r="G683" s="2"/>
      <c r="H683" s="3"/>
      <c r="I683" s="4"/>
      <c r="J683" s="4"/>
      <c r="K683" s="1"/>
    </row>
    <row r="684">
      <c r="F684" s="1"/>
      <c r="G684" s="2"/>
      <c r="H684" s="3"/>
      <c r="I684" s="4"/>
      <c r="J684" s="4"/>
      <c r="K684" s="1"/>
    </row>
    <row r="685">
      <c r="F685" s="1"/>
      <c r="G685" s="2"/>
      <c r="H685" s="3"/>
      <c r="I685" s="4"/>
      <c r="J685" s="4"/>
      <c r="K685" s="1"/>
    </row>
    <row r="686">
      <c r="F686" s="1"/>
      <c r="G686" s="2"/>
      <c r="H686" s="3"/>
      <c r="I686" s="4"/>
      <c r="J686" s="4"/>
      <c r="K686" s="1"/>
    </row>
    <row r="687">
      <c r="F687" s="1"/>
      <c r="G687" s="2"/>
      <c r="H687" s="3"/>
      <c r="I687" s="4"/>
      <c r="J687" s="4"/>
      <c r="K687" s="1"/>
    </row>
    <row r="688">
      <c r="F688" s="1"/>
      <c r="G688" s="2"/>
      <c r="H688" s="3"/>
      <c r="I688" s="4"/>
      <c r="J688" s="4"/>
      <c r="K688" s="1"/>
    </row>
    <row r="689">
      <c r="F689" s="1"/>
      <c r="G689" s="2"/>
      <c r="H689" s="3"/>
      <c r="I689" s="4"/>
      <c r="J689" s="4"/>
      <c r="K689" s="1"/>
    </row>
    <row r="690">
      <c r="F690" s="1"/>
      <c r="G690" s="2"/>
      <c r="H690" s="3"/>
      <c r="I690" s="4"/>
      <c r="J690" s="4"/>
      <c r="K690" s="1"/>
    </row>
    <row r="691">
      <c r="F691" s="1"/>
      <c r="G691" s="2"/>
      <c r="H691" s="3"/>
      <c r="I691" s="4"/>
      <c r="J691" s="4"/>
      <c r="K691" s="1"/>
    </row>
    <row r="692">
      <c r="F692" s="1"/>
      <c r="G692" s="2"/>
      <c r="H692" s="3"/>
      <c r="I692" s="4"/>
      <c r="J692" s="4"/>
      <c r="K692" s="1"/>
    </row>
    <row r="693">
      <c r="F693" s="1"/>
      <c r="G693" s="2"/>
      <c r="H693" s="3"/>
      <c r="I693" s="4"/>
      <c r="J693" s="4"/>
      <c r="K693" s="1"/>
    </row>
    <row r="694">
      <c r="F694" s="1"/>
      <c r="G694" s="2"/>
      <c r="H694" s="3"/>
      <c r="I694" s="4"/>
      <c r="J694" s="4"/>
      <c r="K694" s="1"/>
    </row>
    <row r="695">
      <c r="F695" s="1"/>
      <c r="G695" s="2"/>
      <c r="H695" s="3"/>
      <c r="I695" s="4"/>
      <c r="J695" s="4"/>
      <c r="K695" s="1"/>
    </row>
    <row r="696">
      <c r="F696" s="1"/>
      <c r="G696" s="2"/>
      <c r="H696" s="3"/>
      <c r="I696" s="4"/>
      <c r="J696" s="4"/>
      <c r="K696" s="1"/>
    </row>
    <row r="697">
      <c r="F697" s="1"/>
      <c r="G697" s="2"/>
      <c r="H697" s="3"/>
      <c r="I697" s="4"/>
      <c r="J697" s="4"/>
      <c r="K697" s="1"/>
    </row>
    <row r="698">
      <c r="F698" s="1"/>
      <c r="G698" s="2"/>
      <c r="H698" s="3"/>
      <c r="I698" s="4"/>
      <c r="J698" s="4"/>
      <c r="K698" s="1"/>
    </row>
    <row r="699">
      <c r="F699" s="1"/>
      <c r="G699" s="2"/>
      <c r="H699" s="3"/>
      <c r="I699" s="4"/>
      <c r="J699" s="4"/>
      <c r="K699" s="1"/>
    </row>
    <row r="700">
      <c r="F700" s="1"/>
      <c r="G700" s="2"/>
      <c r="H700" s="3"/>
      <c r="I700" s="4"/>
      <c r="J700" s="4"/>
      <c r="K700" s="1"/>
    </row>
    <row r="701">
      <c r="F701" s="1"/>
      <c r="G701" s="2"/>
      <c r="H701" s="3"/>
      <c r="I701" s="4"/>
      <c r="J701" s="4"/>
      <c r="K701" s="1"/>
    </row>
    <row r="702">
      <c r="F702" s="1"/>
      <c r="G702" s="2"/>
      <c r="H702" s="3"/>
      <c r="I702" s="4"/>
      <c r="J702" s="4"/>
      <c r="K702" s="1"/>
    </row>
    <row r="703">
      <c r="F703" s="1"/>
      <c r="G703" s="2"/>
      <c r="H703" s="3"/>
      <c r="I703" s="4"/>
      <c r="J703" s="4"/>
      <c r="K703" s="1"/>
    </row>
    <row r="704">
      <c r="F704" s="1"/>
      <c r="G704" s="2"/>
      <c r="H704" s="3"/>
      <c r="I704" s="4"/>
      <c r="J704" s="4"/>
      <c r="K704" s="1"/>
    </row>
    <row r="705">
      <c r="F705" s="1"/>
      <c r="G705" s="2"/>
      <c r="H705" s="3"/>
      <c r="I705" s="4"/>
      <c r="J705" s="4"/>
      <c r="K705" s="1"/>
    </row>
    <row r="706">
      <c r="F706" s="1"/>
      <c r="G706" s="2"/>
      <c r="H706" s="3"/>
      <c r="I706" s="4"/>
      <c r="J706" s="4"/>
      <c r="K706" s="1"/>
    </row>
    <row r="707">
      <c r="F707" s="1"/>
      <c r="G707" s="2"/>
      <c r="H707" s="3"/>
      <c r="I707" s="4"/>
      <c r="J707" s="4"/>
      <c r="K707" s="1"/>
    </row>
    <row r="708">
      <c r="F708" s="1"/>
      <c r="G708" s="2"/>
      <c r="H708" s="3"/>
      <c r="I708" s="4"/>
      <c r="J708" s="4"/>
      <c r="K708" s="1"/>
    </row>
    <row r="709">
      <c r="F709" s="1"/>
      <c r="G709" s="2"/>
      <c r="H709" s="3"/>
      <c r="I709" s="4"/>
      <c r="J709" s="4"/>
      <c r="K709" s="1"/>
    </row>
    <row r="710">
      <c r="F710" s="1"/>
      <c r="G710" s="2"/>
      <c r="H710" s="3"/>
      <c r="I710" s="4"/>
      <c r="J710" s="4"/>
      <c r="K710" s="1"/>
    </row>
    <row r="711">
      <c r="F711" s="1"/>
      <c r="G711" s="2"/>
      <c r="H711" s="3"/>
      <c r="I711" s="4"/>
      <c r="J711" s="4"/>
      <c r="K711" s="1"/>
    </row>
    <row r="712">
      <c r="F712" s="1"/>
      <c r="G712" s="2"/>
      <c r="H712" s="3"/>
      <c r="I712" s="4"/>
      <c r="J712" s="4"/>
      <c r="K712" s="1"/>
    </row>
    <row r="713">
      <c r="F713" s="1"/>
      <c r="G713" s="2"/>
      <c r="H713" s="3"/>
      <c r="I713" s="4"/>
      <c r="J713" s="4"/>
      <c r="K713" s="1"/>
    </row>
    <row r="714">
      <c r="F714" s="1"/>
      <c r="G714" s="2"/>
      <c r="H714" s="3"/>
      <c r="I714" s="4"/>
      <c r="J714" s="4"/>
      <c r="K714" s="1"/>
    </row>
    <row r="715">
      <c r="F715" s="1"/>
      <c r="G715" s="2"/>
      <c r="H715" s="3"/>
      <c r="I715" s="4"/>
      <c r="J715" s="4"/>
      <c r="K715" s="1"/>
    </row>
    <row r="716">
      <c r="F716" s="1"/>
      <c r="G716" s="2"/>
      <c r="H716" s="3"/>
      <c r="I716" s="4"/>
      <c r="J716" s="4"/>
      <c r="K716" s="1"/>
    </row>
    <row r="717">
      <c r="F717" s="1"/>
      <c r="G717" s="2"/>
      <c r="H717" s="3"/>
      <c r="I717" s="4"/>
      <c r="J717" s="4"/>
      <c r="K717" s="1"/>
    </row>
    <row r="718">
      <c r="F718" s="1"/>
      <c r="G718" s="2"/>
      <c r="H718" s="3"/>
      <c r="I718" s="4"/>
      <c r="J718" s="4"/>
      <c r="K718" s="1"/>
    </row>
    <row r="719">
      <c r="F719" s="1"/>
      <c r="G719" s="2"/>
      <c r="H719" s="3"/>
      <c r="I719" s="4"/>
      <c r="J719" s="4"/>
      <c r="K719" s="1"/>
    </row>
    <row r="720">
      <c r="F720" s="1"/>
      <c r="G720" s="2"/>
      <c r="H720" s="3"/>
      <c r="I720" s="4"/>
      <c r="J720" s="4"/>
      <c r="K720" s="1"/>
    </row>
    <row r="721">
      <c r="F721" s="1"/>
      <c r="G721" s="2"/>
      <c r="H721" s="3"/>
      <c r="I721" s="4"/>
      <c r="J721" s="4"/>
      <c r="K721" s="1"/>
    </row>
    <row r="722">
      <c r="F722" s="1"/>
      <c r="G722" s="2"/>
      <c r="H722" s="3"/>
      <c r="I722" s="4"/>
      <c r="J722" s="4"/>
      <c r="K722" s="1"/>
    </row>
    <row r="723">
      <c r="F723" s="1"/>
      <c r="G723" s="2"/>
      <c r="H723" s="3"/>
      <c r="I723" s="4"/>
      <c r="J723" s="4"/>
      <c r="K723" s="1"/>
    </row>
    <row r="724">
      <c r="F724" s="1"/>
      <c r="G724" s="2"/>
      <c r="H724" s="3"/>
      <c r="I724" s="4"/>
      <c r="J724" s="4"/>
      <c r="K724" s="1"/>
    </row>
    <row r="725">
      <c r="F725" s="1"/>
      <c r="G725" s="2"/>
      <c r="H725" s="3"/>
      <c r="I725" s="4"/>
      <c r="J725" s="4"/>
      <c r="K725" s="1"/>
    </row>
    <row r="726">
      <c r="F726" s="1"/>
      <c r="G726" s="2"/>
      <c r="H726" s="3"/>
      <c r="I726" s="4"/>
      <c r="J726" s="4"/>
      <c r="K726" s="1"/>
    </row>
    <row r="727">
      <c r="F727" s="1"/>
      <c r="G727" s="2"/>
      <c r="H727" s="3"/>
      <c r="I727" s="4"/>
      <c r="J727" s="4"/>
      <c r="K727" s="1"/>
    </row>
    <row r="728">
      <c r="F728" s="1"/>
      <c r="G728" s="2"/>
      <c r="H728" s="3"/>
      <c r="I728" s="4"/>
      <c r="J728" s="4"/>
      <c r="K728" s="1"/>
    </row>
    <row r="729">
      <c r="F729" s="1"/>
      <c r="G729" s="2"/>
      <c r="H729" s="3"/>
      <c r="I729" s="4"/>
      <c r="J729" s="4"/>
      <c r="K729" s="1"/>
    </row>
    <row r="730">
      <c r="F730" s="1"/>
      <c r="G730" s="2"/>
      <c r="H730" s="3"/>
      <c r="I730" s="4"/>
      <c r="J730" s="4"/>
      <c r="K730" s="1"/>
    </row>
    <row r="731">
      <c r="F731" s="1"/>
      <c r="G731" s="2"/>
      <c r="H731" s="3"/>
      <c r="I731" s="4"/>
      <c r="J731" s="4"/>
      <c r="K731" s="1"/>
    </row>
    <row r="732">
      <c r="F732" s="1"/>
      <c r="G732" s="2"/>
      <c r="H732" s="3"/>
      <c r="I732" s="4"/>
      <c r="J732" s="4"/>
      <c r="K732" s="1"/>
    </row>
    <row r="733">
      <c r="F733" s="1"/>
      <c r="G733" s="2"/>
      <c r="H733" s="3"/>
      <c r="I733" s="4"/>
      <c r="J733" s="4"/>
      <c r="K733" s="1"/>
    </row>
    <row r="734">
      <c r="F734" s="1"/>
      <c r="G734" s="2"/>
      <c r="H734" s="3"/>
      <c r="I734" s="4"/>
      <c r="J734" s="4"/>
      <c r="K734" s="1"/>
    </row>
    <row r="735">
      <c r="F735" s="1"/>
      <c r="G735" s="2"/>
      <c r="H735" s="3"/>
      <c r="I735" s="4"/>
      <c r="J735" s="4"/>
      <c r="K735" s="1"/>
    </row>
    <row r="736">
      <c r="F736" s="1"/>
      <c r="G736" s="2"/>
      <c r="H736" s="3"/>
      <c r="I736" s="4"/>
      <c r="J736" s="4"/>
      <c r="K736" s="1"/>
    </row>
    <row r="737">
      <c r="F737" s="1"/>
      <c r="G737" s="2"/>
      <c r="H737" s="3"/>
      <c r="I737" s="4"/>
      <c r="J737" s="4"/>
      <c r="K737" s="1"/>
    </row>
    <row r="738">
      <c r="F738" s="1"/>
      <c r="G738" s="2"/>
      <c r="H738" s="3"/>
      <c r="I738" s="4"/>
      <c r="J738" s="4"/>
      <c r="K738" s="1"/>
    </row>
    <row r="739">
      <c r="F739" s="1"/>
      <c r="G739" s="2"/>
      <c r="H739" s="3"/>
      <c r="I739" s="4"/>
      <c r="J739" s="4"/>
      <c r="K739" s="1"/>
    </row>
    <row r="740">
      <c r="F740" s="1"/>
      <c r="G740" s="2"/>
      <c r="H740" s="3"/>
      <c r="I740" s="4"/>
      <c r="J740" s="4"/>
      <c r="K740" s="1"/>
    </row>
    <row r="741">
      <c r="F741" s="1"/>
      <c r="G741" s="2"/>
      <c r="H741" s="3"/>
      <c r="I741" s="4"/>
      <c r="J741" s="4"/>
      <c r="K741" s="1"/>
    </row>
    <row r="742">
      <c r="F742" s="1"/>
      <c r="G742" s="2"/>
      <c r="H742" s="3"/>
      <c r="I742" s="4"/>
      <c r="J742" s="4"/>
      <c r="K742" s="1"/>
    </row>
    <row r="743">
      <c r="F743" s="1"/>
      <c r="G743" s="2"/>
      <c r="H743" s="3"/>
      <c r="I743" s="4"/>
      <c r="J743" s="4"/>
      <c r="K743" s="1"/>
    </row>
    <row r="744">
      <c r="F744" s="1"/>
      <c r="G744" s="2"/>
      <c r="H744" s="3"/>
      <c r="I744" s="4"/>
      <c r="J744" s="4"/>
      <c r="K744" s="1"/>
    </row>
    <row r="745">
      <c r="F745" s="1"/>
      <c r="G745" s="2"/>
      <c r="H745" s="3"/>
      <c r="I745" s="4"/>
      <c r="J745" s="4"/>
      <c r="K745" s="1"/>
    </row>
    <row r="746">
      <c r="F746" s="1"/>
      <c r="G746" s="2"/>
      <c r="H746" s="3"/>
      <c r="I746" s="4"/>
      <c r="J746" s="4"/>
      <c r="K746" s="1"/>
    </row>
    <row r="747">
      <c r="F747" s="1"/>
      <c r="G747" s="2"/>
      <c r="H747" s="3"/>
      <c r="I747" s="4"/>
      <c r="J747" s="4"/>
      <c r="K747" s="1"/>
    </row>
    <row r="748">
      <c r="F748" s="1"/>
      <c r="G748" s="2"/>
      <c r="H748" s="3"/>
      <c r="I748" s="4"/>
      <c r="J748" s="4"/>
      <c r="K748" s="1"/>
    </row>
    <row r="749">
      <c r="F749" s="1"/>
      <c r="G749" s="2"/>
      <c r="H749" s="3"/>
      <c r="I749" s="4"/>
      <c r="J749" s="4"/>
      <c r="K749" s="1"/>
    </row>
    <row r="750">
      <c r="F750" s="1"/>
      <c r="G750" s="2"/>
      <c r="H750" s="3"/>
      <c r="I750" s="4"/>
      <c r="J750" s="4"/>
      <c r="K750" s="1"/>
    </row>
    <row r="751">
      <c r="F751" s="1"/>
      <c r="G751" s="2"/>
      <c r="H751" s="3"/>
      <c r="I751" s="4"/>
      <c r="J751" s="4"/>
      <c r="K751" s="1"/>
    </row>
    <row r="752">
      <c r="F752" s="1"/>
      <c r="G752" s="2"/>
      <c r="H752" s="3"/>
      <c r="I752" s="4"/>
      <c r="J752" s="4"/>
      <c r="K752" s="1"/>
    </row>
    <row r="753">
      <c r="F753" s="1"/>
      <c r="G753" s="2"/>
      <c r="H753" s="3"/>
      <c r="I753" s="4"/>
      <c r="J753" s="4"/>
      <c r="K753" s="1"/>
    </row>
    <row r="754">
      <c r="F754" s="1"/>
      <c r="G754" s="2"/>
      <c r="H754" s="3"/>
      <c r="I754" s="4"/>
      <c r="J754" s="4"/>
      <c r="K754" s="1"/>
    </row>
    <row r="755">
      <c r="F755" s="1"/>
      <c r="G755" s="2"/>
      <c r="H755" s="3"/>
      <c r="I755" s="4"/>
      <c r="J755" s="4"/>
      <c r="K755" s="1"/>
    </row>
    <row r="756">
      <c r="F756" s="1"/>
      <c r="G756" s="2"/>
      <c r="H756" s="3"/>
      <c r="I756" s="4"/>
      <c r="J756" s="4"/>
      <c r="K756" s="1"/>
    </row>
    <row r="757">
      <c r="F757" s="1"/>
      <c r="G757" s="2"/>
      <c r="H757" s="3"/>
      <c r="I757" s="4"/>
      <c r="J757" s="4"/>
      <c r="K757" s="1"/>
    </row>
    <row r="758">
      <c r="F758" s="1"/>
      <c r="G758" s="2"/>
      <c r="H758" s="3"/>
      <c r="I758" s="4"/>
      <c r="J758" s="4"/>
      <c r="K758" s="1"/>
    </row>
    <row r="759">
      <c r="F759" s="1"/>
      <c r="G759" s="2"/>
      <c r="H759" s="3"/>
      <c r="I759" s="4"/>
      <c r="J759" s="4"/>
      <c r="K759" s="1"/>
    </row>
    <row r="760">
      <c r="F760" s="1"/>
      <c r="G760" s="2"/>
      <c r="H760" s="3"/>
      <c r="I760" s="4"/>
      <c r="J760" s="4"/>
      <c r="K760" s="1"/>
    </row>
    <row r="761">
      <c r="F761" s="1"/>
      <c r="G761" s="2"/>
      <c r="H761" s="3"/>
      <c r="I761" s="4"/>
      <c r="J761" s="4"/>
      <c r="K761" s="1"/>
    </row>
    <row r="762">
      <c r="F762" s="1"/>
      <c r="G762" s="2"/>
      <c r="H762" s="3"/>
      <c r="I762" s="4"/>
      <c r="J762" s="4"/>
      <c r="K762" s="1"/>
    </row>
    <row r="763">
      <c r="F763" s="1"/>
      <c r="G763" s="2"/>
      <c r="H763" s="3"/>
      <c r="I763" s="4"/>
      <c r="J763" s="4"/>
      <c r="K763" s="1"/>
    </row>
    <row r="764">
      <c r="F764" s="1"/>
      <c r="G764" s="2"/>
      <c r="H764" s="3"/>
      <c r="I764" s="4"/>
      <c r="J764" s="4"/>
      <c r="K764" s="1"/>
    </row>
    <row r="765">
      <c r="F765" s="1"/>
      <c r="G765" s="2"/>
      <c r="H765" s="3"/>
      <c r="I765" s="4"/>
      <c r="J765" s="4"/>
      <c r="K765" s="1"/>
    </row>
    <row r="766">
      <c r="F766" s="1"/>
      <c r="G766" s="2"/>
      <c r="H766" s="3"/>
      <c r="I766" s="4"/>
      <c r="J766" s="4"/>
      <c r="K766" s="1"/>
    </row>
    <row r="767">
      <c r="F767" s="1"/>
      <c r="G767" s="2"/>
      <c r="H767" s="3"/>
      <c r="I767" s="4"/>
      <c r="J767" s="4"/>
      <c r="K767" s="1"/>
    </row>
    <row r="768">
      <c r="F768" s="1"/>
      <c r="G768" s="2"/>
      <c r="H768" s="3"/>
      <c r="I768" s="4"/>
      <c r="J768" s="4"/>
      <c r="K768" s="1"/>
    </row>
    <row r="769">
      <c r="F769" s="1"/>
      <c r="G769" s="2"/>
      <c r="H769" s="3"/>
      <c r="I769" s="4"/>
      <c r="J769" s="4"/>
      <c r="K769" s="1"/>
    </row>
    <row r="770">
      <c r="F770" s="1"/>
      <c r="G770" s="2"/>
      <c r="H770" s="3"/>
      <c r="I770" s="4"/>
      <c r="J770" s="4"/>
      <c r="K770" s="1"/>
    </row>
    <row r="771">
      <c r="F771" s="1"/>
      <c r="G771" s="2"/>
      <c r="H771" s="3"/>
      <c r="I771" s="4"/>
      <c r="J771" s="4"/>
      <c r="K771" s="1"/>
    </row>
    <row r="772">
      <c r="F772" s="1"/>
      <c r="G772" s="2"/>
      <c r="H772" s="3"/>
      <c r="I772" s="4"/>
      <c r="J772" s="4"/>
      <c r="K772" s="1"/>
    </row>
    <row r="773">
      <c r="F773" s="1"/>
      <c r="G773" s="2"/>
      <c r="H773" s="3"/>
      <c r="I773" s="4"/>
      <c r="J773" s="4"/>
      <c r="K773" s="1"/>
    </row>
    <row r="774">
      <c r="F774" s="1"/>
      <c r="G774" s="2"/>
      <c r="H774" s="3"/>
      <c r="I774" s="4"/>
      <c r="J774" s="4"/>
      <c r="K774" s="1"/>
    </row>
    <row r="775">
      <c r="F775" s="1"/>
      <c r="G775" s="2"/>
      <c r="H775" s="3"/>
      <c r="I775" s="4"/>
      <c r="J775" s="4"/>
      <c r="K775" s="1"/>
    </row>
    <row r="776">
      <c r="F776" s="1"/>
      <c r="G776" s="2"/>
      <c r="H776" s="3"/>
      <c r="I776" s="4"/>
      <c r="J776" s="4"/>
      <c r="K776" s="1"/>
    </row>
    <row r="777">
      <c r="F777" s="1"/>
      <c r="G777" s="2"/>
      <c r="H777" s="3"/>
      <c r="I777" s="4"/>
      <c r="J777" s="4"/>
      <c r="K777" s="1"/>
    </row>
    <row r="778">
      <c r="F778" s="1"/>
      <c r="G778" s="2"/>
      <c r="H778" s="3"/>
      <c r="I778" s="4"/>
      <c r="J778" s="4"/>
      <c r="K778" s="1"/>
    </row>
    <row r="779">
      <c r="F779" s="1"/>
      <c r="G779" s="2"/>
      <c r="H779" s="3"/>
      <c r="I779" s="4"/>
      <c r="J779" s="4"/>
      <c r="K779" s="1"/>
    </row>
    <row r="780">
      <c r="F780" s="1"/>
      <c r="G780" s="2"/>
      <c r="H780" s="3"/>
      <c r="I780" s="4"/>
      <c r="J780" s="4"/>
      <c r="K780" s="1"/>
    </row>
    <row r="781">
      <c r="F781" s="1"/>
      <c r="G781" s="2"/>
      <c r="H781" s="3"/>
      <c r="I781" s="4"/>
      <c r="J781" s="4"/>
      <c r="K781" s="1"/>
    </row>
    <row r="782">
      <c r="F782" s="1"/>
      <c r="G782" s="2"/>
      <c r="H782" s="3"/>
      <c r="I782" s="4"/>
      <c r="J782" s="4"/>
      <c r="K782" s="1"/>
    </row>
    <row r="783">
      <c r="F783" s="1"/>
      <c r="G783" s="2"/>
      <c r="H783" s="3"/>
      <c r="I783" s="4"/>
      <c r="J783" s="4"/>
      <c r="K783" s="1"/>
    </row>
    <row r="784">
      <c r="F784" s="1"/>
      <c r="G784" s="2"/>
      <c r="H784" s="3"/>
      <c r="I784" s="4"/>
      <c r="J784" s="4"/>
      <c r="K784" s="1"/>
    </row>
    <row r="785">
      <c r="F785" s="1"/>
      <c r="G785" s="2"/>
      <c r="H785" s="3"/>
      <c r="I785" s="4"/>
      <c r="J785" s="4"/>
      <c r="K785" s="1"/>
    </row>
    <row r="786">
      <c r="F786" s="1"/>
      <c r="G786" s="2"/>
      <c r="H786" s="3"/>
      <c r="I786" s="4"/>
      <c r="J786" s="4"/>
      <c r="K786" s="1"/>
    </row>
    <row r="787">
      <c r="F787" s="1"/>
      <c r="G787" s="2"/>
      <c r="H787" s="3"/>
      <c r="I787" s="4"/>
      <c r="J787" s="4"/>
      <c r="K787" s="1"/>
    </row>
    <row r="788">
      <c r="F788" s="1"/>
      <c r="G788" s="2"/>
      <c r="H788" s="3"/>
      <c r="I788" s="4"/>
      <c r="J788" s="4"/>
      <c r="K788" s="1"/>
    </row>
    <row r="789">
      <c r="F789" s="1"/>
      <c r="G789" s="2"/>
      <c r="H789" s="3"/>
      <c r="I789" s="4"/>
      <c r="J789" s="4"/>
      <c r="K789" s="1"/>
    </row>
    <row r="790">
      <c r="F790" s="1"/>
      <c r="G790" s="2"/>
      <c r="H790" s="3"/>
      <c r="I790" s="4"/>
      <c r="J790" s="4"/>
      <c r="K790" s="1"/>
    </row>
    <row r="791">
      <c r="F791" s="1"/>
      <c r="G791" s="2"/>
      <c r="H791" s="3"/>
      <c r="I791" s="4"/>
      <c r="J791" s="4"/>
      <c r="K791" s="1"/>
    </row>
    <row r="792">
      <c r="F792" s="1"/>
      <c r="G792" s="2"/>
      <c r="H792" s="3"/>
      <c r="I792" s="4"/>
      <c r="J792" s="4"/>
      <c r="K792" s="1"/>
    </row>
    <row r="793">
      <c r="F793" s="1"/>
      <c r="G793" s="2"/>
      <c r="H793" s="3"/>
      <c r="I793" s="4"/>
      <c r="J793" s="4"/>
      <c r="K793" s="1"/>
    </row>
    <row r="794">
      <c r="F794" s="1"/>
      <c r="G794" s="2"/>
      <c r="H794" s="3"/>
      <c r="I794" s="4"/>
      <c r="J794" s="4"/>
      <c r="K794" s="1"/>
    </row>
    <row r="795">
      <c r="F795" s="1"/>
      <c r="G795" s="2"/>
      <c r="H795" s="3"/>
      <c r="I795" s="4"/>
      <c r="J795" s="4"/>
      <c r="K795" s="1"/>
    </row>
    <row r="796">
      <c r="F796" s="1"/>
      <c r="G796" s="2"/>
      <c r="H796" s="3"/>
      <c r="I796" s="4"/>
      <c r="J796" s="4"/>
      <c r="K796" s="1"/>
    </row>
    <row r="797">
      <c r="F797" s="1"/>
      <c r="G797" s="2"/>
      <c r="H797" s="3"/>
      <c r="I797" s="4"/>
      <c r="J797" s="4"/>
      <c r="K797" s="1"/>
    </row>
    <row r="798">
      <c r="F798" s="1"/>
      <c r="G798" s="2"/>
      <c r="H798" s="3"/>
      <c r="I798" s="4"/>
      <c r="J798" s="4"/>
      <c r="K798" s="1"/>
    </row>
    <row r="799">
      <c r="F799" s="1"/>
      <c r="G799" s="2"/>
      <c r="H799" s="3"/>
      <c r="I799" s="4"/>
      <c r="J799" s="4"/>
      <c r="K799" s="1"/>
    </row>
    <row r="800">
      <c r="F800" s="1"/>
      <c r="G800" s="2"/>
      <c r="H800" s="3"/>
      <c r="I800" s="4"/>
      <c r="J800" s="4"/>
      <c r="K800" s="1"/>
    </row>
    <row r="801">
      <c r="F801" s="1"/>
      <c r="G801" s="2"/>
      <c r="H801" s="3"/>
      <c r="I801" s="4"/>
      <c r="J801" s="4"/>
      <c r="K801" s="1"/>
    </row>
    <row r="802">
      <c r="F802" s="1"/>
      <c r="G802" s="2"/>
      <c r="H802" s="3"/>
      <c r="I802" s="4"/>
      <c r="J802" s="4"/>
      <c r="K802" s="1"/>
    </row>
    <row r="803">
      <c r="F803" s="1"/>
      <c r="G803" s="2"/>
      <c r="H803" s="3"/>
      <c r="I803" s="4"/>
      <c r="J803" s="4"/>
      <c r="K803" s="1"/>
    </row>
    <row r="804">
      <c r="F804" s="1"/>
      <c r="G804" s="2"/>
      <c r="H804" s="3"/>
      <c r="I804" s="4"/>
      <c r="J804" s="4"/>
      <c r="K804" s="1"/>
    </row>
    <row r="805">
      <c r="F805" s="1"/>
      <c r="G805" s="2"/>
      <c r="H805" s="3"/>
      <c r="I805" s="4"/>
      <c r="J805" s="4"/>
      <c r="K805" s="1"/>
    </row>
    <row r="806">
      <c r="F806" s="1"/>
      <c r="G806" s="2"/>
      <c r="H806" s="3"/>
      <c r="I806" s="4"/>
      <c r="J806" s="4"/>
      <c r="K806" s="1"/>
    </row>
    <row r="807">
      <c r="F807" s="1"/>
      <c r="G807" s="2"/>
      <c r="H807" s="3"/>
      <c r="I807" s="4"/>
      <c r="J807" s="4"/>
      <c r="K807" s="1"/>
    </row>
    <row r="808">
      <c r="F808" s="1"/>
      <c r="G808" s="2"/>
      <c r="H808" s="3"/>
      <c r="I808" s="4"/>
      <c r="J808" s="4"/>
      <c r="K808" s="1"/>
    </row>
    <row r="809">
      <c r="F809" s="1"/>
      <c r="G809" s="2"/>
      <c r="H809" s="3"/>
      <c r="I809" s="4"/>
      <c r="J809" s="4"/>
      <c r="K809" s="1"/>
    </row>
    <row r="810">
      <c r="F810" s="1"/>
      <c r="G810" s="2"/>
      <c r="H810" s="3"/>
      <c r="I810" s="4"/>
      <c r="J810" s="4"/>
      <c r="K810" s="1"/>
    </row>
    <row r="811">
      <c r="F811" s="1"/>
      <c r="G811" s="2"/>
      <c r="H811" s="3"/>
      <c r="I811" s="4"/>
      <c r="J811" s="4"/>
      <c r="K811" s="1"/>
    </row>
    <row r="812">
      <c r="F812" s="1"/>
      <c r="G812" s="2"/>
      <c r="H812" s="3"/>
      <c r="I812" s="4"/>
      <c r="J812" s="4"/>
      <c r="K812" s="1"/>
    </row>
    <row r="813">
      <c r="F813" s="1"/>
      <c r="G813" s="2"/>
      <c r="H813" s="3"/>
      <c r="I813" s="4"/>
      <c r="J813" s="4"/>
      <c r="K813" s="1"/>
    </row>
    <row r="814">
      <c r="F814" s="1"/>
      <c r="G814" s="2"/>
      <c r="H814" s="3"/>
      <c r="I814" s="4"/>
      <c r="J814" s="4"/>
      <c r="K814" s="1"/>
    </row>
    <row r="815">
      <c r="F815" s="1"/>
      <c r="G815" s="2"/>
      <c r="H815" s="3"/>
      <c r="I815" s="4"/>
      <c r="J815" s="4"/>
      <c r="K815" s="1"/>
    </row>
    <row r="816">
      <c r="F816" s="1"/>
      <c r="G816" s="2"/>
      <c r="H816" s="3"/>
      <c r="I816" s="4"/>
      <c r="J816" s="4"/>
      <c r="K816" s="1"/>
    </row>
    <row r="817">
      <c r="F817" s="1"/>
      <c r="G817" s="2"/>
      <c r="H817" s="3"/>
      <c r="I817" s="4"/>
      <c r="J817" s="4"/>
      <c r="K817" s="1"/>
    </row>
    <row r="818">
      <c r="F818" s="1"/>
      <c r="G818" s="2"/>
      <c r="H818" s="3"/>
      <c r="I818" s="4"/>
      <c r="J818" s="4"/>
      <c r="K818" s="1"/>
    </row>
    <row r="819">
      <c r="F819" s="1"/>
      <c r="G819" s="2"/>
      <c r="H819" s="3"/>
      <c r="I819" s="4"/>
      <c r="J819" s="4"/>
      <c r="K819" s="1"/>
    </row>
    <row r="820">
      <c r="F820" s="1"/>
      <c r="G820" s="2"/>
      <c r="H820" s="3"/>
      <c r="I820" s="4"/>
      <c r="J820" s="4"/>
      <c r="K820" s="1"/>
    </row>
    <row r="821">
      <c r="F821" s="1"/>
      <c r="G821" s="2"/>
      <c r="H821" s="3"/>
      <c r="I821" s="4"/>
      <c r="J821" s="4"/>
      <c r="K821" s="1"/>
    </row>
    <row r="822">
      <c r="F822" s="1"/>
      <c r="G822" s="2"/>
      <c r="H822" s="3"/>
      <c r="I822" s="4"/>
      <c r="J822" s="4"/>
      <c r="K822" s="1"/>
    </row>
    <row r="823">
      <c r="F823" s="1"/>
      <c r="G823" s="2"/>
      <c r="H823" s="3"/>
      <c r="I823" s="4"/>
      <c r="J823" s="4"/>
      <c r="K823" s="1"/>
    </row>
    <row r="824">
      <c r="F824" s="1"/>
      <c r="G824" s="2"/>
      <c r="H824" s="3"/>
      <c r="I824" s="4"/>
      <c r="J824" s="4"/>
      <c r="K824" s="1"/>
    </row>
    <row r="825">
      <c r="F825" s="1"/>
      <c r="G825" s="2"/>
      <c r="H825" s="3"/>
      <c r="I825" s="4"/>
      <c r="J825" s="4"/>
      <c r="K825" s="1"/>
    </row>
    <row r="826">
      <c r="F826" s="1"/>
      <c r="G826" s="2"/>
      <c r="H826" s="3"/>
      <c r="I826" s="4"/>
      <c r="J826" s="4"/>
      <c r="K826" s="1"/>
    </row>
    <row r="827">
      <c r="F827" s="1"/>
      <c r="G827" s="2"/>
      <c r="H827" s="3"/>
      <c r="I827" s="4"/>
      <c r="J827" s="4"/>
      <c r="K827" s="1"/>
    </row>
    <row r="828">
      <c r="F828" s="1"/>
      <c r="G828" s="2"/>
      <c r="H828" s="3"/>
      <c r="I828" s="4"/>
      <c r="J828" s="4"/>
      <c r="K828" s="1"/>
    </row>
    <row r="829">
      <c r="F829" s="1"/>
      <c r="G829" s="2"/>
      <c r="H829" s="3"/>
      <c r="I829" s="4"/>
      <c r="J829" s="4"/>
      <c r="K829" s="1"/>
    </row>
    <row r="830">
      <c r="F830" s="1"/>
      <c r="G830" s="2"/>
      <c r="H830" s="3"/>
      <c r="I830" s="4"/>
      <c r="J830" s="4"/>
      <c r="K830" s="1"/>
    </row>
    <row r="831">
      <c r="F831" s="1"/>
      <c r="G831" s="2"/>
      <c r="H831" s="3"/>
      <c r="I831" s="4"/>
      <c r="J831" s="4"/>
      <c r="K831" s="1"/>
    </row>
    <row r="832">
      <c r="F832" s="1"/>
      <c r="G832" s="2"/>
      <c r="H832" s="3"/>
      <c r="I832" s="4"/>
      <c r="J832" s="4"/>
      <c r="K832" s="1"/>
    </row>
    <row r="833">
      <c r="F833" s="1"/>
      <c r="G833" s="2"/>
      <c r="H833" s="3"/>
      <c r="I833" s="4"/>
      <c r="J833" s="4"/>
      <c r="K833" s="1"/>
    </row>
    <row r="834">
      <c r="F834" s="1"/>
      <c r="G834" s="2"/>
      <c r="H834" s="3"/>
      <c r="I834" s="4"/>
      <c r="J834" s="4"/>
      <c r="K834" s="1"/>
    </row>
    <row r="835">
      <c r="F835" s="1"/>
      <c r="G835" s="2"/>
      <c r="H835" s="3"/>
      <c r="I835" s="4"/>
      <c r="J835" s="4"/>
      <c r="K835" s="1"/>
    </row>
    <row r="836">
      <c r="F836" s="1"/>
      <c r="G836" s="2"/>
      <c r="H836" s="3"/>
      <c r="I836" s="4"/>
      <c r="J836" s="4"/>
      <c r="K836" s="1"/>
    </row>
    <row r="837">
      <c r="F837" s="1"/>
      <c r="G837" s="2"/>
      <c r="H837" s="3"/>
      <c r="I837" s="4"/>
      <c r="J837" s="4"/>
      <c r="K837" s="1"/>
    </row>
    <row r="838">
      <c r="F838" s="1"/>
      <c r="G838" s="2"/>
      <c r="H838" s="3"/>
      <c r="I838" s="4"/>
      <c r="J838" s="4"/>
      <c r="K838" s="1"/>
    </row>
    <row r="839">
      <c r="F839" s="1"/>
      <c r="G839" s="2"/>
      <c r="H839" s="3"/>
      <c r="I839" s="4"/>
      <c r="J839" s="4"/>
      <c r="K839" s="1"/>
    </row>
    <row r="840">
      <c r="F840" s="1"/>
      <c r="G840" s="2"/>
      <c r="H840" s="3"/>
      <c r="I840" s="4"/>
      <c r="J840" s="4"/>
      <c r="K840" s="1"/>
    </row>
    <row r="841">
      <c r="F841" s="1"/>
      <c r="G841" s="2"/>
      <c r="H841" s="3"/>
      <c r="I841" s="4"/>
      <c r="J841" s="4"/>
      <c r="K841" s="1"/>
    </row>
    <row r="842">
      <c r="F842" s="1"/>
      <c r="G842" s="2"/>
      <c r="H842" s="3"/>
      <c r="I842" s="4"/>
      <c r="J842" s="4"/>
      <c r="K842" s="1"/>
    </row>
    <row r="843">
      <c r="F843" s="1"/>
      <c r="G843" s="2"/>
      <c r="H843" s="3"/>
      <c r="I843" s="4"/>
      <c r="J843" s="4"/>
      <c r="K843" s="1"/>
    </row>
    <row r="844">
      <c r="F844" s="1"/>
      <c r="G844" s="2"/>
      <c r="H844" s="3"/>
      <c r="I844" s="4"/>
      <c r="J844" s="4"/>
      <c r="K844" s="1"/>
    </row>
    <row r="845">
      <c r="F845" s="1"/>
      <c r="G845" s="2"/>
      <c r="H845" s="3"/>
      <c r="I845" s="4"/>
      <c r="J845" s="4"/>
      <c r="K845" s="1"/>
    </row>
    <row r="846">
      <c r="F846" s="1"/>
      <c r="G846" s="2"/>
      <c r="H846" s="3"/>
      <c r="I846" s="4"/>
      <c r="J846" s="4"/>
      <c r="K846" s="1"/>
    </row>
    <row r="847">
      <c r="F847" s="1"/>
      <c r="G847" s="2"/>
      <c r="H847" s="3"/>
      <c r="I847" s="4"/>
      <c r="J847" s="4"/>
      <c r="K847" s="1"/>
    </row>
    <row r="848">
      <c r="F848" s="1"/>
      <c r="G848" s="2"/>
      <c r="H848" s="3"/>
      <c r="I848" s="4"/>
      <c r="J848" s="4"/>
      <c r="K848" s="1"/>
    </row>
    <row r="849">
      <c r="F849" s="1"/>
      <c r="G849" s="2"/>
      <c r="H849" s="3"/>
      <c r="I849" s="4"/>
      <c r="J849" s="4"/>
      <c r="K849" s="1"/>
    </row>
    <row r="850">
      <c r="F850" s="1"/>
      <c r="G850" s="2"/>
      <c r="H850" s="3"/>
      <c r="I850" s="4"/>
      <c r="J850" s="4"/>
      <c r="K850" s="1"/>
    </row>
    <row r="851">
      <c r="F851" s="1"/>
      <c r="G851" s="2"/>
      <c r="H851" s="3"/>
      <c r="I851" s="4"/>
      <c r="J851" s="4"/>
      <c r="K851" s="1"/>
    </row>
    <row r="852">
      <c r="F852" s="1"/>
      <c r="G852" s="2"/>
      <c r="H852" s="3"/>
      <c r="I852" s="4"/>
      <c r="J852" s="4"/>
      <c r="K852" s="1"/>
    </row>
    <row r="853">
      <c r="F853" s="1"/>
      <c r="G853" s="2"/>
      <c r="H853" s="3"/>
      <c r="I853" s="4"/>
      <c r="J853" s="4"/>
      <c r="K853" s="1"/>
    </row>
    <row r="854">
      <c r="F854" s="1"/>
      <c r="G854" s="2"/>
      <c r="H854" s="3"/>
      <c r="I854" s="4"/>
      <c r="J854" s="4"/>
      <c r="K854" s="1"/>
    </row>
    <row r="855">
      <c r="F855" s="1"/>
      <c r="G855" s="2"/>
      <c r="H855" s="3"/>
      <c r="I855" s="4"/>
      <c r="J855" s="4"/>
      <c r="K855" s="1"/>
    </row>
    <row r="856">
      <c r="F856" s="1"/>
      <c r="G856" s="2"/>
      <c r="H856" s="3"/>
      <c r="I856" s="4"/>
      <c r="J856" s="4"/>
      <c r="K856" s="1"/>
    </row>
    <row r="857">
      <c r="F857" s="1"/>
      <c r="G857" s="2"/>
      <c r="H857" s="3"/>
      <c r="I857" s="4"/>
      <c r="J857" s="4"/>
      <c r="K857" s="1"/>
    </row>
    <row r="858">
      <c r="F858" s="1"/>
      <c r="G858" s="2"/>
      <c r="H858" s="3"/>
      <c r="I858" s="4"/>
      <c r="J858" s="4"/>
      <c r="K858" s="1"/>
    </row>
    <row r="859">
      <c r="F859" s="1"/>
      <c r="G859" s="2"/>
      <c r="H859" s="3"/>
      <c r="I859" s="4"/>
      <c r="J859" s="4"/>
      <c r="K859" s="1"/>
    </row>
    <row r="860">
      <c r="F860" s="1"/>
      <c r="G860" s="2"/>
      <c r="H860" s="3"/>
      <c r="I860" s="4"/>
      <c r="J860" s="4"/>
      <c r="K860" s="1"/>
    </row>
    <row r="861">
      <c r="F861" s="1"/>
      <c r="G861" s="2"/>
      <c r="H861" s="3"/>
      <c r="I861" s="4"/>
      <c r="J861" s="4"/>
      <c r="K861" s="1"/>
    </row>
    <row r="862">
      <c r="F862" s="1"/>
      <c r="G862" s="2"/>
      <c r="H862" s="3"/>
      <c r="I862" s="4"/>
      <c r="J862" s="4"/>
      <c r="K862" s="1"/>
    </row>
    <row r="863">
      <c r="F863" s="1"/>
      <c r="G863" s="2"/>
      <c r="H863" s="3"/>
      <c r="I863" s="4"/>
      <c r="J863" s="4"/>
      <c r="K863" s="1"/>
    </row>
    <row r="864">
      <c r="F864" s="1"/>
      <c r="G864" s="2"/>
      <c r="H864" s="3"/>
      <c r="I864" s="4"/>
      <c r="J864" s="4"/>
      <c r="K864" s="1"/>
    </row>
    <row r="865">
      <c r="F865" s="1"/>
      <c r="G865" s="2"/>
      <c r="H865" s="3"/>
      <c r="I865" s="4"/>
      <c r="J865" s="4"/>
      <c r="K865" s="1"/>
    </row>
    <row r="866">
      <c r="F866" s="1"/>
      <c r="G866" s="2"/>
      <c r="H866" s="3"/>
      <c r="I866" s="4"/>
      <c r="J866" s="4"/>
      <c r="K866" s="1"/>
    </row>
    <row r="867">
      <c r="F867" s="1"/>
      <c r="G867" s="2"/>
      <c r="H867" s="3"/>
      <c r="I867" s="4"/>
      <c r="J867" s="4"/>
      <c r="K867" s="1"/>
    </row>
    <row r="868">
      <c r="F868" s="1"/>
      <c r="G868" s="2"/>
      <c r="H868" s="3"/>
      <c r="I868" s="4"/>
      <c r="J868" s="4"/>
      <c r="K868" s="1"/>
    </row>
    <row r="869">
      <c r="F869" s="1"/>
      <c r="G869" s="2"/>
      <c r="H869" s="3"/>
      <c r="I869" s="4"/>
      <c r="J869" s="4"/>
      <c r="K869" s="1"/>
    </row>
    <row r="870">
      <c r="F870" s="1"/>
      <c r="G870" s="2"/>
      <c r="H870" s="3"/>
      <c r="I870" s="4"/>
      <c r="J870" s="4"/>
      <c r="K870" s="1"/>
    </row>
    <row r="871">
      <c r="F871" s="1"/>
      <c r="G871" s="2"/>
      <c r="H871" s="3"/>
      <c r="I871" s="4"/>
      <c r="J871" s="4"/>
      <c r="K871" s="1"/>
    </row>
    <row r="872">
      <c r="F872" s="1"/>
      <c r="G872" s="2"/>
      <c r="H872" s="3"/>
      <c r="I872" s="4"/>
      <c r="J872" s="4"/>
      <c r="K872" s="1"/>
    </row>
    <row r="873">
      <c r="F873" s="1"/>
      <c r="G873" s="2"/>
      <c r="H873" s="3"/>
      <c r="I873" s="4"/>
      <c r="J873" s="4"/>
      <c r="K873" s="1"/>
    </row>
    <row r="874">
      <c r="F874" s="1"/>
      <c r="G874" s="2"/>
      <c r="H874" s="3"/>
      <c r="I874" s="4"/>
      <c r="J874" s="4"/>
      <c r="K874" s="1"/>
    </row>
    <row r="875">
      <c r="F875" s="1"/>
      <c r="G875" s="2"/>
      <c r="H875" s="3"/>
      <c r="I875" s="4"/>
      <c r="J875" s="4"/>
      <c r="K875" s="1"/>
    </row>
    <row r="876">
      <c r="F876" s="1"/>
      <c r="G876" s="2"/>
      <c r="H876" s="3"/>
      <c r="I876" s="4"/>
      <c r="J876" s="4"/>
      <c r="K876" s="1"/>
    </row>
    <row r="877">
      <c r="F877" s="1"/>
      <c r="G877" s="2"/>
      <c r="H877" s="3"/>
      <c r="I877" s="4"/>
      <c r="J877" s="4"/>
      <c r="K877" s="1"/>
    </row>
    <row r="878">
      <c r="F878" s="1"/>
      <c r="G878" s="2"/>
      <c r="H878" s="3"/>
      <c r="I878" s="4"/>
      <c r="J878" s="4"/>
      <c r="K878" s="1"/>
    </row>
    <row r="879">
      <c r="F879" s="1"/>
      <c r="G879" s="2"/>
      <c r="H879" s="3"/>
      <c r="I879" s="4"/>
      <c r="J879" s="4"/>
      <c r="K879" s="1"/>
    </row>
    <row r="880">
      <c r="F880" s="1"/>
      <c r="G880" s="2"/>
      <c r="H880" s="3"/>
      <c r="I880" s="4"/>
      <c r="J880" s="4"/>
      <c r="K880" s="1"/>
    </row>
    <row r="881">
      <c r="F881" s="1"/>
      <c r="G881" s="2"/>
      <c r="H881" s="3"/>
      <c r="I881" s="4"/>
      <c r="J881" s="4"/>
      <c r="K881" s="1"/>
    </row>
    <row r="882">
      <c r="F882" s="1"/>
      <c r="G882" s="2"/>
      <c r="H882" s="3"/>
      <c r="I882" s="4"/>
      <c r="J882" s="4"/>
      <c r="K882" s="1"/>
    </row>
    <row r="883">
      <c r="F883" s="1"/>
      <c r="G883" s="2"/>
      <c r="H883" s="3"/>
      <c r="I883" s="4"/>
      <c r="J883" s="4"/>
      <c r="K883" s="1"/>
    </row>
    <row r="884">
      <c r="F884" s="1"/>
      <c r="G884" s="2"/>
      <c r="H884" s="3"/>
      <c r="I884" s="4"/>
      <c r="J884" s="4"/>
      <c r="K884" s="1"/>
    </row>
    <row r="885">
      <c r="F885" s="1"/>
      <c r="G885" s="2"/>
      <c r="H885" s="3"/>
      <c r="I885" s="4"/>
      <c r="J885" s="4"/>
      <c r="K885" s="1"/>
    </row>
    <row r="886">
      <c r="F886" s="1"/>
      <c r="G886" s="2"/>
      <c r="H886" s="3"/>
      <c r="I886" s="4"/>
      <c r="J886" s="4"/>
      <c r="K886" s="1"/>
    </row>
    <row r="887">
      <c r="F887" s="1"/>
      <c r="G887" s="2"/>
      <c r="H887" s="3"/>
      <c r="I887" s="4"/>
      <c r="J887" s="4"/>
      <c r="K887" s="1"/>
    </row>
    <row r="888">
      <c r="F888" s="1"/>
      <c r="G888" s="2"/>
      <c r="H888" s="3"/>
      <c r="I888" s="4"/>
      <c r="J888" s="4"/>
      <c r="K888" s="1"/>
    </row>
    <row r="889">
      <c r="F889" s="1"/>
      <c r="G889" s="2"/>
      <c r="H889" s="3"/>
      <c r="I889" s="4"/>
      <c r="J889" s="4"/>
      <c r="K889" s="1"/>
    </row>
    <row r="890">
      <c r="F890" s="1"/>
      <c r="G890" s="2"/>
      <c r="H890" s="3"/>
      <c r="I890" s="4"/>
      <c r="J890" s="4"/>
      <c r="K890" s="1"/>
    </row>
    <row r="891">
      <c r="F891" s="1"/>
      <c r="G891" s="2"/>
      <c r="H891" s="3"/>
      <c r="I891" s="4"/>
      <c r="J891" s="4"/>
      <c r="K891" s="1"/>
    </row>
    <row r="892">
      <c r="F892" s="1"/>
      <c r="G892" s="2"/>
      <c r="H892" s="3"/>
      <c r="I892" s="4"/>
      <c r="J892" s="4"/>
      <c r="K892" s="1"/>
    </row>
    <row r="893">
      <c r="F893" s="1"/>
      <c r="G893" s="2"/>
      <c r="H893" s="3"/>
      <c r="I893" s="4"/>
      <c r="J893" s="4"/>
      <c r="K893" s="1"/>
    </row>
    <row r="894">
      <c r="F894" s="1"/>
      <c r="G894" s="2"/>
      <c r="H894" s="3"/>
      <c r="I894" s="4"/>
      <c r="J894" s="4"/>
      <c r="K894" s="1"/>
    </row>
    <row r="895">
      <c r="F895" s="1"/>
      <c r="G895" s="2"/>
      <c r="H895" s="3"/>
      <c r="I895" s="4"/>
      <c r="J895" s="4"/>
      <c r="K895" s="1"/>
    </row>
    <row r="896">
      <c r="F896" s="1"/>
      <c r="G896" s="2"/>
      <c r="H896" s="3"/>
      <c r="I896" s="4"/>
      <c r="J896" s="4"/>
      <c r="K896" s="1"/>
    </row>
    <row r="897">
      <c r="F897" s="1"/>
      <c r="G897" s="2"/>
      <c r="H897" s="3"/>
      <c r="I897" s="4"/>
      <c r="J897" s="4"/>
      <c r="K897" s="1"/>
    </row>
    <row r="898">
      <c r="F898" s="1"/>
      <c r="G898" s="2"/>
      <c r="H898" s="3"/>
      <c r="I898" s="4"/>
      <c r="J898" s="4"/>
      <c r="K898" s="1"/>
    </row>
    <row r="899">
      <c r="F899" s="1"/>
      <c r="G899" s="2"/>
      <c r="H899" s="3"/>
      <c r="I899" s="4"/>
      <c r="J899" s="4"/>
      <c r="K899" s="1"/>
    </row>
    <row r="900">
      <c r="F900" s="1"/>
      <c r="G900" s="2"/>
      <c r="H900" s="3"/>
      <c r="I900" s="4"/>
      <c r="J900" s="4"/>
      <c r="K900" s="1"/>
    </row>
    <row r="901">
      <c r="F901" s="1"/>
      <c r="G901" s="2"/>
      <c r="H901" s="3"/>
      <c r="I901" s="4"/>
      <c r="J901" s="4"/>
      <c r="K901" s="1"/>
    </row>
    <row r="902">
      <c r="F902" s="1"/>
      <c r="G902" s="2"/>
      <c r="H902" s="3"/>
      <c r="I902" s="4"/>
      <c r="J902" s="4"/>
      <c r="K902" s="1"/>
    </row>
    <row r="903">
      <c r="F903" s="1"/>
      <c r="G903" s="2"/>
      <c r="H903" s="3"/>
      <c r="I903" s="4"/>
      <c r="J903" s="4"/>
      <c r="K903" s="1"/>
    </row>
    <row r="904">
      <c r="F904" s="1"/>
      <c r="G904" s="2"/>
      <c r="H904" s="3"/>
      <c r="I904" s="4"/>
      <c r="J904" s="4"/>
      <c r="K904" s="1"/>
    </row>
    <row r="905">
      <c r="F905" s="1"/>
      <c r="G905" s="2"/>
      <c r="H905" s="3"/>
      <c r="I905" s="4"/>
      <c r="J905" s="4"/>
      <c r="K905" s="1"/>
    </row>
    <row r="906">
      <c r="F906" s="1"/>
      <c r="G906" s="2"/>
      <c r="H906" s="3"/>
      <c r="I906" s="4"/>
      <c r="J906" s="4"/>
      <c r="K906" s="1"/>
    </row>
    <row r="907">
      <c r="F907" s="1"/>
      <c r="G907" s="2"/>
      <c r="H907" s="3"/>
      <c r="I907" s="4"/>
      <c r="J907" s="4"/>
      <c r="K907" s="1"/>
    </row>
    <row r="908">
      <c r="F908" s="1"/>
      <c r="G908" s="2"/>
      <c r="H908" s="3"/>
      <c r="I908" s="4"/>
      <c r="J908" s="4"/>
      <c r="K908" s="1"/>
    </row>
    <row r="909">
      <c r="F909" s="1"/>
      <c r="G909" s="2"/>
      <c r="H909" s="3"/>
      <c r="I909" s="4"/>
      <c r="J909" s="4"/>
      <c r="K909" s="1"/>
    </row>
    <row r="910">
      <c r="F910" s="1"/>
      <c r="G910" s="2"/>
      <c r="H910" s="3"/>
      <c r="I910" s="4"/>
      <c r="J910" s="4"/>
      <c r="K910" s="1"/>
    </row>
    <row r="911">
      <c r="F911" s="1"/>
      <c r="G911" s="2"/>
      <c r="H911" s="3"/>
      <c r="I911" s="4"/>
      <c r="J911" s="4"/>
      <c r="K911" s="1"/>
    </row>
    <row r="912">
      <c r="F912" s="1"/>
      <c r="G912" s="2"/>
      <c r="H912" s="3"/>
      <c r="I912" s="4"/>
      <c r="J912" s="4"/>
      <c r="K912" s="1"/>
    </row>
    <row r="913">
      <c r="F913" s="1"/>
      <c r="G913" s="2"/>
      <c r="H913" s="3"/>
      <c r="I913" s="4"/>
      <c r="J913" s="4"/>
      <c r="K913" s="1"/>
    </row>
    <row r="914">
      <c r="F914" s="1"/>
      <c r="G914" s="2"/>
      <c r="H914" s="3"/>
      <c r="I914" s="4"/>
      <c r="J914" s="4"/>
      <c r="K914" s="1"/>
    </row>
    <row r="915">
      <c r="F915" s="1"/>
      <c r="G915" s="2"/>
      <c r="H915" s="3"/>
      <c r="I915" s="4"/>
      <c r="J915" s="4"/>
      <c r="K915" s="1"/>
    </row>
    <row r="916">
      <c r="F916" s="1"/>
      <c r="G916" s="2"/>
      <c r="H916" s="3"/>
      <c r="I916" s="4"/>
      <c r="J916" s="4"/>
      <c r="K916" s="1"/>
    </row>
    <row r="917">
      <c r="F917" s="1"/>
      <c r="G917" s="2"/>
      <c r="H917" s="3"/>
      <c r="I917" s="4"/>
      <c r="J917" s="4"/>
      <c r="K917" s="1"/>
    </row>
    <row r="918">
      <c r="F918" s="1"/>
      <c r="G918" s="2"/>
      <c r="H918" s="3"/>
      <c r="I918" s="4"/>
      <c r="J918" s="4"/>
      <c r="K918" s="1"/>
    </row>
    <row r="919">
      <c r="F919" s="1"/>
      <c r="G919" s="2"/>
      <c r="H919" s="3"/>
      <c r="I919" s="4"/>
      <c r="J919" s="4"/>
      <c r="K919" s="1"/>
    </row>
    <row r="920">
      <c r="F920" s="1"/>
      <c r="G920" s="2"/>
      <c r="H920" s="3"/>
      <c r="I920" s="4"/>
      <c r="J920" s="4"/>
      <c r="K920" s="1"/>
    </row>
    <row r="921">
      <c r="F921" s="1"/>
      <c r="G921" s="2"/>
      <c r="H921" s="3"/>
      <c r="I921" s="4"/>
      <c r="J921" s="4"/>
      <c r="K921" s="1"/>
    </row>
    <row r="922">
      <c r="F922" s="1"/>
      <c r="G922" s="2"/>
      <c r="H922" s="3"/>
      <c r="I922" s="4"/>
      <c r="J922" s="4"/>
      <c r="K922" s="1"/>
    </row>
    <row r="923">
      <c r="F923" s="1"/>
      <c r="G923" s="2"/>
      <c r="H923" s="3"/>
      <c r="I923" s="4"/>
      <c r="J923" s="4"/>
      <c r="K923" s="1"/>
    </row>
    <row r="924">
      <c r="F924" s="1"/>
      <c r="G924" s="2"/>
      <c r="H924" s="3"/>
      <c r="I924" s="4"/>
      <c r="J924" s="4"/>
      <c r="K924" s="1"/>
    </row>
    <row r="925">
      <c r="F925" s="1"/>
      <c r="G925" s="2"/>
      <c r="H925" s="3"/>
      <c r="I925" s="4"/>
      <c r="J925" s="4"/>
      <c r="K925" s="1"/>
    </row>
    <row r="926">
      <c r="F926" s="1"/>
      <c r="G926" s="2"/>
      <c r="H926" s="3"/>
      <c r="I926" s="4"/>
      <c r="J926" s="4"/>
      <c r="K926" s="1"/>
    </row>
    <row r="927">
      <c r="F927" s="1"/>
      <c r="G927" s="2"/>
      <c r="H927" s="3"/>
      <c r="I927" s="4"/>
      <c r="J927" s="4"/>
      <c r="K927" s="1"/>
    </row>
    <row r="928">
      <c r="F928" s="1"/>
      <c r="G928" s="2"/>
      <c r="H928" s="3"/>
      <c r="I928" s="4"/>
      <c r="J928" s="4"/>
      <c r="K928" s="1"/>
    </row>
    <row r="929">
      <c r="F929" s="1"/>
      <c r="G929" s="2"/>
      <c r="H929" s="3"/>
      <c r="I929" s="4"/>
      <c r="J929" s="4"/>
      <c r="K929" s="1"/>
    </row>
    <row r="930">
      <c r="F930" s="1"/>
      <c r="G930" s="2"/>
      <c r="H930" s="3"/>
      <c r="I930" s="4"/>
      <c r="J930" s="4"/>
      <c r="K930" s="1"/>
    </row>
    <row r="931">
      <c r="F931" s="1"/>
      <c r="G931" s="2"/>
      <c r="H931" s="3"/>
      <c r="I931" s="4"/>
      <c r="J931" s="4"/>
      <c r="K931" s="1"/>
    </row>
    <row r="932">
      <c r="F932" s="1"/>
      <c r="G932" s="2"/>
      <c r="H932" s="3"/>
      <c r="I932" s="4"/>
      <c r="J932" s="4"/>
      <c r="K932" s="1"/>
    </row>
    <row r="933">
      <c r="F933" s="1"/>
      <c r="G933" s="2"/>
      <c r="H933" s="3"/>
      <c r="I933" s="4"/>
      <c r="J933" s="4"/>
      <c r="K933" s="1"/>
    </row>
    <row r="934">
      <c r="F934" s="1"/>
      <c r="G934" s="2"/>
      <c r="H934" s="3"/>
      <c r="I934" s="4"/>
      <c r="J934" s="4"/>
      <c r="K934" s="1"/>
    </row>
    <row r="935">
      <c r="F935" s="1"/>
      <c r="G935" s="2"/>
      <c r="H935" s="3"/>
      <c r="I935" s="4"/>
      <c r="J935" s="4"/>
      <c r="K935" s="1"/>
    </row>
    <row r="936">
      <c r="F936" s="1"/>
      <c r="G936" s="2"/>
      <c r="H936" s="3"/>
      <c r="I936" s="4"/>
      <c r="J936" s="4"/>
      <c r="K936" s="1"/>
    </row>
    <row r="937">
      <c r="F937" s="1"/>
      <c r="G937" s="2"/>
      <c r="H937" s="3"/>
      <c r="I937" s="4"/>
      <c r="J937" s="4"/>
      <c r="K937" s="1"/>
    </row>
    <row r="938">
      <c r="F938" s="1"/>
      <c r="G938" s="2"/>
      <c r="H938" s="3"/>
      <c r="I938" s="4"/>
      <c r="J938" s="4"/>
      <c r="K938" s="1"/>
    </row>
    <row r="939">
      <c r="F939" s="1"/>
      <c r="G939" s="2"/>
      <c r="H939" s="3"/>
      <c r="I939" s="4"/>
      <c r="J939" s="4"/>
      <c r="K939" s="1"/>
    </row>
    <row r="940">
      <c r="F940" s="1"/>
      <c r="G940" s="2"/>
      <c r="H940" s="3"/>
      <c r="I940" s="4"/>
      <c r="J940" s="4"/>
      <c r="K940" s="1"/>
    </row>
    <row r="941">
      <c r="F941" s="1"/>
      <c r="G941" s="2"/>
      <c r="H941" s="3"/>
      <c r="I941" s="4"/>
      <c r="J941" s="4"/>
      <c r="K941" s="1"/>
    </row>
    <row r="942">
      <c r="F942" s="1"/>
      <c r="G942" s="2"/>
      <c r="H942" s="3"/>
      <c r="I942" s="4"/>
      <c r="J942" s="4"/>
      <c r="K942" s="1"/>
    </row>
    <row r="943">
      <c r="F943" s="1"/>
      <c r="G943" s="2"/>
      <c r="H943" s="3"/>
      <c r="I943" s="4"/>
      <c r="J943" s="4"/>
      <c r="K943" s="1"/>
    </row>
    <row r="944">
      <c r="F944" s="1"/>
      <c r="G944" s="2"/>
      <c r="H944" s="3"/>
      <c r="I944" s="4"/>
      <c r="J944" s="4"/>
      <c r="K944" s="1"/>
    </row>
    <row r="945">
      <c r="F945" s="1"/>
      <c r="G945" s="2"/>
      <c r="H945" s="3"/>
      <c r="I945" s="4"/>
      <c r="J945" s="4"/>
      <c r="K945" s="1"/>
    </row>
    <row r="946">
      <c r="F946" s="1"/>
      <c r="G946" s="2"/>
      <c r="H946" s="3"/>
      <c r="I946" s="4"/>
      <c r="J946" s="4"/>
      <c r="K946" s="1"/>
    </row>
    <row r="947">
      <c r="F947" s="1"/>
      <c r="G947" s="2"/>
      <c r="H947" s="3"/>
      <c r="I947" s="4"/>
      <c r="J947" s="4"/>
      <c r="K947" s="1"/>
    </row>
    <row r="948">
      <c r="F948" s="1"/>
      <c r="G948" s="2"/>
      <c r="H948" s="3"/>
      <c r="I948" s="4"/>
      <c r="J948" s="4"/>
      <c r="K948" s="1"/>
    </row>
    <row r="949">
      <c r="F949" s="1"/>
      <c r="G949" s="2"/>
      <c r="H949" s="3"/>
      <c r="I949" s="4"/>
      <c r="J949" s="4"/>
      <c r="K949" s="1"/>
    </row>
    <row r="950">
      <c r="F950" s="1"/>
      <c r="G950" s="2"/>
      <c r="H950" s="3"/>
      <c r="I950" s="4"/>
      <c r="J950" s="4"/>
      <c r="K950" s="1"/>
    </row>
    <row r="951">
      <c r="F951" s="1"/>
      <c r="G951" s="2"/>
      <c r="H951" s="3"/>
      <c r="I951" s="4"/>
      <c r="J951" s="4"/>
      <c r="K951" s="1"/>
    </row>
    <row r="952">
      <c r="F952" s="1"/>
      <c r="G952" s="2"/>
      <c r="H952" s="3"/>
      <c r="I952" s="4"/>
      <c r="J952" s="4"/>
      <c r="K952" s="1"/>
    </row>
    <row r="953">
      <c r="F953" s="1"/>
      <c r="G953" s="2"/>
      <c r="H953" s="3"/>
      <c r="I953" s="4"/>
      <c r="J953" s="4"/>
      <c r="K953" s="1"/>
    </row>
    <row r="954">
      <c r="F954" s="1"/>
      <c r="G954" s="2"/>
      <c r="H954" s="3"/>
      <c r="I954" s="4"/>
      <c r="J954" s="4"/>
      <c r="K954" s="1"/>
    </row>
    <row r="955">
      <c r="F955" s="1"/>
      <c r="G955" s="2"/>
      <c r="H955" s="3"/>
      <c r="I955" s="4"/>
      <c r="J955" s="4"/>
      <c r="K955" s="1"/>
    </row>
    <row r="956">
      <c r="F956" s="1"/>
      <c r="G956" s="2"/>
      <c r="H956" s="3"/>
      <c r="I956" s="4"/>
      <c r="J956" s="4"/>
      <c r="K956" s="1"/>
    </row>
    <row r="957">
      <c r="F957" s="1"/>
      <c r="G957" s="2"/>
      <c r="H957" s="3"/>
      <c r="I957" s="4"/>
      <c r="J957" s="4"/>
      <c r="K957" s="1"/>
    </row>
    <row r="958">
      <c r="F958" s="1"/>
      <c r="G958" s="2"/>
      <c r="H958" s="3"/>
      <c r="I958" s="4"/>
      <c r="J958" s="4"/>
      <c r="K958" s="1"/>
    </row>
    <row r="959">
      <c r="F959" s="1"/>
      <c r="G959" s="2"/>
      <c r="H959" s="3"/>
      <c r="I959" s="4"/>
      <c r="J959" s="4"/>
      <c r="K959" s="1"/>
    </row>
    <row r="960">
      <c r="F960" s="1"/>
      <c r="G960" s="2"/>
      <c r="H960" s="3"/>
      <c r="I960" s="4"/>
      <c r="J960" s="4"/>
      <c r="K960" s="1"/>
    </row>
    <row r="961">
      <c r="F961" s="1"/>
      <c r="G961" s="2"/>
      <c r="H961" s="3"/>
      <c r="I961" s="4"/>
      <c r="J961" s="4"/>
      <c r="K961" s="1"/>
    </row>
    <row r="962">
      <c r="F962" s="1"/>
      <c r="G962" s="2"/>
      <c r="H962" s="3"/>
      <c r="I962" s="4"/>
      <c r="J962" s="4"/>
      <c r="K962" s="1"/>
    </row>
    <row r="963">
      <c r="F963" s="1"/>
      <c r="G963" s="2"/>
      <c r="H963" s="3"/>
      <c r="I963" s="4"/>
      <c r="J963" s="4"/>
      <c r="K963" s="1"/>
    </row>
    <row r="964">
      <c r="F964" s="1"/>
      <c r="G964" s="2"/>
      <c r="H964" s="3"/>
      <c r="I964" s="4"/>
      <c r="J964" s="4"/>
      <c r="K964" s="1"/>
    </row>
    <row r="965">
      <c r="F965" s="1"/>
      <c r="G965" s="2"/>
      <c r="H965" s="3"/>
      <c r="I965" s="4"/>
      <c r="J965" s="4"/>
      <c r="K965" s="1"/>
    </row>
    <row r="966">
      <c r="F966" s="1"/>
      <c r="G966" s="2"/>
      <c r="H966" s="3"/>
      <c r="I966" s="4"/>
      <c r="J966" s="4"/>
      <c r="K966" s="1"/>
    </row>
    <row r="967">
      <c r="F967" s="1"/>
      <c r="G967" s="2"/>
      <c r="H967" s="3"/>
      <c r="I967" s="4"/>
      <c r="J967" s="4"/>
      <c r="K967" s="1"/>
    </row>
    <row r="968">
      <c r="F968" s="1"/>
      <c r="G968" s="2"/>
      <c r="H968" s="3"/>
      <c r="I968" s="4"/>
      <c r="J968" s="4"/>
      <c r="K968" s="1"/>
    </row>
    <row r="969">
      <c r="F969" s="1"/>
      <c r="G969" s="2"/>
      <c r="H969" s="3"/>
      <c r="I969" s="4"/>
      <c r="J969" s="4"/>
      <c r="K969" s="1"/>
    </row>
    <row r="970">
      <c r="F970" s="1"/>
      <c r="G970" s="2"/>
      <c r="H970" s="3"/>
      <c r="I970" s="4"/>
      <c r="J970" s="4"/>
      <c r="K970" s="1"/>
    </row>
    <row r="971">
      <c r="F971" s="1"/>
      <c r="G971" s="2"/>
      <c r="H971" s="3"/>
      <c r="I971" s="4"/>
      <c r="J971" s="4"/>
      <c r="K971" s="1"/>
    </row>
    <row r="972">
      <c r="F972" s="1"/>
      <c r="G972" s="2"/>
      <c r="H972" s="3"/>
      <c r="I972" s="4"/>
      <c r="J972" s="4"/>
      <c r="K972" s="1"/>
    </row>
    <row r="973">
      <c r="F973" s="1"/>
      <c r="G973" s="2"/>
      <c r="H973" s="3"/>
      <c r="I973" s="4"/>
      <c r="J973" s="4"/>
      <c r="K973" s="1"/>
    </row>
    <row r="974">
      <c r="F974" s="1"/>
      <c r="G974" s="2"/>
      <c r="H974" s="3"/>
      <c r="I974" s="4"/>
      <c r="J974" s="4"/>
      <c r="K974" s="1"/>
    </row>
    <row r="975">
      <c r="F975" s="1"/>
      <c r="G975" s="2"/>
      <c r="H975" s="3"/>
      <c r="I975" s="4"/>
      <c r="J975" s="4"/>
      <c r="K975" s="1"/>
    </row>
    <row r="976">
      <c r="F976" s="1"/>
      <c r="G976" s="2"/>
      <c r="H976" s="3"/>
      <c r="I976" s="4"/>
      <c r="J976" s="4"/>
      <c r="K976" s="1"/>
    </row>
    <row r="977">
      <c r="F977" s="1"/>
      <c r="G977" s="2"/>
      <c r="H977" s="3"/>
      <c r="I977" s="4"/>
      <c r="J977" s="4"/>
      <c r="K977" s="1"/>
    </row>
    <row r="978">
      <c r="F978" s="1"/>
      <c r="G978" s="2"/>
      <c r="H978" s="3"/>
      <c r="I978" s="4"/>
      <c r="J978" s="4"/>
      <c r="K978" s="1"/>
    </row>
    <row r="979">
      <c r="F979" s="1"/>
      <c r="G979" s="2"/>
      <c r="H979" s="3"/>
      <c r="I979" s="4"/>
      <c r="J979" s="4"/>
      <c r="K979" s="1"/>
    </row>
    <row r="980">
      <c r="F980" s="1"/>
      <c r="G980" s="2"/>
      <c r="H980" s="3"/>
      <c r="I980" s="4"/>
      <c r="J980" s="4"/>
      <c r="K980" s="1"/>
    </row>
    <row r="981">
      <c r="F981" s="1"/>
      <c r="G981" s="2"/>
      <c r="H981" s="3"/>
      <c r="I981" s="4"/>
      <c r="J981" s="4"/>
      <c r="K981" s="1"/>
    </row>
    <row r="982">
      <c r="F982" s="1"/>
      <c r="G982" s="2"/>
      <c r="H982" s="3"/>
      <c r="I982" s="4"/>
      <c r="J982" s="4"/>
      <c r="K982" s="1"/>
    </row>
    <row r="983">
      <c r="F983" s="1"/>
      <c r="G983" s="2"/>
      <c r="H983" s="3"/>
      <c r="I983" s="4"/>
      <c r="J983" s="4"/>
      <c r="K983" s="1"/>
    </row>
    <row r="984">
      <c r="F984" s="1"/>
      <c r="G984" s="2"/>
      <c r="H984" s="3"/>
      <c r="I984" s="4"/>
      <c r="J984" s="4"/>
      <c r="K984" s="1"/>
    </row>
    <row r="985">
      <c r="F985" s="1"/>
      <c r="G985" s="2"/>
      <c r="H985" s="3"/>
      <c r="I985" s="4"/>
      <c r="J985" s="4"/>
      <c r="K985" s="1"/>
    </row>
    <row r="986">
      <c r="F986" s="1"/>
      <c r="G986" s="2"/>
      <c r="H986" s="3"/>
      <c r="I986" s="4"/>
      <c r="J986" s="4"/>
      <c r="K986" s="1"/>
    </row>
    <row r="987">
      <c r="F987" s="1"/>
      <c r="G987" s="2"/>
      <c r="H987" s="3"/>
      <c r="I987" s="4"/>
      <c r="J987" s="4"/>
      <c r="K987" s="1"/>
    </row>
    <row r="988">
      <c r="F988" s="1"/>
      <c r="G988" s="2"/>
      <c r="H988" s="3"/>
      <c r="I988" s="4"/>
      <c r="J988" s="4"/>
      <c r="K988" s="1"/>
    </row>
    <row r="989">
      <c r="F989" s="1"/>
      <c r="G989" s="2"/>
      <c r="H989" s="3"/>
      <c r="I989" s="4"/>
      <c r="J989" s="4"/>
      <c r="K989" s="1"/>
    </row>
    <row r="990">
      <c r="F990" s="1"/>
      <c r="G990" s="2"/>
      <c r="H990" s="3"/>
      <c r="I990" s="4"/>
      <c r="J990" s="4"/>
      <c r="K990" s="1"/>
    </row>
    <row r="991">
      <c r="F991" s="1"/>
      <c r="G991" s="2"/>
      <c r="H991" s="3"/>
      <c r="I991" s="4"/>
      <c r="J991" s="4"/>
      <c r="K991" s="1"/>
    </row>
    <row r="992">
      <c r="F992" s="1"/>
      <c r="G992" s="2"/>
      <c r="H992" s="3"/>
      <c r="I992" s="4"/>
      <c r="J992" s="4"/>
      <c r="K992" s="1"/>
    </row>
    <row r="993">
      <c r="F993" s="1"/>
      <c r="G993" s="2"/>
      <c r="H993" s="3"/>
      <c r="I993" s="4"/>
      <c r="J993" s="4"/>
      <c r="K993" s="1"/>
    </row>
    <row r="994">
      <c r="F994" s="1"/>
      <c r="G994" s="2"/>
      <c r="H994" s="3"/>
      <c r="I994" s="4"/>
      <c r="J994" s="4"/>
      <c r="K994" s="1"/>
    </row>
    <row r="995">
      <c r="F995" s="1"/>
      <c r="G995" s="2"/>
      <c r="H995" s="3"/>
      <c r="I995" s="4"/>
      <c r="J995" s="4"/>
      <c r="K995" s="1"/>
    </row>
    <row r="996">
      <c r="F996" s="1"/>
      <c r="G996" s="2"/>
      <c r="H996" s="3"/>
      <c r="I996" s="4"/>
      <c r="J996" s="4"/>
      <c r="K996" s="1"/>
    </row>
    <row r="997">
      <c r="F997" s="1"/>
      <c r="G997" s="2"/>
      <c r="H997" s="3"/>
      <c r="I997" s="4"/>
      <c r="J997" s="4"/>
      <c r="K997" s="1"/>
    </row>
    <row r="998">
      <c r="F998" s="1"/>
      <c r="G998" s="2"/>
      <c r="H998" s="3"/>
      <c r="I998" s="4"/>
      <c r="J998" s="4"/>
      <c r="K998" s="1"/>
    </row>
    <row r="999">
      <c r="F999" s="1"/>
      <c r="G999" s="2"/>
      <c r="H999" s="3"/>
      <c r="I999" s="4"/>
      <c r="J999" s="4"/>
      <c r="K999" s="1"/>
    </row>
    <row r="1000">
      <c r="F1000" s="1"/>
      <c r="G1000" s="2"/>
      <c r="H1000" s="3"/>
      <c r="I1000" s="4"/>
      <c r="J1000" s="4"/>
      <c r="K1000" s="1"/>
    </row>
  </sheetData>
  <mergeCells count="1">
    <mergeCell ref="E2:F2"/>
  </mergeCells>
  <dataValidations>
    <dataValidation type="list" allowBlank="1" showErrorMessage="1" sqref="B3">
      <formula1>HFS_CRV!$A$2:$A$338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0.43"/>
    <col customWidth="1" min="2" max="2" width="13.71"/>
    <col customWidth="1" min="3" max="4" width="5.57"/>
    <col customWidth="1" min="5" max="7" width="4.43"/>
    <col customWidth="1" min="8" max="8" width="5.57"/>
    <col customWidth="1" min="9" max="9" width="7.86"/>
    <col customWidth="1" min="10" max="11" width="5.57"/>
    <col customWidth="1" min="12" max="13" width="4.43"/>
    <col customWidth="1" min="14" max="14" width="5.57"/>
    <col customWidth="1" min="15" max="15" width="4.43"/>
    <col customWidth="1" min="16" max="16" width="12.86"/>
    <col customWidth="1" min="17" max="17" width="14.71"/>
    <col customWidth="1" min="18" max="18" width="5.57"/>
    <col customWidth="1" min="19" max="19" width="5.0"/>
    <col customWidth="1" min="20" max="20" width="4.71"/>
    <col customWidth="1" min="21" max="21" width="4.43"/>
    <col customWidth="1" min="22" max="22" width="5.43"/>
    <col customWidth="1" min="23" max="23" width="8.0"/>
    <col customWidth="1" min="24" max="24" width="7.71"/>
    <col customWidth="1" min="25" max="25" width="7.86"/>
    <col customWidth="1" min="26" max="26" width="7.29"/>
    <col customWidth="1" min="27" max="27" width="6.71"/>
    <col customWidth="1" min="28" max="28" width="16.86"/>
    <col customWidth="1" min="29" max="29" width="8.29"/>
    <col customWidth="1" min="30" max="30" width="14.29"/>
    <col customWidth="1" min="31" max="31" width="11.57"/>
  </cols>
  <sheetData>
    <row r="1" ht="12.0" customHeight="1">
      <c r="A1" s="20" t="s">
        <v>57</v>
      </c>
      <c r="B1" s="21" t="s">
        <v>1</v>
      </c>
      <c r="C1" s="22" t="s">
        <v>58</v>
      </c>
      <c r="D1" s="22" t="s">
        <v>10</v>
      </c>
      <c r="E1" s="22" t="s">
        <v>12</v>
      </c>
      <c r="F1" s="23" t="s">
        <v>14</v>
      </c>
      <c r="G1" s="23" t="s">
        <v>16</v>
      </c>
      <c r="H1" s="23" t="s">
        <v>18</v>
      </c>
      <c r="I1" s="22" t="s">
        <v>20</v>
      </c>
      <c r="J1" s="23" t="s">
        <v>22</v>
      </c>
      <c r="K1" s="23" t="s">
        <v>23</v>
      </c>
      <c r="L1" s="23" t="s">
        <v>25</v>
      </c>
      <c r="M1" s="23" t="s">
        <v>27</v>
      </c>
      <c r="N1" s="23" t="s">
        <v>29</v>
      </c>
      <c r="O1" s="23" t="s">
        <v>31</v>
      </c>
      <c r="P1" s="22" t="s">
        <v>32</v>
      </c>
      <c r="Q1" s="22" t="s">
        <v>34</v>
      </c>
      <c r="R1" s="23" t="s">
        <v>37</v>
      </c>
      <c r="S1" s="23" t="s">
        <v>39</v>
      </c>
      <c r="T1" s="23" t="s">
        <v>41</v>
      </c>
      <c r="U1" s="23" t="s">
        <v>43</v>
      </c>
      <c r="V1" s="22" t="s">
        <v>45</v>
      </c>
      <c r="W1" s="22" t="s">
        <v>59</v>
      </c>
      <c r="X1" s="22" t="s">
        <v>60</v>
      </c>
      <c r="Y1" s="23" t="s">
        <v>61</v>
      </c>
      <c r="Z1" s="22" t="s">
        <v>62</v>
      </c>
      <c r="AA1" s="22" t="s">
        <v>63</v>
      </c>
      <c r="AB1" s="22" t="s">
        <v>64</v>
      </c>
      <c r="AC1" s="22" t="s">
        <v>65</v>
      </c>
      <c r="AD1" s="22" t="s">
        <v>66</v>
      </c>
      <c r="AE1" s="22" t="s">
        <v>2</v>
      </c>
    </row>
    <row r="2" ht="12.0" customHeight="1">
      <c r="A2" s="24" t="s">
        <v>9</v>
      </c>
      <c r="B2" s="24" t="str">
        <f>IFERROR(__xludf.DUMMYFUNCTION("IFERROR(IF(REGEXMATCH(REGEXEXTRACT(A2,""\bCRV\s*\d+(?:-\d+)+(?:-(?:A?BI|AI|BI))?\b""),""-(?:A?BI|AI|BI)$""),REGEXREPLACE(REGEXEXTRACT(A2,""\bCRV\s*\d+(?:-\d+)+(?:-(?:A?BI|AI|BI))?\b""),""-(A?BI|AI|BI)$"",""C$1""),REGEXEXTRACT(A2,""\bCRV\s*\d+(?:-\d+)+(?:-"&amp;"(?:A?BI|AI|BI))?\b"")&amp;""C""),"""")"),"CRV 10-1C")</f>
        <v>CRV 10-1C</v>
      </c>
      <c r="C2" s="24">
        <v>1650.0</v>
      </c>
      <c r="D2" s="24">
        <f t="array" ref="D2">IFERROR(XLOOKUP($B2,CRV!$A:$A,CRV!$BA:$BA)+XLOOKUP($B2,CRV!$A:$A,CRV!$BB:$BB)+$O2,"")
</f>
        <v>613</v>
      </c>
      <c r="E2" s="24">
        <v>180.0</v>
      </c>
      <c r="F2" s="24">
        <v>565.0</v>
      </c>
      <c r="G2" s="24">
        <v>520.0</v>
      </c>
      <c r="H2" s="24">
        <v>1549.0</v>
      </c>
      <c r="I2" s="24">
        <v>1085.0</v>
      </c>
      <c r="J2" s="24">
        <v>1760.0</v>
      </c>
      <c r="K2" s="24">
        <v>427.0</v>
      </c>
      <c r="L2" s="24"/>
      <c r="M2" s="24"/>
      <c r="N2" s="24">
        <v>385.0</v>
      </c>
      <c r="O2" s="24">
        <v>100.0</v>
      </c>
      <c r="P2" s="24"/>
      <c r="Q2" s="25" t="s">
        <v>35</v>
      </c>
      <c r="R2" s="24">
        <v>1000.0</v>
      </c>
      <c r="S2" s="24">
        <v>800.0</v>
      </c>
      <c r="T2" s="24">
        <v>860.0</v>
      </c>
      <c r="U2" s="24">
        <v>450.0</v>
      </c>
      <c r="V2" s="24" t="str">
        <f>IFERROR(__xludf.DUMMYFUNCTION("IFERROR(REGEXEXTRACT(A2,""G2-B-(\d+)""),"""")"),"80")</f>
        <v>80</v>
      </c>
      <c r="W2" s="24">
        <f t="shared" ref="W2:W307" si="1">IF(OR(X2="", Y2=""), "", X2+Y2)</f>
        <v>2</v>
      </c>
      <c r="X2" s="24">
        <f>IFERROR(__xludf.DUMMYFUNCTION("IFERROR(VALUE(REGEXEXTRACT(A2,""\b(\d+)/\d+\b"")),"""")"),1.0)</f>
        <v>1</v>
      </c>
      <c r="Y2" s="24">
        <f>IFERROR(__xludf.DUMMYFUNCTION("IFERROR(VALUE(REGEXEXTRACT(A2,""\b\d+/(\d+)\b"")),"""")
"),1.0)</f>
        <v>1</v>
      </c>
      <c r="Z2" s="24">
        <f t="array" ref="Z2">IFERROR(INDEX(CRV!BU:BU, MATCH(B2, CRV!A:A, 0)), "")</f>
        <v>0.37</v>
      </c>
      <c r="AA2" s="24">
        <f t="array" ref="AA2">IFERROR(INDEX(CRV!BV:BV, MATCH(B2, CRV!A:A, 0))*X2+4.5*2+7, "")</f>
        <v>17.6</v>
      </c>
      <c r="AB2" s="24" t="str">
        <f t="array" ref="AB2">IFERROR(IF(VALUE(XLOOKUP($B2,CRV!$A:$A,CRV!$BU:$BU))&lt;=5.5,"прямой пуск (DOL)","звезда-треугольник (SD)"),"")</f>
        <v>прямой пуск (DOL)</v>
      </c>
      <c r="AC2" s="25" t="str">
        <f t="array" ref="AC2">IFERROR(INDEX(CRV!CA:CA, MATCH(B2, CRV!A:A, 0)), "")</f>
        <v>HQQE</v>
      </c>
      <c r="AD2" s="25">
        <v>239.0</v>
      </c>
      <c r="AE2" s="24">
        <v>7.5211384E7</v>
      </c>
    </row>
    <row r="3" ht="12.0" customHeight="1">
      <c r="A3" s="24" t="s">
        <v>67</v>
      </c>
      <c r="B3" s="24" t="str">
        <f>IFERROR(__xludf.DUMMYFUNCTION("IFERROR(IF(REGEXMATCH(REGEXEXTRACT(A3,""\bCRV\s*\d+(?:-\d+)+(?:-(?:A?BI|AI|BI))?\b""),""-(?:A?BI|AI|BI)$""),REGEXREPLACE(REGEXEXTRACT(A3,""\bCRV\s*\d+(?:-\d+)+(?:-(?:A?BI|AI|BI))?\b""),""-(A?BI|AI|BI)$"",""C$1""),REGEXEXTRACT(A3,""\bCRV\s*\d+(?:-\d+)+(?:-"&amp;"(?:A?BI|AI|BI))?\b"")&amp;""C""),"""")"),"CRV 10-2C")</f>
        <v>CRV 10-2C</v>
      </c>
      <c r="C3" s="24">
        <v>1650.0</v>
      </c>
      <c r="D3" s="24">
        <f t="array" ref="D3">IFERROR(XLOOKUP($B3,CRV!$A:$A,CRV!$BA:$BA)+XLOOKUP($B3,CRV!$A:$A,CRV!$BB:$BB)+$O3,"")
</f>
        <v>643</v>
      </c>
      <c r="E3" s="24">
        <v>180.0</v>
      </c>
      <c r="F3" s="24">
        <v>565.0</v>
      </c>
      <c r="G3" s="24">
        <v>520.0</v>
      </c>
      <c r="H3" s="24">
        <v>1549.0</v>
      </c>
      <c r="I3" s="24">
        <v>1085.0</v>
      </c>
      <c r="J3" s="24">
        <v>1760.0</v>
      </c>
      <c r="K3" s="24">
        <v>427.0</v>
      </c>
      <c r="L3" s="24"/>
      <c r="M3" s="24"/>
      <c r="N3" s="24">
        <v>385.0</v>
      </c>
      <c r="O3" s="24">
        <v>100.0</v>
      </c>
      <c r="P3" s="24"/>
      <c r="Q3" s="25" t="s">
        <v>35</v>
      </c>
      <c r="R3" s="24">
        <v>1000.0</v>
      </c>
      <c r="S3" s="24">
        <v>800.0</v>
      </c>
      <c r="T3" s="24">
        <v>860.0</v>
      </c>
      <c r="U3" s="24">
        <v>450.0</v>
      </c>
      <c r="V3" s="24" t="str">
        <f>IFERROR(__xludf.DUMMYFUNCTION("IFERROR(REGEXEXTRACT(A3,""G2-B-(\d+)""),"""")"),"80")</f>
        <v>80</v>
      </c>
      <c r="W3" s="24">
        <f t="shared" si="1"/>
        <v>2</v>
      </c>
      <c r="X3" s="24">
        <f>IFERROR(__xludf.DUMMYFUNCTION("IFERROR(VALUE(REGEXEXTRACT(A3,""\b(\d+)/\d+\b"")),"""")"),1.0)</f>
        <v>1</v>
      </c>
      <c r="Y3" s="24">
        <f>IFERROR(__xludf.DUMMYFUNCTION("IFERROR(VALUE(REGEXEXTRACT(A3,""\b\d+/(\d+)\b"")),"""")
"),1.0)</f>
        <v>1</v>
      </c>
      <c r="Z3" s="24">
        <f t="array" ref="Z3">IFERROR(INDEX(CRV!BU:BU, MATCH(B3, CRV!A:A, 0)), "")</f>
        <v>0.75</v>
      </c>
      <c r="AA3" s="24">
        <f t="array" ref="AA3">IFERROR(INDEX(CRV!BV:BV, MATCH(B3, CRV!A:A, 0))*X3+4.5*2+7, "")</f>
        <v>19</v>
      </c>
      <c r="AB3" s="24" t="str">
        <f t="array" ref="AB3">IFERROR(IF(VALUE(XLOOKUP($B3,CRV!$A:$A,CRV!$BU:$BU))&lt;=5.5,"прямой пуск (DOL)","звезда-треугольник (SD)"),"")</f>
        <v>прямой пуск (DOL)</v>
      </c>
      <c r="AC3" s="25" t="str">
        <f t="array" ref="AC3">IFERROR(INDEX(CRV!CA:CA, MATCH(B3, CRV!A:A, 0)), "")</f>
        <v>HQQE</v>
      </c>
      <c r="AD3" s="25">
        <v>243.0</v>
      </c>
      <c r="AE3" s="24">
        <v>7.5211387E7</v>
      </c>
    </row>
    <row r="4" ht="12.0" customHeight="1">
      <c r="A4" s="24" t="s">
        <v>68</v>
      </c>
      <c r="B4" s="24" t="str">
        <f>IFERROR(__xludf.DUMMYFUNCTION("IFERROR(IF(REGEXMATCH(REGEXEXTRACT(A4,""\bCRV\s*\d+(?:-\d+)+(?:-(?:A?BI|AI|BI))?\b""),""-(?:A?BI|AI|BI)$""),REGEXREPLACE(REGEXEXTRACT(A4,""\bCRV\s*\d+(?:-\d+)+(?:-(?:A?BI|AI|BI))?\b""),""-(A?BI|AI|BI)$"",""C$1""),REGEXEXTRACT(A4,""\bCRV\s*\d+(?:-\d+)+(?:-"&amp;"(?:A?BI|AI|BI))?\b"")&amp;""C""),"""")"),"CRV 10-3C")</f>
        <v>CRV 10-3C</v>
      </c>
      <c r="C4" s="24">
        <v>1650.0</v>
      </c>
      <c r="D4" s="24">
        <f t="array" ref="D4">IFERROR(XLOOKUP($B4,CRV!$A:$A,CRV!$BA:$BA)+XLOOKUP($B4,CRV!$A:$A,CRV!$BB:$BB)+$O4,"")
</f>
        <v>710</v>
      </c>
      <c r="E4" s="24">
        <v>180.0</v>
      </c>
      <c r="F4" s="24">
        <v>565.0</v>
      </c>
      <c r="G4" s="24">
        <v>520.0</v>
      </c>
      <c r="H4" s="24">
        <v>1549.0</v>
      </c>
      <c r="I4" s="24">
        <v>1085.0</v>
      </c>
      <c r="J4" s="24">
        <v>1760.0</v>
      </c>
      <c r="K4" s="24">
        <v>427.0</v>
      </c>
      <c r="L4" s="24"/>
      <c r="M4" s="24"/>
      <c r="N4" s="24">
        <v>385.0</v>
      </c>
      <c r="O4" s="24">
        <v>100.0</v>
      </c>
      <c r="P4" s="24"/>
      <c r="Q4" s="25" t="s">
        <v>35</v>
      </c>
      <c r="R4" s="24">
        <v>1000.0</v>
      </c>
      <c r="S4" s="24">
        <v>800.0</v>
      </c>
      <c r="T4" s="24">
        <v>860.0</v>
      </c>
      <c r="U4" s="24">
        <v>450.0</v>
      </c>
      <c r="V4" s="24" t="str">
        <f>IFERROR(__xludf.DUMMYFUNCTION("IFERROR(REGEXEXTRACT(A4,""G2-B-(\d+)""),"""")"),"80")</f>
        <v>80</v>
      </c>
      <c r="W4" s="24">
        <f t="shared" si="1"/>
        <v>2</v>
      </c>
      <c r="X4" s="24">
        <f>IFERROR(__xludf.DUMMYFUNCTION("IFERROR(VALUE(REGEXEXTRACT(A4,""\b(\d+)/\d+\b"")),"""")"),1.0)</f>
        <v>1</v>
      </c>
      <c r="Y4" s="24">
        <f>IFERROR(__xludf.DUMMYFUNCTION("IFERROR(VALUE(REGEXEXTRACT(A4,""\b\d+/(\d+)\b"")),"""")
"),1.0)</f>
        <v>1</v>
      </c>
      <c r="Z4" s="24">
        <f t="array" ref="Z4">IFERROR(INDEX(CRV!BU:BU, MATCH(B4, CRV!A:A, 0)), "")</f>
        <v>1.1</v>
      </c>
      <c r="AA4" s="24">
        <f t="array" ref="AA4">IFERROR(INDEX(CRV!BV:BV, MATCH(B4, CRV!A:A, 0))*X4+4.5*2+7, "")</f>
        <v>20.2</v>
      </c>
      <c r="AB4" s="24" t="str">
        <f t="array" ref="AB4">IFERROR(IF(VALUE(XLOOKUP($B4,CRV!$A:$A,CRV!$BU:$BU))&lt;=5.5,"прямой пуск (DOL)","звезда-треугольник (SD)"),"")</f>
        <v>прямой пуск (DOL)</v>
      </c>
      <c r="AC4" s="25" t="str">
        <f t="array" ref="AC4">IFERROR(INDEX(CRV!CA:CA, MATCH(B4, CRV!A:A, 0)), "")</f>
        <v>HQQE</v>
      </c>
      <c r="AD4" s="25">
        <v>251.0</v>
      </c>
      <c r="AE4" s="24">
        <v>7.5211388E7</v>
      </c>
    </row>
    <row r="5" ht="12.0" customHeight="1">
      <c r="A5" s="24" t="s">
        <v>69</v>
      </c>
      <c r="B5" s="24" t="str">
        <f>IFERROR(__xludf.DUMMYFUNCTION("IFERROR(IF(REGEXMATCH(REGEXEXTRACT(A5,""\bCRV\s*\d+(?:-\d+)+(?:-(?:A?BI|AI|BI))?\b""),""-(?:A?BI|AI|BI)$""),REGEXREPLACE(REGEXEXTRACT(A5,""\bCRV\s*\d+(?:-\d+)+(?:-(?:A?BI|AI|BI))?\b""),""-(A?BI|AI|BI)$"",""C$1""),REGEXEXTRACT(A5,""\bCRV\s*\d+(?:-\d+)+(?:-"&amp;"(?:A?BI|AI|BI))?\b"")&amp;""C""),"""")"),"CRV 10-4C")</f>
        <v>CRV 10-4C</v>
      </c>
      <c r="C5" s="24">
        <v>1650.0</v>
      </c>
      <c r="D5" s="24">
        <f t="array" ref="D5">IFERROR(XLOOKUP($B5,CRV!$A:$A,CRV!$BA:$BA)+XLOOKUP($B5,CRV!$A:$A,CRV!$BB:$BB)+$O5,"")
</f>
        <v>740</v>
      </c>
      <c r="E5" s="24">
        <v>180.0</v>
      </c>
      <c r="F5" s="24">
        <v>565.0</v>
      </c>
      <c r="G5" s="24">
        <v>520.0</v>
      </c>
      <c r="H5" s="24">
        <v>1549.0</v>
      </c>
      <c r="I5" s="24">
        <v>1085.0</v>
      </c>
      <c r="J5" s="24">
        <v>1760.0</v>
      </c>
      <c r="K5" s="24">
        <v>427.0</v>
      </c>
      <c r="L5" s="24"/>
      <c r="M5" s="24"/>
      <c r="N5" s="24">
        <v>385.0</v>
      </c>
      <c r="O5" s="24">
        <v>100.0</v>
      </c>
      <c r="P5" s="24"/>
      <c r="Q5" s="25" t="s">
        <v>35</v>
      </c>
      <c r="R5" s="24">
        <v>1000.0</v>
      </c>
      <c r="S5" s="24">
        <v>800.0</v>
      </c>
      <c r="T5" s="24">
        <v>860.0</v>
      </c>
      <c r="U5" s="24">
        <v>450.0</v>
      </c>
      <c r="V5" s="24" t="str">
        <f>IFERROR(__xludf.DUMMYFUNCTION("IFERROR(REGEXEXTRACT(A5,""G2-B-(\d+)""),"""")"),"80")</f>
        <v>80</v>
      </c>
      <c r="W5" s="24">
        <f t="shared" si="1"/>
        <v>2</v>
      </c>
      <c r="X5" s="24">
        <f>IFERROR(__xludf.DUMMYFUNCTION("IFERROR(VALUE(REGEXEXTRACT(A5,""\b(\d+)/\d+\b"")),"""")"),1.0)</f>
        <v>1</v>
      </c>
      <c r="Y5" s="24">
        <f>IFERROR(__xludf.DUMMYFUNCTION("IFERROR(VALUE(REGEXEXTRACT(A5,""\b\d+/(\d+)\b"")),"""")
"),1.0)</f>
        <v>1</v>
      </c>
      <c r="Z5" s="24">
        <f t="array" ref="Z5">IFERROR(INDEX(CRV!BU:BU, MATCH(B5, CRV!A:A, 0)), "")</f>
        <v>1.5</v>
      </c>
      <c r="AA5" s="24">
        <f t="array" ref="AA5">IFERROR(INDEX(CRV!BV:BV, MATCH(B5, CRV!A:A, 0))*X5+4.5*2+7, "")</f>
        <v>21.6</v>
      </c>
      <c r="AB5" s="24" t="str">
        <f t="array" ref="AB5">IFERROR(IF(VALUE(XLOOKUP($B5,CRV!$A:$A,CRV!$BU:$BU))&lt;=5.5,"прямой пуск (DOL)","звезда-треугольник (SD)"),"")</f>
        <v>прямой пуск (DOL)</v>
      </c>
      <c r="AC5" s="25" t="str">
        <f t="array" ref="AC5">IFERROR(INDEX(CRV!CA:CA, MATCH(B5, CRV!A:A, 0)), "")</f>
        <v>HQQE</v>
      </c>
      <c r="AD5" s="25">
        <v>267.0</v>
      </c>
      <c r="AE5" s="24">
        <v>7.5211385E7</v>
      </c>
    </row>
    <row r="6" ht="12.0" customHeight="1">
      <c r="A6" s="24" t="s">
        <v>70</v>
      </c>
      <c r="B6" s="24" t="str">
        <f>IFERROR(__xludf.DUMMYFUNCTION("IFERROR(IF(REGEXMATCH(REGEXEXTRACT(A6,""\bCRV\s*\d+(?:-\d+)+(?:-(?:A?BI|AI|BI))?\b""),""-(?:A?BI|AI|BI)$""),REGEXREPLACE(REGEXEXTRACT(A6,""\bCRV\s*\d+(?:-\d+)+(?:-(?:A?BI|AI|BI))?\b""),""-(A?BI|AI|BI)$"",""C$1""),REGEXEXTRACT(A6,""\bCRV\s*\d+(?:-\d+)+(?:-"&amp;"(?:A?BI|AI|BI))?\b"")&amp;""C""),"""")"),"CRV 10-5C")</f>
        <v>CRV 10-5C</v>
      </c>
      <c r="C6" s="24">
        <v>1650.0</v>
      </c>
      <c r="D6" s="24">
        <f t="array" ref="D6">IFERROR(XLOOKUP($B6,CRV!$A:$A,CRV!$BA:$BA)+XLOOKUP($B6,CRV!$A:$A,CRV!$BB:$BB)+$O6,"")
</f>
        <v>822</v>
      </c>
      <c r="E6" s="24">
        <v>180.0</v>
      </c>
      <c r="F6" s="24">
        <v>565.0</v>
      </c>
      <c r="G6" s="24">
        <v>520.0</v>
      </c>
      <c r="H6" s="24">
        <v>1549.0</v>
      </c>
      <c r="I6" s="24">
        <v>1085.0</v>
      </c>
      <c r="J6" s="24">
        <v>1760.0</v>
      </c>
      <c r="K6" s="24">
        <v>427.0</v>
      </c>
      <c r="L6" s="24"/>
      <c r="M6" s="24"/>
      <c r="N6" s="24">
        <v>385.0</v>
      </c>
      <c r="O6" s="24">
        <v>100.0</v>
      </c>
      <c r="P6" s="24"/>
      <c r="Q6" s="25" t="s">
        <v>35</v>
      </c>
      <c r="R6" s="24">
        <v>1000.0</v>
      </c>
      <c r="S6" s="24">
        <v>800.0</v>
      </c>
      <c r="T6" s="24">
        <v>860.0</v>
      </c>
      <c r="U6" s="24">
        <v>450.0</v>
      </c>
      <c r="V6" s="24" t="str">
        <f>IFERROR(__xludf.DUMMYFUNCTION("IFERROR(REGEXEXTRACT(A6,""G2-B-(\d+)""),"""")"),"80")</f>
        <v>80</v>
      </c>
      <c r="W6" s="24">
        <f t="shared" si="1"/>
        <v>2</v>
      </c>
      <c r="X6" s="24">
        <f>IFERROR(__xludf.DUMMYFUNCTION("IFERROR(VALUE(REGEXEXTRACT(A6,""\b(\d+)/\d+\b"")),"""")"),1.0)</f>
        <v>1</v>
      </c>
      <c r="Y6" s="24">
        <f>IFERROR(__xludf.DUMMYFUNCTION("IFERROR(VALUE(REGEXEXTRACT(A6,""\b\d+/(\d+)\b"")),"""")
"),1.0)</f>
        <v>1</v>
      </c>
      <c r="Z6" s="24">
        <f t="array" ref="Z6">IFERROR(INDEX(CRV!BU:BU, MATCH(B6, CRV!A:A, 0)), "")</f>
        <v>2.2</v>
      </c>
      <c r="AA6" s="24">
        <f t="array" ref="AA6">IFERROR(INDEX(CRV!BV:BV, MATCH(B6, CRV!A:A, 0))*X6+4.5*2+7, "")</f>
        <v>23.9</v>
      </c>
      <c r="AB6" s="24" t="str">
        <f t="array" ref="AB6">IFERROR(IF(VALUE(XLOOKUP($B6,CRV!$A:$A,CRV!$BU:$BU))&lt;=5.5,"прямой пуск (DOL)","звезда-треугольник (SD)"),"")</f>
        <v>прямой пуск (DOL)</v>
      </c>
      <c r="AC6" s="25" t="str">
        <f t="array" ref="AC6">IFERROR(INDEX(CRV!CA:CA, MATCH(B6, CRV!A:A, 0)), "")</f>
        <v>HQQE</v>
      </c>
      <c r="AD6" s="25">
        <v>269.0</v>
      </c>
      <c r="AE6" s="24">
        <v>7.5211371E7</v>
      </c>
    </row>
    <row r="7" ht="12.0" customHeight="1">
      <c r="A7" s="24" t="s">
        <v>71</v>
      </c>
      <c r="B7" s="24" t="str">
        <f>IFERROR(__xludf.DUMMYFUNCTION("IFERROR(IF(REGEXMATCH(REGEXEXTRACT(A7,""\bCRV\s*\d+(?:-\d+)+(?:-(?:A?BI|AI|BI))?\b""),""-(?:A?BI|AI|BI)$""),REGEXREPLACE(REGEXEXTRACT(A7,""\bCRV\s*\d+(?:-\d+)+(?:-(?:A?BI|AI|BI))?\b""),""-(A?BI|AI|BI)$"",""C$1""),REGEXEXTRACT(A7,""\bCRV\s*\d+(?:-\d+)+(?:-"&amp;"(?:A?BI|AI|BI))?\b"")&amp;""C""),"""")"),"CRV 10-6C")</f>
        <v>CRV 10-6C</v>
      </c>
      <c r="C7" s="24">
        <v>1650.0</v>
      </c>
      <c r="D7" s="24">
        <f t="array" ref="D7">IFERROR(XLOOKUP($B7,CRV!$A:$A,CRV!$BA:$BA)+XLOOKUP($B7,CRV!$A:$A,CRV!$BB:$BB)+$O7,"")
</f>
        <v>852</v>
      </c>
      <c r="E7" s="24">
        <v>180.0</v>
      </c>
      <c r="F7" s="24">
        <v>565.0</v>
      </c>
      <c r="G7" s="24">
        <v>520.0</v>
      </c>
      <c r="H7" s="24">
        <v>1549.0</v>
      </c>
      <c r="I7" s="24">
        <v>1085.0</v>
      </c>
      <c r="J7" s="24">
        <v>1760.0</v>
      </c>
      <c r="K7" s="24">
        <v>427.0</v>
      </c>
      <c r="L7" s="24"/>
      <c r="M7" s="24"/>
      <c r="N7" s="24">
        <v>385.0</v>
      </c>
      <c r="O7" s="24">
        <v>100.0</v>
      </c>
      <c r="P7" s="24"/>
      <c r="Q7" s="25" t="s">
        <v>35</v>
      </c>
      <c r="R7" s="24">
        <v>1000.0</v>
      </c>
      <c r="S7" s="24">
        <v>800.0</v>
      </c>
      <c r="T7" s="24">
        <v>860.0</v>
      </c>
      <c r="U7" s="24">
        <v>450.0</v>
      </c>
      <c r="V7" s="24" t="str">
        <f>IFERROR(__xludf.DUMMYFUNCTION("IFERROR(REGEXEXTRACT(A7,""G2-B-(\d+)""),"""")"),"80")</f>
        <v>80</v>
      </c>
      <c r="W7" s="24">
        <f t="shared" si="1"/>
        <v>2</v>
      </c>
      <c r="X7" s="24">
        <f>IFERROR(__xludf.DUMMYFUNCTION("IFERROR(VALUE(REGEXEXTRACT(A7,""\b(\d+)/\d+\b"")),"""")"),1.0)</f>
        <v>1</v>
      </c>
      <c r="Y7" s="24">
        <f>IFERROR(__xludf.DUMMYFUNCTION("IFERROR(VALUE(REGEXEXTRACT(A7,""\b\d+/(\d+)\b"")),"""")
"),1.0)</f>
        <v>1</v>
      </c>
      <c r="Z7" s="24">
        <f t="array" ref="Z7">IFERROR(INDEX(CRV!BU:BU, MATCH(B7, CRV!A:A, 0)), "")</f>
        <v>2.2</v>
      </c>
      <c r="AA7" s="24">
        <f t="array" ref="AA7">IFERROR(INDEX(CRV!BV:BV, MATCH(B7, CRV!A:A, 0))*X7+4.5*2+7, "")</f>
        <v>23.9</v>
      </c>
      <c r="AB7" s="24" t="str">
        <f t="array" ref="AB7">IFERROR(IF(VALUE(XLOOKUP($B7,CRV!$A:$A,CRV!$BU:$BU))&lt;=5.5,"прямой пуск (DOL)","звезда-треугольник (SD)"),"")</f>
        <v>прямой пуск (DOL)</v>
      </c>
      <c r="AC7" s="25" t="str">
        <f t="array" ref="AC7">IFERROR(INDEX(CRV!CA:CA, MATCH(B7, CRV!A:A, 0)), "")</f>
        <v>HQQE</v>
      </c>
      <c r="AD7" s="25">
        <v>271.0</v>
      </c>
      <c r="AE7" s="24">
        <v>7.5211389E7</v>
      </c>
    </row>
    <row r="8" ht="12.0" customHeight="1">
      <c r="A8" s="24" t="s">
        <v>72</v>
      </c>
      <c r="B8" s="24" t="str">
        <f>IFERROR(__xludf.DUMMYFUNCTION("IFERROR(IF(REGEXMATCH(REGEXEXTRACT(A8,""\bCRV\s*\d+(?:-\d+)+(?:-(?:A?BI|AI|BI))?\b""),""-(?:A?BI|AI|BI)$""),REGEXREPLACE(REGEXEXTRACT(A8,""\bCRV\s*\d+(?:-\d+)+(?:-(?:A?BI|AI|BI))?\b""),""-(A?BI|AI|BI)$"",""C$1""),REGEXEXTRACT(A8,""\bCRV\s*\d+(?:-\d+)+(?:-"&amp;"(?:A?BI|AI|BI))?\b"")&amp;""C""),"""")"),"CRV 10-9C")</f>
        <v>CRV 10-9C</v>
      </c>
      <c r="C8" s="24">
        <v>1650.0</v>
      </c>
      <c r="D8" s="24">
        <f t="array" ref="D8">IFERROR(XLOOKUP($B8,CRV!$A:$A,CRV!$BA:$BA)+XLOOKUP($B8,CRV!$A:$A,CRV!$BB:$BB)+$O8,"")
</f>
        <v>962</v>
      </c>
      <c r="E8" s="24">
        <v>180.0</v>
      </c>
      <c r="F8" s="24">
        <v>565.0</v>
      </c>
      <c r="G8" s="24">
        <v>520.0</v>
      </c>
      <c r="H8" s="24">
        <v>1549.0</v>
      </c>
      <c r="I8" s="24">
        <v>1085.0</v>
      </c>
      <c r="J8" s="24">
        <v>1760.0</v>
      </c>
      <c r="K8" s="24">
        <v>427.0</v>
      </c>
      <c r="L8" s="24"/>
      <c r="M8" s="24"/>
      <c r="N8" s="24">
        <v>385.0</v>
      </c>
      <c r="O8" s="24">
        <v>100.0</v>
      </c>
      <c r="P8" s="24"/>
      <c r="Q8" s="25" t="s">
        <v>35</v>
      </c>
      <c r="R8" s="24">
        <v>1000.0</v>
      </c>
      <c r="S8" s="24">
        <v>800.0</v>
      </c>
      <c r="T8" s="24">
        <v>860.0</v>
      </c>
      <c r="U8" s="24">
        <v>450.0</v>
      </c>
      <c r="V8" s="24" t="str">
        <f>IFERROR(__xludf.DUMMYFUNCTION("IFERROR(REGEXEXTRACT(A8,""G2-B-(\d+)""),"""")"),"80")</f>
        <v>80</v>
      </c>
      <c r="W8" s="24">
        <f t="shared" si="1"/>
        <v>2</v>
      </c>
      <c r="X8" s="24">
        <f>IFERROR(__xludf.DUMMYFUNCTION("IFERROR(VALUE(REGEXEXTRACT(A8,""\b(\d+)/\d+\b"")),"""")"),1.0)</f>
        <v>1</v>
      </c>
      <c r="Y8" s="24">
        <f>IFERROR(__xludf.DUMMYFUNCTION("IFERROR(VALUE(REGEXEXTRACT(A8,""\b\d+/(\d+)\b"")),"""")
"),1.0)</f>
        <v>1</v>
      </c>
      <c r="Z8" s="24">
        <f t="array" ref="Z8">IFERROR(INDEX(CRV!BU:BU, MATCH(B8, CRV!A:A, 0)), "")</f>
        <v>3</v>
      </c>
      <c r="AA8" s="24">
        <f t="array" ref="AA8">IFERROR(INDEX(CRV!BV:BV, MATCH(B8, CRV!A:A, 0))*X8+4.5*2+7, "")</f>
        <v>26.4</v>
      </c>
      <c r="AB8" s="24" t="str">
        <f t="array" ref="AB8">IFERROR(IF(VALUE(XLOOKUP($B8,CRV!$A:$A,CRV!$BU:$BU))&lt;=5.5,"прямой пуск (DOL)","звезда-треугольник (SD)"),"")</f>
        <v>прямой пуск (DOL)</v>
      </c>
      <c r="AC8" s="25" t="str">
        <f t="array" ref="AC8">IFERROR(INDEX(CRV!CA:CA, MATCH(B8, CRV!A:A, 0)), "")</f>
        <v>HQQE</v>
      </c>
      <c r="AD8" s="25">
        <v>287.0</v>
      </c>
      <c r="AE8" s="24">
        <v>7.5211376E7</v>
      </c>
    </row>
    <row r="9" ht="12.0" customHeight="1">
      <c r="A9" s="24" t="s">
        <v>73</v>
      </c>
      <c r="B9" s="24" t="str">
        <f>IFERROR(__xludf.DUMMYFUNCTION("IFERROR(IF(REGEXMATCH(REGEXEXTRACT(A9,""\bCRV\s*\d+(?:-\d+)+(?:-(?:A?BI|AI|BI))?\b""),""-(?:A?BI|AI|BI)$""),REGEXREPLACE(REGEXEXTRACT(A9,""\bCRV\s*\d+(?:-\d+)+(?:-(?:A?BI|AI|BI))?\b""),""-(A?BI|AI|BI)$"",""C$1""),REGEXEXTRACT(A9,""\bCRV\s*\d+(?:-\d+)+(?:-"&amp;"(?:A?BI|AI|BI))?\b"")&amp;""C""),"""")"),"CRV 10-12C")</f>
        <v>CRV 10-12C</v>
      </c>
      <c r="C9" s="24">
        <v>1650.0</v>
      </c>
      <c r="D9" s="24">
        <f t="array" ref="D9">IFERROR(XLOOKUP($B9,CRV!$A:$A,CRV!$BA:$BA)+XLOOKUP($B9,CRV!$A:$A,CRV!$BB:$BB)+$O9,"")
</f>
        <v>1085</v>
      </c>
      <c r="E9" s="24">
        <v>180.0</v>
      </c>
      <c r="F9" s="24">
        <v>565.0</v>
      </c>
      <c r="G9" s="24">
        <v>520.0</v>
      </c>
      <c r="H9" s="24">
        <v>1549.0</v>
      </c>
      <c r="I9" s="24">
        <v>1085.0</v>
      </c>
      <c r="J9" s="24">
        <v>1760.0</v>
      </c>
      <c r="K9" s="24">
        <v>427.0</v>
      </c>
      <c r="L9" s="24"/>
      <c r="M9" s="24"/>
      <c r="N9" s="24">
        <v>385.0</v>
      </c>
      <c r="O9" s="24">
        <v>100.0</v>
      </c>
      <c r="P9" s="24"/>
      <c r="Q9" s="25" t="s">
        <v>35</v>
      </c>
      <c r="R9" s="24">
        <v>1000.0</v>
      </c>
      <c r="S9" s="24">
        <v>800.0</v>
      </c>
      <c r="T9" s="24">
        <v>860.0</v>
      </c>
      <c r="U9" s="24">
        <v>450.0</v>
      </c>
      <c r="V9" s="24" t="str">
        <f>IFERROR(__xludf.DUMMYFUNCTION("IFERROR(REGEXEXTRACT(A9,""G2-B-(\d+)""),"""")"),"80")</f>
        <v>80</v>
      </c>
      <c r="W9" s="24">
        <f t="shared" si="1"/>
        <v>2</v>
      </c>
      <c r="X9" s="24">
        <f>IFERROR(__xludf.DUMMYFUNCTION("IFERROR(VALUE(REGEXEXTRACT(A9,""\b(\d+)/\d+\b"")),"""")"),1.0)</f>
        <v>1</v>
      </c>
      <c r="Y9" s="24">
        <f>IFERROR(__xludf.DUMMYFUNCTION("IFERROR(VALUE(REGEXEXTRACT(A9,""\b\d+/(\d+)\b"")),"""")
"),1.0)</f>
        <v>1</v>
      </c>
      <c r="Z9" s="24">
        <f t="array" ref="Z9">IFERROR(INDEX(CRV!BU:BU, MATCH(B9, CRV!A:A, 0)), "")</f>
        <v>4</v>
      </c>
      <c r="AA9" s="24">
        <f t="array" ref="AA9">IFERROR(INDEX(CRV!BV:BV, MATCH(B9, CRV!A:A, 0))*X9+4.5*2+7, "")</f>
        <v>23.8</v>
      </c>
      <c r="AB9" s="24" t="str">
        <f t="array" ref="AB9">IFERROR(IF(VALUE(XLOOKUP($B9,CRV!$A:$A,CRV!$BU:$BU))&lt;=5.5,"прямой пуск (DOL)","звезда-треугольник (SD)"),"")</f>
        <v>прямой пуск (DOL)</v>
      </c>
      <c r="AC9" s="25" t="str">
        <f t="array" ref="AC9">IFERROR(INDEX(CRV!CA:CA, MATCH(B9, CRV!A:A, 0)), "")</f>
        <v>HQQE</v>
      </c>
      <c r="AD9" s="25">
        <v>315.0</v>
      </c>
      <c r="AE9" s="24">
        <v>7.521139E7</v>
      </c>
    </row>
    <row r="10" ht="12.0" customHeight="1">
      <c r="A10" s="24" t="s">
        <v>74</v>
      </c>
      <c r="B10" s="24" t="str">
        <f>IFERROR(__xludf.DUMMYFUNCTION("IFERROR(IF(REGEXMATCH(REGEXEXTRACT(A10,""\bCRV\s*\d+(?:-\d+)+(?:-(?:A?BI|AI|BI))?\b""),""-(?:A?BI|AI|BI)$""),REGEXREPLACE(REGEXEXTRACT(A10,""\bCRV\s*\d+(?:-\d+)+(?:-(?:A?BI|AI|BI))?\b""),""-(A?BI|AI|BI)$"",""C$1""),REGEXEXTRACT(A10,""\bCRV\s*\d+(?:-\d+)+("&amp;"?:-(?:A?BI|AI|BI))?\b"")&amp;""C""),"""")"),"CRV 10-14C")</f>
        <v>CRV 10-14C</v>
      </c>
      <c r="C10" s="24">
        <v>1650.0</v>
      </c>
      <c r="D10" s="24">
        <f t="array" ref="D10">IFERROR(XLOOKUP($B10,CRV!$A:$A,CRV!$BA:$BA)+XLOOKUP($B10,CRV!$A:$A,CRV!$BB:$BB)+$O10,"")
</f>
        <v>1226</v>
      </c>
      <c r="E10" s="24">
        <v>180.0</v>
      </c>
      <c r="F10" s="24">
        <v>565.0</v>
      </c>
      <c r="G10" s="24">
        <v>520.0</v>
      </c>
      <c r="H10" s="24">
        <v>1549.0</v>
      </c>
      <c r="I10" s="24">
        <v>1085.0</v>
      </c>
      <c r="J10" s="24">
        <v>1760.0</v>
      </c>
      <c r="K10" s="24">
        <v>427.0</v>
      </c>
      <c r="L10" s="24"/>
      <c r="M10" s="24"/>
      <c r="N10" s="24">
        <v>385.0</v>
      </c>
      <c r="O10" s="24">
        <v>100.0</v>
      </c>
      <c r="P10" s="24"/>
      <c r="Q10" s="25" t="s">
        <v>35</v>
      </c>
      <c r="R10" s="24">
        <v>1000.0</v>
      </c>
      <c r="S10" s="24">
        <v>800.0</v>
      </c>
      <c r="T10" s="24">
        <v>860.0</v>
      </c>
      <c r="U10" s="24">
        <v>450.0</v>
      </c>
      <c r="V10" s="24" t="str">
        <f>IFERROR(__xludf.DUMMYFUNCTION("IFERROR(REGEXEXTRACT(A10,""G2-B-(\d+)""),"""")"),"80")</f>
        <v>80</v>
      </c>
      <c r="W10" s="24">
        <f t="shared" si="1"/>
        <v>2</v>
      </c>
      <c r="X10" s="24">
        <f>IFERROR(__xludf.DUMMYFUNCTION("IFERROR(VALUE(REGEXEXTRACT(A10,""\b(\d+)/\d+\b"")),"""")"),1.0)</f>
        <v>1</v>
      </c>
      <c r="Y10" s="24">
        <f>IFERROR(__xludf.DUMMYFUNCTION("IFERROR(VALUE(REGEXEXTRACT(A10,""\b\d+/(\d+)\b"")),"""")
"),1.0)</f>
        <v>1</v>
      </c>
      <c r="Z10" s="24">
        <f t="array" ref="Z10">IFERROR(INDEX(CRV!BU:BU, MATCH(B10, CRV!A:A, 0)), "")</f>
        <v>5.5</v>
      </c>
      <c r="AA10" s="24">
        <f t="array" ref="AA10">IFERROR(INDEX(CRV!BV:BV, MATCH(B10, CRV!A:A, 0))*X10+4.5*2+7, "")</f>
        <v>26.6</v>
      </c>
      <c r="AB10" s="24" t="str">
        <f t="array" ref="AB10">IFERROR(IF(VALUE(XLOOKUP($B10,CRV!$A:$A,CRV!$BU:$BU))&lt;=5.5,"прямой пуск (DOL)","звезда-треугольник (SD)"),"")</f>
        <v>прямой пуск (DOL)</v>
      </c>
      <c r="AC10" s="25" t="str">
        <f t="array" ref="AC10">IFERROR(INDEX(CRV!CA:CA, MATCH(B10, CRV!A:A, 0)), "")</f>
        <v>HQQE</v>
      </c>
      <c r="AD10" s="25">
        <v>359.0</v>
      </c>
      <c r="AE10" s="24">
        <v>7.5211391E7</v>
      </c>
    </row>
    <row r="11" ht="12.0" customHeight="1">
      <c r="A11" s="25" t="s">
        <v>75</v>
      </c>
      <c r="B11" s="24" t="str">
        <f>IFERROR(__xludf.DUMMYFUNCTION("IFERROR(IF(REGEXMATCH(REGEXEXTRACT(A11,""\bCRV\s*\d+(?:-\d+)+(?:-(?:A?BI|AI|BI))?\b""),""-(?:A?BI|AI|BI)$""),REGEXREPLACE(REGEXEXTRACT(A11,""\bCRV\s*\d+(?:-\d+)+(?:-(?:A?BI|AI|BI))?\b""),""-(A?BI|AI|BI)$"",""C$1""),REGEXEXTRACT(A11,""\bCRV\s*\d+(?:-\d+)+("&amp;"?:-(?:A?BI|AI|BI))?\b"")&amp;""C""),"""")"),"CRV 10-16C")</f>
        <v>CRV 10-16C</v>
      </c>
      <c r="C11" s="24">
        <v>1650.0</v>
      </c>
      <c r="D11" s="24">
        <f t="array" ref="D11">IFERROR(XLOOKUP($B11,CRV!$A:$A,CRV!$BA:$BA)+XLOOKUP($B11,CRV!$A:$A,CRV!$BB:$BB)+$O11,"")
</f>
        <v>1286</v>
      </c>
      <c r="E11" s="24">
        <v>180.0</v>
      </c>
      <c r="F11" s="24">
        <v>565.0</v>
      </c>
      <c r="G11" s="24">
        <v>520.0</v>
      </c>
      <c r="H11" s="24">
        <v>1549.0</v>
      </c>
      <c r="I11" s="24">
        <v>1085.0</v>
      </c>
      <c r="J11" s="24">
        <v>1760.0</v>
      </c>
      <c r="K11" s="24">
        <v>427.0</v>
      </c>
      <c r="L11" s="24"/>
      <c r="M11" s="24"/>
      <c r="N11" s="24">
        <v>385.0</v>
      </c>
      <c r="O11" s="24">
        <v>100.0</v>
      </c>
      <c r="P11" s="24"/>
      <c r="Q11" s="25" t="s">
        <v>35</v>
      </c>
      <c r="R11" s="24">
        <v>1000.0</v>
      </c>
      <c r="S11" s="24">
        <v>800.0</v>
      </c>
      <c r="T11" s="24">
        <v>860.0</v>
      </c>
      <c r="U11" s="24">
        <v>450.0</v>
      </c>
      <c r="V11" s="24" t="str">
        <f>IFERROR(__xludf.DUMMYFUNCTION("IFERROR(REGEXEXTRACT(A11,""G2-B-(\d+)""),"""")"),"80")</f>
        <v>80</v>
      </c>
      <c r="W11" s="24">
        <f t="shared" si="1"/>
        <v>2</v>
      </c>
      <c r="X11" s="24">
        <f>IFERROR(__xludf.DUMMYFUNCTION("IFERROR(VALUE(REGEXEXTRACT(A11,""\b(\d+)/\d+\b"")),"""")"),1.0)</f>
        <v>1</v>
      </c>
      <c r="Y11" s="24">
        <f>IFERROR(__xludf.DUMMYFUNCTION("IFERROR(VALUE(REGEXEXTRACT(A11,""\b\d+/(\d+)\b"")),"""")
"),1.0)</f>
        <v>1</v>
      </c>
      <c r="Z11" s="24">
        <f t="array" ref="Z11">IFERROR(INDEX(CRV!BU:BU, MATCH(B11, CRV!A:A, 0)), "")</f>
        <v>5.5</v>
      </c>
      <c r="AA11" s="24">
        <f t="array" ref="AA11">IFERROR(INDEX(CRV!BV:BV, MATCH(B11, CRV!A:A, 0))*X11+4.5*2+7, "")</f>
        <v>26.6</v>
      </c>
      <c r="AB11" s="24" t="str">
        <f t="array" ref="AB11">IFERROR(IF(VALUE(XLOOKUP($B11,CRV!$A:$A,CRV!$BU:$BU))&lt;=5.5,"прямой пуск (DOL)","звезда-треугольник (SD)"),"")</f>
        <v>прямой пуск (DOL)</v>
      </c>
      <c r="AC11" s="25" t="str">
        <f t="array" ref="AC11">IFERROR(INDEX(CRV!CA:CA, MATCH(B11, CRV!A:A, 0)), "")</f>
        <v>HQQE</v>
      </c>
      <c r="AD11" s="25">
        <f t="array" ref="AD11">IFERROR(AD10-W11*XLOOKUP($B10,CRV!$A:$A,CRV!$BY:$BY)+W11*XLOOKUP($B11,CRV!$A:$A,CRV!$BY:$BY),"ошибка")</f>
        <v>363</v>
      </c>
      <c r="AE11" s="25" t="s">
        <v>76</v>
      </c>
    </row>
    <row r="12" ht="12.0" customHeight="1">
      <c r="A12" s="25" t="s">
        <v>77</v>
      </c>
      <c r="B12" s="24" t="str">
        <f>IFERROR(__xludf.DUMMYFUNCTION("IFERROR(IF(REGEXMATCH(REGEXEXTRACT(A12,""\bCRV\s*\d+(?:-\d+)+(?:-(?:A?BI|AI|BI))?\b""),""-(?:A?BI|AI|BI)$""),REGEXREPLACE(REGEXEXTRACT(A12,""\bCRV\s*\d+(?:-\d+)+(?:-(?:A?BI|AI|BI))?\b""),""-(A?BI|AI|BI)$"",""C$1""),REGEXEXTRACT(A12,""\bCRV\s*\d+(?:-\d+)+("&amp;"?:-(?:A?BI|AI|BI))?\b"")&amp;""C""),"""")"),"CRV 10-18C")</f>
        <v>CRV 10-18C</v>
      </c>
      <c r="C12" s="24">
        <v>1650.0</v>
      </c>
      <c r="D12" s="24">
        <f t="array" ref="D12">IFERROR(XLOOKUP($B12,CRV!$A:$A,CRV!$BA:$BA)+XLOOKUP($B12,CRV!$A:$A,CRV!$BB:$BB)+$O12,"")
</f>
        <v>1384</v>
      </c>
      <c r="E12" s="24">
        <v>180.0</v>
      </c>
      <c r="F12" s="24">
        <v>565.0</v>
      </c>
      <c r="G12" s="24">
        <v>520.0</v>
      </c>
      <c r="H12" s="24">
        <v>1549.0</v>
      </c>
      <c r="I12" s="24">
        <v>1085.0</v>
      </c>
      <c r="J12" s="24">
        <v>1760.0</v>
      </c>
      <c r="K12" s="24">
        <v>427.0</v>
      </c>
      <c r="L12" s="24"/>
      <c r="M12" s="24"/>
      <c r="N12" s="24">
        <v>385.0</v>
      </c>
      <c r="O12" s="24">
        <v>100.0</v>
      </c>
      <c r="P12" s="24"/>
      <c r="Q12" s="25" t="s">
        <v>35</v>
      </c>
      <c r="R12" s="24">
        <v>1000.0</v>
      </c>
      <c r="S12" s="24">
        <v>800.0</v>
      </c>
      <c r="T12" s="24">
        <v>860.0</v>
      </c>
      <c r="U12" s="24">
        <v>450.0</v>
      </c>
      <c r="V12" s="24" t="str">
        <f>IFERROR(__xludf.DUMMYFUNCTION("IFERROR(REGEXEXTRACT(A12,""G2-B-(\d+)""),"""")"),"80")</f>
        <v>80</v>
      </c>
      <c r="W12" s="24">
        <f t="shared" si="1"/>
        <v>2</v>
      </c>
      <c r="X12" s="24">
        <f>IFERROR(__xludf.DUMMYFUNCTION("IFERROR(VALUE(REGEXEXTRACT(A12,""\b(\d+)/\d+\b"")),"""")"),1.0)</f>
        <v>1</v>
      </c>
      <c r="Y12" s="24">
        <f>IFERROR(__xludf.DUMMYFUNCTION("IFERROR(VALUE(REGEXEXTRACT(A12,""\b\d+/(\d+)\b"")),"""")
"),1.0)</f>
        <v>1</v>
      </c>
      <c r="Z12" s="24">
        <f t="array" ref="Z12">IFERROR(INDEX(CRV!BU:BU, MATCH(B12, CRV!A:A, 0)), "")</f>
        <v>7.5</v>
      </c>
      <c r="AA12" s="24">
        <f t="array" ref="AA12">IFERROR(INDEX(CRV!BV:BV, MATCH(B12, CRV!A:A, 0))*X12+4.5*2+7, "")</f>
        <v>30.4</v>
      </c>
      <c r="AB12" s="24" t="str">
        <f t="array" ref="AB12">IFERROR(IF(VALUE(XLOOKUP($B12,CRV!$A:$A,CRV!$BU:$BU))&lt;=5.5,"прямой пуск (DOL)","звезда-треугольник (SD)"),"")</f>
        <v>звезда-треугольник (SD)</v>
      </c>
      <c r="AC12" s="25" t="str">
        <f t="array" ref="AC12">IFERROR(INDEX(CRV!CA:CA, MATCH(B12, CRV!A:A, 0)), "")</f>
        <v>HQQE</v>
      </c>
      <c r="AD12" s="25">
        <f t="array" ref="AD12">IFERROR(AD11-W12*XLOOKUP($B11,CRV!$A:$A,CRV!$BY:$BY)+W12*XLOOKUP($B12,CRV!$A:$A,CRV!$BY:$BY),"ошибка")</f>
        <v>373</v>
      </c>
      <c r="AE12" s="25" t="s">
        <v>76</v>
      </c>
    </row>
    <row r="13" ht="12.0" customHeight="1">
      <c r="A13" s="25" t="s">
        <v>78</v>
      </c>
      <c r="B13" s="24" t="str">
        <f>IFERROR(__xludf.DUMMYFUNCTION("IFERROR(IF(REGEXMATCH(REGEXEXTRACT(A13,""\bCRV\s*\d+(?:-\d+)+(?:-(?:A?BI|AI|BI))?\b""),""-(?:A?BI|AI|BI)$""),REGEXREPLACE(REGEXEXTRACT(A13,""\bCRV\s*\d+(?:-\d+)+(?:-(?:A?BI|AI|BI))?\b""),""-(A?BI|AI|BI)$"",""C$1""),REGEXEXTRACT(A13,""\bCRV\s*\d+(?:-\d+)+("&amp;"?:-(?:A?BI|AI|BI))?\b"")&amp;""C""),"""")"),"CRV 10-20C")</f>
        <v>CRV 10-20C</v>
      </c>
      <c r="C13" s="24">
        <v>1650.0</v>
      </c>
      <c r="D13" s="24">
        <f t="array" ref="D13">IFERROR(XLOOKUP($B13,CRV!$A:$A,CRV!$BA:$BA)+XLOOKUP($B13,CRV!$A:$A,CRV!$BB:$BB)+$O13,"")
</f>
        <v>1444</v>
      </c>
      <c r="E13" s="24">
        <v>180.0</v>
      </c>
      <c r="F13" s="24">
        <v>565.0</v>
      </c>
      <c r="G13" s="24">
        <v>520.0</v>
      </c>
      <c r="H13" s="24">
        <v>1549.0</v>
      </c>
      <c r="I13" s="24">
        <v>1085.0</v>
      </c>
      <c r="J13" s="24">
        <v>1760.0</v>
      </c>
      <c r="K13" s="24">
        <v>427.0</v>
      </c>
      <c r="L13" s="24"/>
      <c r="M13" s="24"/>
      <c r="N13" s="24">
        <v>385.0</v>
      </c>
      <c r="O13" s="24">
        <v>100.0</v>
      </c>
      <c r="P13" s="24"/>
      <c r="Q13" s="25" t="s">
        <v>35</v>
      </c>
      <c r="R13" s="24">
        <v>1000.0</v>
      </c>
      <c r="S13" s="24">
        <v>800.0</v>
      </c>
      <c r="T13" s="24">
        <v>860.0</v>
      </c>
      <c r="U13" s="24">
        <v>450.0</v>
      </c>
      <c r="V13" s="24" t="str">
        <f>IFERROR(__xludf.DUMMYFUNCTION("IFERROR(REGEXEXTRACT(A13,""G2-B-(\d+)""),"""")"),"80")</f>
        <v>80</v>
      </c>
      <c r="W13" s="24">
        <f t="shared" si="1"/>
        <v>2</v>
      </c>
      <c r="X13" s="24">
        <f>IFERROR(__xludf.DUMMYFUNCTION("IFERROR(VALUE(REGEXEXTRACT(A13,""\b(\d+)/\d+\b"")),"""")"),1.0)</f>
        <v>1</v>
      </c>
      <c r="Y13" s="24">
        <f>IFERROR(__xludf.DUMMYFUNCTION("IFERROR(VALUE(REGEXEXTRACT(A13,""\b\d+/(\d+)\b"")),"""")
"),1.0)</f>
        <v>1</v>
      </c>
      <c r="Z13" s="24">
        <f t="array" ref="Z13">IFERROR(INDEX(CRV!BU:BU, MATCH(B13, CRV!A:A, 0)), "")</f>
        <v>7.5</v>
      </c>
      <c r="AA13" s="24">
        <f t="array" ref="AA13">IFERROR(INDEX(CRV!BV:BV, MATCH(B13, CRV!A:A, 0))*X13+4.5*2+7, "")</f>
        <v>30.4</v>
      </c>
      <c r="AB13" s="24" t="str">
        <f t="array" ref="AB13">IFERROR(IF(VALUE(XLOOKUP($B13,CRV!$A:$A,CRV!$BU:$BU))&lt;=5.5,"прямой пуск (DOL)","звезда-треугольник (SD)"),"")</f>
        <v>звезда-треугольник (SD)</v>
      </c>
      <c r="AC13" s="25" t="str">
        <f t="array" ref="AC13">IFERROR(INDEX(CRV!CA:CA, MATCH(B13, CRV!A:A, 0)), "")</f>
        <v>HQQE</v>
      </c>
      <c r="AD13" s="25">
        <f t="array" ref="AD13">IFERROR(AD12-W13*XLOOKUP($B12,CRV!$A:$A,CRV!$BY:$BY)+W13*XLOOKUP($B13,CRV!$A:$A,CRV!$BY:$BY),"ошибка")</f>
        <v>377</v>
      </c>
      <c r="AE13" s="25" t="s">
        <v>76</v>
      </c>
    </row>
    <row r="14" ht="12.0" customHeight="1">
      <c r="A14" s="26" t="s">
        <v>79</v>
      </c>
      <c r="B14" s="24" t="str">
        <f>IFERROR(__xludf.DUMMYFUNCTION("IFERROR(IF(REGEXMATCH(REGEXEXTRACT(A14,""\bCRV\s*\d+(?:-\d+)+(?:-(?:A?BI|AI|BI))?\b""),""-(?:A?BI|AI|BI)$""),REGEXREPLACE(REGEXEXTRACT(A14,""\bCRV\s*\d+(?:-\d+)+(?:-(?:A?BI|AI|BI))?\b""),""-(A?BI|AI|BI)$"",""C$1""),REGEXEXTRACT(A14,""\bCRV\s*\d+(?:-\d+)+("&amp;"?:-(?:A?BI|AI|BI))?\b"")&amp;""C""),"""")"),"CRV 10-22C")</f>
        <v>CRV 10-22C</v>
      </c>
      <c r="C14" s="27">
        <v>1650.0</v>
      </c>
      <c r="D14" s="24">
        <f t="array" ref="D14">IFERROR(XLOOKUP($B14,CRV!$A:$A,CRV!$BA:$BA)+XLOOKUP($B14,CRV!$A:$A,CRV!$BB:$BB)+$O14,"")
</f>
        <v>1504</v>
      </c>
      <c r="E14" s="27">
        <v>180.0</v>
      </c>
      <c r="F14" s="27">
        <v>565.0</v>
      </c>
      <c r="G14" s="27">
        <v>520.0</v>
      </c>
      <c r="H14" s="27">
        <v>1549.0</v>
      </c>
      <c r="I14" s="27">
        <v>1085.0</v>
      </c>
      <c r="J14" s="27">
        <v>1760.0</v>
      </c>
      <c r="K14" s="27">
        <v>427.0</v>
      </c>
      <c r="L14" s="27"/>
      <c r="M14" s="27"/>
      <c r="N14" s="27">
        <v>385.0</v>
      </c>
      <c r="O14" s="27">
        <v>100.0</v>
      </c>
      <c r="P14" s="27"/>
      <c r="Q14" s="26" t="s">
        <v>35</v>
      </c>
      <c r="R14" s="27">
        <v>1000.0</v>
      </c>
      <c r="S14" s="27">
        <v>800.0</v>
      </c>
      <c r="T14" s="27">
        <v>860.0</v>
      </c>
      <c r="U14" s="27">
        <v>450.0</v>
      </c>
      <c r="V14" s="24" t="str">
        <f>IFERROR(__xludf.DUMMYFUNCTION("IFERROR(REGEXEXTRACT(A14,""G2-B-(\d+)""),"""")"),"80")</f>
        <v>80</v>
      </c>
      <c r="W14" s="24">
        <f t="shared" si="1"/>
        <v>2</v>
      </c>
      <c r="X14" s="24">
        <f>IFERROR(__xludf.DUMMYFUNCTION("IFERROR(VALUE(REGEXEXTRACT(A14,""\b(\d+)/\d+\b"")),"""")"),1.0)</f>
        <v>1</v>
      </c>
      <c r="Y14" s="24">
        <f>IFERROR(__xludf.DUMMYFUNCTION("IFERROR(VALUE(REGEXEXTRACT(A14,""\b\d+/(\d+)\b"")),"""")
"),1.0)</f>
        <v>1</v>
      </c>
      <c r="Z14" s="24">
        <f t="array" ref="Z14">IFERROR(INDEX(CRV!BU:BU, MATCH(B14, CRV!A:A, 0)), "")</f>
        <v>7.5</v>
      </c>
      <c r="AA14" s="24">
        <f t="array" ref="AA14">IFERROR(INDEX(CRV!BV:BV, MATCH(B14, CRV!A:A, 0))*X14+4.5*2+7, "")</f>
        <v>30.4</v>
      </c>
      <c r="AB14" s="24" t="str">
        <f t="array" ref="AB14">IFERROR(IF(VALUE(XLOOKUP($B14,CRV!$A:$A,CRV!$BU:$BU))&lt;=5.5,"прямой пуск (DOL)","звезда-треугольник (SD)"),"")</f>
        <v>звезда-треугольник (SD)</v>
      </c>
      <c r="AC14" s="25" t="str">
        <f t="array" ref="AC14">IFERROR(INDEX(CRV!CA:CA, MATCH(B14, CRV!A:A, 0)), "")</f>
        <v>HQQE</v>
      </c>
      <c r="AD14" s="26">
        <f t="array" ref="AD14">IFERROR(AD13-W14*XLOOKUP($B13,CRV!$A:$A,CRV!$BY:$BY)+W14*XLOOKUP($B14,CRV!$A:$A,CRV!$BY:$BY),"ошибка")</f>
        <v>383</v>
      </c>
      <c r="AE14" s="26" t="s">
        <v>76</v>
      </c>
    </row>
    <row r="15" ht="12.0" customHeight="1">
      <c r="A15" s="28"/>
      <c r="B15" s="24" t="str">
        <f>IFERROR(__xludf.DUMMYFUNCTION("IFERROR(IF(REGEXMATCH(REGEXEXTRACT(A15,""\bCRV\s*\d+(?:-\d+)+(?:-(?:A?BI|AI|BI))?\b""),""-(?:A?BI|AI|BI)$""),REGEXREPLACE(REGEXEXTRACT(A15,""\bCRV\s*\d+(?:-\d+)+(?:-(?:A?BI|AI|BI))?\b""),""-(A?BI|AI|BI)$"",""C$1""),REGEXEXTRACT(A15,""\bCRV\s*\d+(?:-\d+)+("&amp;"?:-(?:A?BI|AI|BI))?\b"")&amp;""C""),"""")"),"")</f>
        <v/>
      </c>
      <c r="C15" s="28"/>
      <c r="D15" s="24" t="str">
        <f t="array" ref="D15">IFERROR(XLOOKUP($B15,CRV!$A:$A,CRV!$BA:$BA)+XLOOKUP($B15,CRV!$A:$A,CRV!$BB:$BB)+$O15,"")
</f>
        <v/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4" t="str">
        <f>IFERROR(__xludf.DUMMYFUNCTION("IFERROR(REGEXEXTRACT(A15,""G2-B-(\d+)""),"""")"),"")</f>
        <v/>
      </c>
      <c r="W15" s="24" t="str">
        <f t="shared" si="1"/>
        <v/>
      </c>
      <c r="X15" s="24" t="str">
        <f>IFERROR(__xludf.DUMMYFUNCTION("IFERROR(VALUE(REGEXEXTRACT(A15,""\b(\d+)/\d+\b"")),"""")"),"")</f>
        <v/>
      </c>
      <c r="Y15" s="24" t="str">
        <f>IFERROR(__xludf.DUMMYFUNCTION("IFERROR(VALUE(REGEXEXTRACT(A15,""\b\d+/(\d+)\b"")),"""")
"),"")</f>
        <v/>
      </c>
      <c r="Z15" s="24" t="str">
        <f t="array" ref="Z15">IFERROR(INDEX(CRV!BU:BU, MATCH(B15, CRV!A:A, 0)), "")</f>
        <v/>
      </c>
      <c r="AA15" s="24" t="str">
        <f t="array" ref="AA15">IFERROR(INDEX(CRV!BV:BV, MATCH(B15, CRV!A:A, 0))*X15+4.5*2+7, "")</f>
        <v/>
      </c>
      <c r="AB15" s="24" t="str">
        <f t="array" ref="AB15">IFERROR(IF(VALUE(XLOOKUP($B15,CRV!$A:$A,CRV!$BU:$BU))&lt;=5.5,"прямой пуск (DOL)","звезда-треугольник (SD)"),"")</f>
        <v/>
      </c>
      <c r="AC15" s="25" t="str">
        <f t="array" ref="AC15">IFERROR(INDEX(CRV!CA:CA, MATCH(B15, CRV!A:A, 0)), "")</f>
        <v/>
      </c>
      <c r="AD15" s="29"/>
      <c r="AE15" s="28"/>
    </row>
    <row r="16" ht="12.0" customHeight="1">
      <c r="A16" s="28" t="s">
        <v>80</v>
      </c>
      <c r="B16" s="24" t="str">
        <f>IFERROR(__xludf.DUMMYFUNCTION("IFERROR(IF(REGEXMATCH(REGEXEXTRACT(A16,""\bCRV\s*\d+(?:-\d+)+(?:-(?:A?BI|AI|BI))?\b""),""-(?:A?BI|AI|BI)$""),REGEXREPLACE(REGEXEXTRACT(A16,""\bCRV\s*\d+(?:-\d+)+(?:-(?:A?BI|AI|BI))?\b""),""-(A?BI|AI|BI)$"",""C$1""),REGEXEXTRACT(A16,""\bCRV\s*\d+(?:-\d+)+("&amp;"?:-(?:A?BI|AI|BI))?\b"")&amp;""C""),"""")"),"CRV 15-1C")</f>
        <v>CRV 15-1C</v>
      </c>
      <c r="C16" s="28">
        <v>1650.0</v>
      </c>
      <c r="D16" s="24">
        <f t="array" ref="D16">IFERROR(XLOOKUP($B16,CRV!$A:$A,CRV!$BA:$BA)+XLOOKUP($B16,CRV!$A:$A,CRV!$BB:$BB)+$O16,"")
</f>
        <v>672</v>
      </c>
      <c r="E16" s="28">
        <v>190.0</v>
      </c>
      <c r="F16" s="28">
        <v>585.0</v>
      </c>
      <c r="G16" s="28">
        <v>540.0</v>
      </c>
      <c r="H16" s="28">
        <v>1589.0</v>
      </c>
      <c r="I16" s="28">
        <v>1125.0</v>
      </c>
      <c r="J16" s="28">
        <v>1760.0</v>
      </c>
      <c r="K16" s="28">
        <v>427.0</v>
      </c>
      <c r="L16" s="28"/>
      <c r="M16" s="28"/>
      <c r="N16" s="28">
        <v>385.0</v>
      </c>
      <c r="O16" s="28">
        <v>100.0</v>
      </c>
      <c r="P16" s="28"/>
      <c r="Q16" s="29" t="s">
        <v>35</v>
      </c>
      <c r="R16" s="28">
        <v>1000.0</v>
      </c>
      <c r="S16" s="28">
        <v>800.0</v>
      </c>
      <c r="T16" s="28">
        <v>860.0</v>
      </c>
      <c r="U16" s="28">
        <v>450.0</v>
      </c>
      <c r="V16" s="24" t="str">
        <f>IFERROR(__xludf.DUMMYFUNCTION("IFERROR(REGEXEXTRACT(A16,""G2-B-(\d+)""),"""")"),"80")</f>
        <v>80</v>
      </c>
      <c r="W16" s="24">
        <f t="shared" si="1"/>
        <v>2</v>
      </c>
      <c r="X16" s="24">
        <f>IFERROR(__xludf.DUMMYFUNCTION("IFERROR(VALUE(REGEXEXTRACT(A16,""\b(\d+)/\d+\b"")),"""")"),1.0)</f>
        <v>1</v>
      </c>
      <c r="Y16" s="24">
        <f>IFERROR(__xludf.DUMMYFUNCTION("IFERROR(VALUE(REGEXEXTRACT(A16,""\b\d+/(\d+)\b"")),"""")
"),1.0)</f>
        <v>1</v>
      </c>
      <c r="Z16" s="24">
        <f t="array" ref="Z16">IFERROR(INDEX(CRV!BU:BU, MATCH(B16, CRV!A:A, 0)), "")</f>
        <v>1.1</v>
      </c>
      <c r="AA16" s="24">
        <f t="array" ref="AA16">IFERROR(INDEX(CRV!BV:BV, MATCH(B16, CRV!A:A, 0))*X16+4.5*2+7, "")</f>
        <v>20.2</v>
      </c>
      <c r="AB16" s="24" t="str">
        <f t="array" ref="AB16">IFERROR(IF(VALUE(XLOOKUP($B16,CRV!$A:$A,CRV!$BU:$BU))&lt;=5.5,"прямой пуск (DOL)","звезда-треугольник (SD)"),"")</f>
        <v>прямой пуск (DOL)</v>
      </c>
      <c r="AC16" s="25" t="str">
        <f t="array" ref="AC16">IFERROR(INDEX(CRV!CA:CA, MATCH(B16, CRV!A:A, 0)), "")</f>
        <v>HQQE</v>
      </c>
      <c r="AD16" s="29">
        <v>267.0</v>
      </c>
      <c r="AE16" s="28">
        <v>7.5211375E7</v>
      </c>
    </row>
    <row r="17" ht="12.0" customHeight="1">
      <c r="A17" s="28" t="s">
        <v>81</v>
      </c>
      <c r="B17" s="24" t="str">
        <f>IFERROR(__xludf.DUMMYFUNCTION("IFERROR(IF(REGEXMATCH(REGEXEXTRACT(A17,""\bCRV\s*\d+(?:-\d+)+(?:-(?:A?BI|AI|BI))?\b""),""-(?:A?BI|AI|BI)$""),REGEXREPLACE(REGEXEXTRACT(A17,""\bCRV\s*\d+(?:-\d+)+(?:-(?:A?BI|AI|BI))?\b""),""-(A?BI|AI|BI)$"",""C$1""),REGEXEXTRACT(A17,""\bCRV\s*\d+(?:-\d+)+("&amp;"?:-(?:A?BI|AI|BI))?\b"")&amp;""C""),"""")"),"CRV 15-2C")</f>
        <v>CRV 15-2C</v>
      </c>
      <c r="C17" s="28">
        <v>1650.0</v>
      </c>
      <c r="D17" s="24">
        <f t="array" ref="D17">IFERROR(XLOOKUP($B17,CRV!$A:$A,CRV!$BA:$BA)+XLOOKUP($B17,CRV!$A:$A,CRV!$BB:$BB)+$O17,"")
</f>
        <v>769</v>
      </c>
      <c r="E17" s="28">
        <v>190.0</v>
      </c>
      <c r="F17" s="28">
        <v>585.0</v>
      </c>
      <c r="G17" s="28">
        <v>540.0</v>
      </c>
      <c r="H17" s="28">
        <v>1589.0</v>
      </c>
      <c r="I17" s="28">
        <v>1125.0</v>
      </c>
      <c r="J17" s="28">
        <v>1760.0</v>
      </c>
      <c r="K17" s="28">
        <v>427.0</v>
      </c>
      <c r="L17" s="28"/>
      <c r="M17" s="28"/>
      <c r="N17" s="28">
        <v>385.0</v>
      </c>
      <c r="O17" s="28">
        <v>100.0</v>
      </c>
      <c r="P17" s="28"/>
      <c r="Q17" s="29" t="s">
        <v>35</v>
      </c>
      <c r="R17" s="28">
        <v>1000.0</v>
      </c>
      <c r="S17" s="28">
        <v>800.0</v>
      </c>
      <c r="T17" s="28">
        <v>860.0</v>
      </c>
      <c r="U17" s="28">
        <v>450.0</v>
      </c>
      <c r="V17" s="24" t="str">
        <f>IFERROR(__xludf.DUMMYFUNCTION("IFERROR(REGEXEXTRACT(A17,""G2-B-(\d+)""),"""")"),"80")</f>
        <v>80</v>
      </c>
      <c r="W17" s="24">
        <f t="shared" si="1"/>
        <v>2</v>
      </c>
      <c r="X17" s="24">
        <f>IFERROR(__xludf.DUMMYFUNCTION("IFERROR(VALUE(REGEXEXTRACT(A17,""\b(\d+)/\d+\b"")),"""")"),1.0)</f>
        <v>1</v>
      </c>
      <c r="Y17" s="24">
        <f>IFERROR(__xludf.DUMMYFUNCTION("IFERROR(VALUE(REGEXEXTRACT(A17,""\b\d+/(\d+)\b"")),"""")
"),1.0)</f>
        <v>1</v>
      </c>
      <c r="Z17" s="24">
        <f t="array" ref="Z17">IFERROR(INDEX(CRV!BU:BU, MATCH(B17, CRV!A:A, 0)), "")</f>
        <v>2.2</v>
      </c>
      <c r="AA17" s="24">
        <f t="array" ref="AA17">IFERROR(INDEX(CRV!BV:BV, MATCH(B17, CRV!A:A, 0))*X17+4.5*2+7, "")</f>
        <v>23.9</v>
      </c>
      <c r="AB17" s="24" t="str">
        <f t="array" ref="AB17">IFERROR(IF(VALUE(XLOOKUP($B17,CRV!$A:$A,CRV!$BU:$BU))&lt;=5.5,"прямой пуск (DOL)","звезда-треугольник (SD)"),"")</f>
        <v>прямой пуск (DOL)</v>
      </c>
      <c r="AC17" s="25" t="str">
        <f t="array" ref="AC17">IFERROR(INDEX(CRV!CA:CA, MATCH(B17, CRV!A:A, 0)), "")</f>
        <v>HQQE</v>
      </c>
      <c r="AD17" s="29">
        <v>283.0</v>
      </c>
      <c r="AE17" s="28">
        <v>7.5211392E7</v>
      </c>
    </row>
    <row r="18" ht="12.0" customHeight="1">
      <c r="A18" s="28" t="s">
        <v>82</v>
      </c>
      <c r="B18" s="24" t="str">
        <f>IFERROR(__xludf.DUMMYFUNCTION("IFERROR(IF(REGEXMATCH(REGEXEXTRACT(A18,""\bCRV\s*\d+(?:-\d+)+(?:-(?:A?BI|AI|BI))?\b""),""-(?:A?BI|AI|BI)$""),REGEXREPLACE(REGEXEXTRACT(A18,""\bCRV\s*\d+(?:-\d+)+(?:-(?:A?BI|AI|BI))?\b""),""-(A?BI|AI|BI)$"",""C$1""),REGEXEXTRACT(A18,""\bCRV\s*\d+(?:-\d+)+("&amp;"?:-(?:A?BI|AI|BI))?\b"")&amp;""C""),"""")"),"CRV 15-3C")</f>
        <v>CRV 15-3C</v>
      </c>
      <c r="C18" s="28">
        <v>1650.0</v>
      </c>
      <c r="D18" s="24">
        <f t="array" ref="D18">IFERROR(XLOOKUP($B18,CRV!$A:$A,CRV!$BA:$BA)+XLOOKUP($B18,CRV!$A:$A,CRV!$BB:$BB)+$O18,"")
</f>
        <v>834</v>
      </c>
      <c r="E18" s="28">
        <v>190.0</v>
      </c>
      <c r="F18" s="28">
        <v>585.0</v>
      </c>
      <c r="G18" s="28">
        <v>540.0</v>
      </c>
      <c r="H18" s="28">
        <v>1589.0</v>
      </c>
      <c r="I18" s="28">
        <v>1125.0</v>
      </c>
      <c r="J18" s="28">
        <v>1760.0</v>
      </c>
      <c r="K18" s="28">
        <v>427.0</v>
      </c>
      <c r="L18" s="28"/>
      <c r="M18" s="28"/>
      <c r="N18" s="28">
        <v>385.0</v>
      </c>
      <c r="O18" s="28">
        <v>100.0</v>
      </c>
      <c r="P18" s="28"/>
      <c r="Q18" s="29" t="s">
        <v>35</v>
      </c>
      <c r="R18" s="28">
        <v>1000.0</v>
      </c>
      <c r="S18" s="28">
        <v>800.0</v>
      </c>
      <c r="T18" s="28">
        <v>860.0</v>
      </c>
      <c r="U18" s="28">
        <v>450.0</v>
      </c>
      <c r="V18" s="24" t="str">
        <f>IFERROR(__xludf.DUMMYFUNCTION("IFERROR(REGEXEXTRACT(A18,""G2-B-(\d+)""),"""")"),"80")</f>
        <v>80</v>
      </c>
      <c r="W18" s="24">
        <f t="shared" si="1"/>
        <v>2</v>
      </c>
      <c r="X18" s="24">
        <f>IFERROR(__xludf.DUMMYFUNCTION("IFERROR(VALUE(REGEXEXTRACT(A18,""\b(\d+)/\d+\b"")),"""")"),1.0)</f>
        <v>1</v>
      </c>
      <c r="Y18" s="24">
        <f>IFERROR(__xludf.DUMMYFUNCTION("IFERROR(VALUE(REGEXEXTRACT(A18,""\b\d+/(\d+)\b"")),"""")
"),1.0)</f>
        <v>1</v>
      </c>
      <c r="Z18" s="24">
        <f t="array" ref="Z18">IFERROR(INDEX(CRV!BU:BU, MATCH(B18, CRV!A:A, 0)), "")</f>
        <v>3</v>
      </c>
      <c r="AA18" s="24">
        <f t="array" ref="AA18">IFERROR(INDEX(CRV!BV:BV, MATCH(B18, CRV!A:A, 0))*X18+4.5*2+7, "")</f>
        <v>26.4</v>
      </c>
      <c r="AB18" s="24" t="str">
        <f t="array" ref="AB18">IFERROR(IF(VALUE(XLOOKUP($B18,CRV!$A:$A,CRV!$BU:$BU))&lt;=5.5,"прямой пуск (DOL)","звезда-треугольник (SD)"),"")</f>
        <v>прямой пуск (DOL)</v>
      </c>
      <c r="AC18" s="25" t="str">
        <f t="array" ref="AC18">IFERROR(INDEX(CRV!CA:CA, MATCH(B18, CRV!A:A, 0)), "")</f>
        <v>HQQE</v>
      </c>
      <c r="AD18" s="29">
        <v>293.0</v>
      </c>
      <c r="AE18" s="28">
        <v>7.5211393E7</v>
      </c>
    </row>
    <row r="19" ht="12.0" customHeight="1">
      <c r="A19" s="28" t="s">
        <v>83</v>
      </c>
      <c r="B19" s="24" t="str">
        <f>IFERROR(__xludf.DUMMYFUNCTION("IFERROR(IF(REGEXMATCH(REGEXEXTRACT(A19,""\bCRV\s*\d+(?:-\d+)+(?:-(?:A?BI|AI|BI))?\b""),""-(?:A?BI|AI|BI)$""),REGEXREPLACE(REGEXEXTRACT(A19,""\bCRV\s*\d+(?:-\d+)+(?:-(?:A?BI|AI|BI))?\b""),""-(A?BI|AI|BI)$"",""C$1""),REGEXEXTRACT(A19,""\bCRV\s*\d+(?:-\d+)+("&amp;"?:-(?:A?BI|AI|BI))?\b"")&amp;""C""),"""")"),"CRV 15-4C")</f>
        <v>CRV 15-4C</v>
      </c>
      <c r="C19" s="28">
        <v>1650.0</v>
      </c>
      <c r="D19" s="24">
        <f t="array" ref="D19">IFERROR(XLOOKUP($B19,CRV!$A:$A,CRV!$BA:$BA)+XLOOKUP($B19,CRV!$A:$A,CRV!$BB:$BB)+$O19,"")
</f>
        <v>912</v>
      </c>
      <c r="E19" s="28">
        <v>190.0</v>
      </c>
      <c r="F19" s="28">
        <v>585.0</v>
      </c>
      <c r="G19" s="28">
        <v>540.0</v>
      </c>
      <c r="H19" s="28">
        <v>1589.0</v>
      </c>
      <c r="I19" s="28">
        <v>1125.0</v>
      </c>
      <c r="J19" s="28">
        <v>1760.0</v>
      </c>
      <c r="K19" s="28">
        <v>427.0</v>
      </c>
      <c r="L19" s="28"/>
      <c r="M19" s="28"/>
      <c r="N19" s="28">
        <v>385.0</v>
      </c>
      <c r="O19" s="28">
        <v>100.0</v>
      </c>
      <c r="P19" s="28"/>
      <c r="Q19" s="29" t="s">
        <v>35</v>
      </c>
      <c r="R19" s="28">
        <v>1000.0</v>
      </c>
      <c r="S19" s="28">
        <v>800.0</v>
      </c>
      <c r="T19" s="28">
        <v>860.0</v>
      </c>
      <c r="U19" s="28">
        <v>450.0</v>
      </c>
      <c r="V19" s="24" t="str">
        <f>IFERROR(__xludf.DUMMYFUNCTION("IFERROR(REGEXEXTRACT(A19,""G2-B-(\d+)""),"""")"),"80")</f>
        <v>80</v>
      </c>
      <c r="W19" s="24">
        <f t="shared" si="1"/>
        <v>2</v>
      </c>
      <c r="X19" s="24">
        <f>IFERROR(__xludf.DUMMYFUNCTION("IFERROR(VALUE(REGEXEXTRACT(A19,""\b(\d+)/\d+\b"")),"""")"),1.0)</f>
        <v>1</v>
      </c>
      <c r="Y19" s="24">
        <f>IFERROR(__xludf.DUMMYFUNCTION("IFERROR(VALUE(REGEXEXTRACT(A19,""\b\d+/(\d+)\b"")),"""")
"),1.0)</f>
        <v>1</v>
      </c>
      <c r="Z19" s="24">
        <f t="array" ref="Z19">IFERROR(INDEX(CRV!BU:BU, MATCH(B19, CRV!A:A, 0)), "")</f>
        <v>4</v>
      </c>
      <c r="AA19" s="24">
        <f t="array" ref="AA19">IFERROR(INDEX(CRV!BV:BV, MATCH(B19, CRV!A:A, 0))*X19+4.5*2+7, "")</f>
        <v>23.8</v>
      </c>
      <c r="AB19" s="24" t="str">
        <f t="array" ref="AB19">IFERROR(IF(VALUE(XLOOKUP($B19,CRV!$A:$A,CRV!$BU:$BU))&lt;=5.5,"прямой пуск (DOL)","звезда-треугольник (SD)"),"")</f>
        <v>прямой пуск (DOL)</v>
      </c>
      <c r="AC19" s="25" t="str">
        <f t="array" ref="AC19">IFERROR(INDEX(CRV!CA:CA, MATCH(B19, CRV!A:A, 0)), "")</f>
        <v>HQQE</v>
      </c>
      <c r="AD19" s="29">
        <v>319.0</v>
      </c>
      <c r="AE19" s="28">
        <v>7.5211394E7</v>
      </c>
    </row>
    <row r="20" ht="12.0" customHeight="1">
      <c r="A20" s="28" t="s">
        <v>84</v>
      </c>
      <c r="B20" s="24" t="str">
        <f>IFERROR(__xludf.DUMMYFUNCTION("IFERROR(IF(REGEXMATCH(REGEXEXTRACT(A20,""\bCRV\s*\d+(?:-\d+)+(?:-(?:A?BI|AI|BI))?\b""),""-(?:A?BI|AI|BI)$""),REGEXREPLACE(REGEXEXTRACT(A20,""\bCRV\s*\d+(?:-\d+)+(?:-(?:A?BI|AI|BI))?\b""),""-(A?BI|AI|BI)$"",""C$1""),REGEXEXTRACT(A20,""\bCRV\s*\d+(?:-\d+)+("&amp;"?:-(?:A?BI|AI|BI))?\b"")&amp;""C""),"""")"),"CRV 15-5C")</f>
        <v>CRV 15-5C</v>
      </c>
      <c r="C20" s="28">
        <v>1650.0</v>
      </c>
      <c r="D20" s="24">
        <f t="array" ref="D20">IFERROR(XLOOKUP($B20,CRV!$A:$A,CRV!$BA:$BA)+XLOOKUP($B20,CRV!$A:$A,CRV!$BB:$BB)+$O20,"")
</f>
        <v>957</v>
      </c>
      <c r="E20" s="28">
        <v>190.0</v>
      </c>
      <c r="F20" s="28">
        <v>585.0</v>
      </c>
      <c r="G20" s="28">
        <v>540.0</v>
      </c>
      <c r="H20" s="28">
        <v>1589.0</v>
      </c>
      <c r="I20" s="28">
        <v>1125.0</v>
      </c>
      <c r="J20" s="28">
        <v>1760.0</v>
      </c>
      <c r="K20" s="28">
        <v>427.0</v>
      </c>
      <c r="L20" s="28"/>
      <c r="M20" s="28"/>
      <c r="N20" s="28">
        <v>385.0</v>
      </c>
      <c r="O20" s="28">
        <v>100.0</v>
      </c>
      <c r="P20" s="28"/>
      <c r="Q20" s="29" t="s">
        <v>35</v>
      </c>
      <c r="R20" s="28">
        <v>1000.0</v>
      </c>
      <c r="S20" s="28">
        <v>800.0</v>
      </c>
      <c r="T20" s="28">
        <v>860.0</v>
      </c>
      <c r="U20" s="28">
        <v>450.0</v>
      </c>
      <c r="V20" s="24" t="str">
        <f>IFERROR(__xludf.DUMMYFUNCTION("IFERROR(REGEXEXTRACT(A20,""G2-B-(\d+)""),"""")"),"80")</f>
        <v>80</v>
      </c>
      <c r="W20" s="24">
        <f t="shared" si="1"/>
        <v>2</v>
      </c>
      <c r="X20" s="24">
        <f>IFERROR(__xludf.DUMMYFUNCTION("IFERROR(VALUE(REGEXEXTRACT(A20,""\b(\d+)/\d+\b"")),"""")"),1.0)</f>
        <v>1</v>
      </c>
      <c r="Y20" s="24">
        <f>IFERROR(__xludf.DUMMYFUNCTION("IFERROR(VALUE(REGEXEXTRACT(A20,""\b\d+/(\d+)\b"")),"""")
"),1.0)</f>
        <v>1</v>
      </c>
      <c r="Z20" s="24">
        <f t="array" ref="Z20">IFERROR(INDEX(CRV!BU:BU, MATCH(B20, CRV!A:A, 0)), "")</f>
        <v>4</v>
      </c>
      <c r="AA20" s="24">
        <f t="array" ref="AA20">IFERROR(INDEX(CRV!BV:BV, MATCH(B20, CRV!A:A, 0))*X20+4.5*2+7, "")</f>
        <v>23.8</v>
      </c>
      <c r="AB20" s="24" t="str">
        <f t="array" ref="AB20">IFERROR(IF(VALUE(XLOOKUP($B20,CRV!$A:$A,CRV!$BU:$BU))&lt;=5.5,"прямой пуск (DOL)","звезда-треугольник (SD)"),"")</f>
        <v>прямой пуск (DOL)</v>
      </c>
      <c r="AC20" s="25" t="str">
        <f t="array" ref="AC20">IFERROR(INDEX(CRV!CA:CA, MATCH(B20, CRV!A:A, 0)), "")</f>
        <v>HQQE</v>
      </c>
      <c r="AD20" s="29">
        <v>321.0</v>
      </c>
      <c r="AE20" s="28">
        <v>7.5211395E7</v>
      </c>
    </row>
    <row r="21" ht="12.0" customHeight="1">
      <c r="A21" s="28" t="s">
        <v>85</v>
      </c>
      <c r="B21" s="24" t="str">
        <f>IFERROR(__xludf.DUMMYFUNCTION("IFERROR(IF(REGEXMATCH(REGEXEXTRACT(A21,""\bCRV\s*\d+(?:-\d+)+(?:-(?:A?BI|AI|BI))?\b""),""-(?:A?BI|AI|BI)$""),REGEXREPLACE(REGEXEXTRACT(A21,""\bCRV\s*\d+(?:-\d+)+(?:-(?:A?BI|AI|BI))?\b""),""-(A?BI|AI|BI)$"",""C$1""),REGEXEXTRACT(A21,""\bCRV\s*\d+(?:-\d+)+("&amp;"?:-(?:A?BI|AI|BI))?\b"")&amp;""C""),"""")"),"CRV 15-6C")</f>
        <v>CRV 15-6C</v>
      </c>
      <c r="C21" s="28">
        <v>1650.0</v>
      </c>
      <c r="D21" s="24">
        <f t="array" ref="D21">IFERROR(XLOOKUP($B21,CRV!$A:$A,CRV!$BA:$BA)+XLOOKUP($B21,CRV!$A:$A,CRV!$BB:$BB)+$O21,"")
</f>
        <v>1083</v>
      </c>
      <c r="E21" s="28">
        <v>190.0</v>
      </c>
      <c r="F21" s="28">
        <v>585.0</v>
      </c>
      <c r="G21" s="28">
        <v>540.0</v>
      </c>
      <c r="H21" s="28">
        <v>1589.0</v>
      </c>
      <c r="I21" s="28">
        <v>1125.0</v>
      </c>
      <c r="J21" s="28">
        <v>1760.0</v>
      </c>
      <c r="K21" s="28">
        <v>427.0</v>
      </c>
      <c r="L21" s="28"/>
      <c r="M21" s="28"/>
      <c r="N21" s="28">
        <v>385.0</v>
      </c>
      <c r="O21" s="28">
        <v>100.0</v>
      </c>
      <c r="P21" s="28"/>
      <c r="Q21" s="29" t="s">
        <v>35</v>
      </c>
      <c r="R21" s="28">
        <v>1000.0</v>
      </c>
      <c r="S21" s="28">
        <v>800.0</v>
      </c>
      <c r="T21" s="28">
        <v>860.0</v>
      </c>
      <c r="U21" s="28">
        <v>450.0</v>
      </c>
      <c r="V21" s="24" t="str">
        <f>IFERROR(__xludf.DUMMYFUNCTION("IFERROR(REGEXEXTRACT(A21,""G2-B-(\d+)""),"""")"),"80")</f>
        <v>80</v>
      </c>
      <c r="W21" s="24">
        <f t="shared" si="1"/>
        <v>2</v>
      </c>
      <c r="X21" s="24">
        <f>IFERROR(__xludf.DUMMYFUNCTION("IFERROR(VALUE(REGEXEXTRACT(A21,""\b(\d+)/\d+\b"")),"""")"),1.0)</f>
        <v>1</v>
      </c>
      <c r="Y21" s="24">
        <f>IFERROR(__xludf.DUMMYFUNCTION("IFERROR(VALUE(REGEXEXTRACT(A21,""\b\d+/(\d+)\b"")),"""")
"),1.0)</f>
        <v>1</v>
      </c>
      <c r="Z21" s="24">
        <f t="array" ref="Z21">IFERROR(INDEX(CRV!BU:BU, MATCH(B21, CRV!A:A, 0)), "")</f>
        <v>5.5</v>
      </c>
      <c r="AA21" s="24">
        <f t="array" ref="AA21">IFERROR(INDEX(CRV!BV:BV, MATCH(B21, CRV!A:A, 0))*X21+4.5*2+7, "")</f>
        <v>26.6</v>
      </c>
      <c r="AB21" s="24" t="str">
        <f t="array" ref="AB21">IFERROR(IF(VALUE(XLOOKUP($B21,CRV!$A:$A,CRV!$BU:$BU))&lt;=5.5,"прямой пуск (DOL)","звезда-треугольник (SD)"),"")</f>
        <v>прямой пуск (DOL)</v>
      </c>
      <c r="AC21" s="25" t="str">
        <f t="array" ref="AC21">IFERROR(INDEX(CRV!CA:CA, MATCH(B21, CRV!A:A, 0)), "")</f>
        <v>HQQE</v>
      </c>
      <c r="AD21" s="29">
        <v>365.0</v>
      </c>
      <c r="AE21" s="28">
        <v>7.5211396E7</v>
      </c>
    </row>
    <row r="22" ht="12.0" customHeight="1">
      <c r="A22" s="28" t="s">
        <v>86</v>
      </c>
      <c r="B22" s="24" t="str">
        <f>IFERROR(__xludf.DUMMYFUNCTION("IFERROR(IF(REGEXMATCH(REGEXEXTRACT(A22,""\bCRV\s*\d+(?:-\d+)+(?:-(?:A?BI|AI|BI))?\b""),""-(?:A?BI|AI|BI)$""),REGEXREPLACE(REGEXEXTRACT(A22,""\bCRV\s*\d+(?:-\d+)+(?:-(?:A?BI|AI|BI))?\b""),""-(A?BI|AI|BI)$"",""C$1""),REGEXEXTRACT(A22,""\bCRV\s*\d+(?:-\d+)+("&amp;"?:-(?:A?BI|AI|BI))?\b"")&amp;""C""),"""")"),"CRV 15-7C")</f>
        <v>CRV 15-7C</v>
      </c>
      <c r="C22" s="28">
        <v>1650.0</v>
      </c>
      <c r="D22" s="24">
        <f t="array" ref="D22">IFERROR(XLOOKUP($B22,CRV!$A:$A,CRV!$BA:$BA)+XLOOKUP($B22,CRV!$A:$A,CRV!$BB:$BB)+$O22,"")
</f>
        <v>1128</v>
      </c>
      <c r="E22" s="28">
        <v>190.0</v>
      </c>
      <c r="F22" s="28">
        <v>585.0</v>
      </c>
      <c r="G22" s="28">
        <v>540.0</v>
      </c>
      <c r="H22" s="28">
        <v>1589.0</v>
      </c>
      <c r="I22" s="28">
        <v>1125.0</v>
      </c>
      <c r="J22" s="28">
        <v>1760.0</v>
      </c>
      <c r="K22" s="28">
        <v>427.0</v>
      </c>
      <c r="L22" s="28"/>
      <c r="M22" s="28"/>
      <c r="N22" s="28">
        <v>385.0</v>
      </c>
      <c r="O22" s="28">
        <v>100.0</v>
      </c>
      <c r="P22" s="28"/>
      <c r="Q22" s="29" t="s">
        <v>35</v>
      </c>
      <c r="R22" s="28">
        <v>1000.0</v>
      </c>
      <c r="S22" s="28">
        <v>800.0</v>
      </c>
      <c r="T22" s="28">
        <v>860.0</v>
      </c>
      <c r="U22" s="28">
        <v>450.0</v>
      </c>
      <c r="V22" s="24" t="str">
        <f>IFERROR(__xludf.DUMMYFUNCTION("IFERROR(REGEXEXTRACT(A22,""G2-B-(\d+)""),"""")"),"80")</f>
        <v>80</v>
      </c>
      <c r="W22" s="24">
        <f t="shared" si="1"/>
        <v>2</v>
      </c>
      <c r="X22" s="24">
        <f>IFERROR(__xludf.DUMMYFUNCTION("IFERROR(VALUE(REGEXEXTRACT(A22,""\b(\d+)/\d+\b"")),"""")"),1.0)</f>
        <v>1</v>
      </c>
      <c r="Y22" s="24">
        <f>IFERROR(__xludf.DUMMYFUNCTION("IFERROR(VALUE(REGEXEXTRACT(A22,""\b\d+/(\d+)\b"")),"""")
"),1.0)</f>
        <v>1</v>
      </c>
      <c r="Z22" s="24">
        <f t="array" ref="Z22">IFERROR(INDEX(CRV!BU:BU, MATCH(B22, CRV!A:A, 0)), "")</f>
        <v>5.5</v>
      </c>
      <c r="AA22" s="24">
        <f t="array" ref="AA22">IFERROR(INDEX(CRV!BV:BV, MATCH(B22, CRV!A:A, 0))*X22+4.5*2+7, "")</f>
        <v>26.6</v>
      </c>
      <c r="AB22" s="24" t="str">
        <f t="array" ref="AB22">IFERROR(IF(VALUE(XLOOKUP($B22,CRV!$A:$A,CRV!$BU:$BU))&lt;=5.5,"прямой пуск (DOL)","звезда-треугольник (SD)"),"")</f>
        <v>прямой пуск (DOL)</v>
      </c>
      <c r="AC22" s="25" t="str">
        <f t="array" ref="AC22">IFERROR(INDEX(CRV!CA:CA, MATCH(B22, CRV!A:A, 0)), "")</f>
        <v>HQQE</v>
      </c>
      <c r="AD22" s="29">
        <v>369.0</v>
      </c>
      <c r="AE22" s="28">
        <v>7.5211397E7</v>
      </c>
    </row>
    <row r="23" ht="12.0" customHeight="1">
      <c r="A23" s="28" t="s">
        <v>87</v>
      </c>
      <c r="B23" s="24" t="str">
        <f>IFERROR(__xludf.DUMMYFUNCTION("IFERROR(IF(REGEXMATCH(REGEXEXTRACT(A23,""\bCRV\s*\d+(?:-\d+)+(?:-(?:A?BI|AI|BI))?\b""),""-(?:A?BI|AI|BI)$""),REGEXREPLACE(REGEXEXTRACT(A23,""\bCRV\s*\d+(?:-\d+)+(?:-(?:A?BI|AI|BI))?\b""),""-(A?BI|AI|BI)$"",""C$1""),REGEXEXTRACT(A23,""\bCRV\s*\d+(?:-\d+)+("&amp;"?:-(?:A?BI|AI|BI))?\b"")&amp;""C""),"""")"),"CRV 15-8C")</f>
        <v>CRV 15-8C</v>
      </c>
      <c r="C23" s="28">
        <v>1650.0</v>
      </c>
      <c r="D23" s="24">
        <f t="array" ref="D23">IFERROR(XLOOKUP($B23,CRV!$A:$A,CRV!$BA:$BA)+XLOOKUP($B23,CRV!$A:$A,CRV!$BB:$BB)+$O23,"")
</f>
        <v>1211</v>
      </c>
      <c r="E23" s="28">
        <v>190.0</v>
      </c>
      <c r="F23" s="28">
        <v>585.0</v>
      </c>
      <c r="G23" s="28">
        <v>540.0</v>
      </c>
      <c r="H23" s="28">
        <v>1589.0</v>
      </c>
      <c r="I23" s="28">
        <v>1125.0</v>
      </c>
      <c r="J23" s="28">
        <v>1760.0</v>
      </c>
      <c r="K23" s="28">
        <v>427.0</v>
      </c>
      <c r="L23" s="28"/>
      <c r="M23" s="28"/>
      <c r="N23" s="28">
        <v>385.0</v>
      </c>
      <c r="O23" s="28">
        <v>100.0</v>
      </c>
      <c r="P23" s="28"/>
      <c r="Q23" s="29" t="s">
        <v>35</v>
      </c>
      <c r="R23" s="28">
        <v>1000.0</v>
      </c>
      <c r="S23" s="28">
        <v>800.0</v>
      </c>
      <c r="T23" s="28">
        <v>860.0</v>
      </c>
      <c r="U23" s="28">
        <v>450.0</v>
      </c>
      <c r="V23" s="24" t="str">
        <f>IFERROR(__xludf.DUMMYFUNCTION("IFERROR(REGEXEXTRACT(A23,""G2-B-(\d+)""),"""")"),"80")</f>
        <v>80</v>
      </c>
      <c r="W23" s="24">
        <f t="shared" si="1"/>
        <v>2</v>
      </c>
      <c r="X23" s="24">
        <f>IFERROR(__xludf.DUMMYFUNCTION("IFERROR(VALUE(REGEXEXTRACT(A23,""\b(\d+)/\d+\b"")),"""")"),1.0)</f>
        <v>1</v>
      </c>
      <c r="Y23" s="24">
        <f>IFERROR(__xludf.DUMMYFUNCTION("IFERROR(VALUE(REGEXEXTRACT(A23,""\b\d+/(\d+)\b"")),"""")
"),1.0)</f>
        <v>1</v>
      </c>
      <c r="Z23" s="24">
        <f t="array" ref="Z23">IFERROR(INDEX(CRV!BU:BU, MATCH(B23, CRV!A:A, 0)), "")</f>
        <v>7.5</v>
      </c>
      <c r="AA23" s="24">
        <f t="array" ref="AA23">IFERROR(INDEX(CRV!BV:BV, MATCH(B23, CRV!A:A, 0))*X23+4.5*2+7, "")</f>
        <v>30.4</v>
      </c>
      <c r="AB23" s="24" t="str">
        <f t="array" ref="AB23">IFERROR(IF(VALUE(XLOOKUP($B23,CRV!$A:$A,CRV!$BU:$BU))&lt;=5.5,"прямой пуск (DOL)","звезда-треугольник (SD)"),"")</f>
        <v>звезда-треугольник (SD)</v>
      </c>
      <c r="AC23" s="25" t="str">
        <f t="array" ref="AC23">IFERROR(INDEX(CRV!CA:CA, MATCH(B23, CRV!A:A, 0)), "")</f>
        <v>HQQE</v>
      </c>
      <c r="AD23" s="29">
        <v>377.0</v>
      </c>
      <c r="AE23" s="28">
        <v>7.5211398E7</v>
      </c>
    </row>
    <row r="24" ht="12.0" customHeight="1">
      <c r="A24" s="28" t="s">
        <v>88</v>
      </c>
      <c r="B24" s="24" t="str">
        <f>IFERROR(__xludf.DUMMYFUNCTION("IFERROR(IF(REGEXMATCH(REGEXEXTRACT(A24,""\bCRV\s*\d+(?:-\d+)+(?:-(?:A?BI|AI|BI))?\b""),""-(?:A?BI|AI|BI)$""),REGEXREPLACE(REGEXEXTRACT(A24,""\bCRV\s*\d+(?:-\d+)+(?:-(?:A?BI|AI|BI))?\b""),""-(A?BI|AI|BI)$"",""C$1""),REGEXEXTRACT(A24,""\bCRV\s*\d+(?:-\d+)+("&amp;"?:-(?:A?BI|AI|BI))?\b"")&amp;""C""),"""")"),"CRV 15-9C")</f>
        <v>CRV 15-9C</v>
      </c>
      <c r="C24" s="28">
        <v>1650.0</v>
      </c>
      <c r="D24" s="24">
        <f t="array" ref="D24">IFERROR(XLOOKUP($B24,CRV!$A:$A,CRV!$BA:$BA)+XLOOKUP($B24,CRV!$A:$A,CRV!$BB:$BB)+$O24,"")
</f>
        <v>1256</v>
      </c>
      <c r="E24" s="28">
        <v>190.0</v>
      </c>
      <c r="F24" s="28">
        <v>585.0</v>
      </c>
      <c r="G24" s="28">
        <v>540.0</v>
      </c>
      <c r="H24" s="28">
        <v>1589.0</v>
      </c>
      <c r="I24" s="28">
        <v>1125.0</v>
      </c>
      <c r="J24" s="28">
        <v>1760.0</v>
      </c>
      <c r="K24" s="28">
        <v>427.0</v>
      </c>
      <c r="L24" s="28"/>
      <c r="M24" s="28"/>
      <c r="N24" s="28">
        <v>385.0</v>
      </c>
      <c r="O24" s="28">
        <v>100.0</v>
      </c>
      <c r="P24" s="28"/>
      <c r="Q24" s="29" t="s">
        <v>35</v>
      </c>
      <c r="R24" s="28">
        <v>1000.0</v>
      </c>
      <c r="S24" s="28">
        <v>800.0</v>
      </c>
      <c r="T24" s="28">
        <v>860.0</v>
      </c>
      <c r="U24" s="28">
        <v>450.0</v>
      </c>
      <c r="V24" s="24" t="str">
        <f>IFERROR(__xludf.DUMMYFUNCTION("IFERROR(REGEXEXTRACT(A24,""G2-B-(\d+)""),"""")"),"80")</f>
        <v>80</v>
      </c>
      <c r="W24" s="24">
        <f t="shared" si="1"/>
        <v>2</v>
      </c>
      <c r="X24" s="24">
        <f>IFERROR(__xludf.DUMMYFUNCTION("IFERROR(VALUE(REGEXEXTRACT(A24,""\b(\d+)/\d+\b"")),"""")"),1.0)</f>
        <v>1</v>
      </c>
      <c r="Y24" s="24">
        <f>IFERROR(__xludf.DUMMYFUNCTION("IFERROR(VALUE(REGEXEXTRACT(A24,""\b\d+/(\d+)\b"")),"""")
"),1.0)</f>
        <v>1</v>
      </c>
      <c r="Z24" s="24">
        <f t="array" ref="Z24">IFERROR(INDEX(CRV!BU:BU, MATCH(B24, CRV!A:A, 0)), "")</f>
        <v>7.5</v>
      </c>
      <c r="AA24" s="24">
        <f t="array" ref="AA24">IFERROR(INDEX(CRV!BV:BV, MATCH(B24, CRV!A:A, 0))*X24+4.5*2+7, "")</f>
        <v>30.4</v>
      </c>
      <c r="AB24" s="24" t="str">
        <f t="array" ref="AB24">IFERROR(IF(VALUE(XLOOKUP($B24,CRV!$A:$A,CRV!$BU:$BU))&lt;=5.5,"прямой пуск (DOL)","звезда-треугольник (SD)"),"")</f>
        <v>звезда-треугольник (SD)</v>
      </c>
      <c r="AC24" s="25" t="str">
        <f t="array" ref="AC24">IFERROR(INDEX(CRV!CA:CA, MATCH(B24, CRV!A:A, 0)), "")</f>
        <v>HQQE</v>
      </c>
      <c r="AD24" s="29">
        <v>379.0</v>
      </c>
      <c r="AE24" s="28">
        <v>7.5211399E7</v>
      </c>
    </row>
    <row r="25" ht="12.0" customHeight="1">
      <c r="A25" s="28" t="s">
        <v>89</v>
      </c>
      <c r="B25" s="24" t="str">
        <f>IFERROR(__xludf.DUMMYFUNCTION("IFERROR(IF(REGEXMATCH(REGEXEXTRACT(A25,""\bCRV\s*\d+(?:-\d+)+(?:-(?:A?BI|AI|BI))?\b""),""-(?:A?BI|AI|BI)$""),REGEXREPLACE(REGEXEXTRACT(A25,""\bCRV\s*\d+(?:-\d+)+(?:-(?:A?BI|AI|BI))?\b""),""-(A?BI|AI|BI)$"",""C$1""),REGEXEXTRACT(A25,""\bCRV\s*\d+(?:-\d+)+("&amp;"?:-(?:A?BI|AI|BI))?\b"")&amp;""C""),"""")"),"CRV 15-10C")</f>
        <v>CRV 15-10C</v>
      </c>
      <c r="C25" s="28">
        <v>1650.0</v>
      </c>
      <c r="D25" s="24">
        <f t="array" ref="D25">IFERROR(XLOOKUP($B25,CRV!$A:$A,CRV!$BA:$BA)+XLOOKUP($B25,CRV!$A:$A,CRV!$BB:$BB)+$O25,"")
</f>
        <v>1417</v>
      </c>
      <c r="E25" s="28">
        <v>190.0</v>
      </c>
      <c r="F25" s="28">
        <v>585.0</v>
      </c>
      <c r="G25" s="28">
        <v>540.0</v>
      </c>
      <c r="H25" s="28">
        <v>1589.0</v>
      </c>
      <c r="I25" s="28">
        <v>1125.0</v>
      </c>
      <c r="J25" s="28">
        <v>1760.0</v>
      </c>
      <c r="K25" s="28">
        <v>427.0</v>
      </c>
      <c r="L25" s="28"/>
      <c r="M25" s="28"/>
      <c r="N25" s="28">
        <v>385.0</v>
      </c>
      <c r="O25" s="28">
        <v>100.0</v>
      </c>
      <c r="P25" s="28"/>
      <c r="Q25" s="29" t="s">
        <v>35</v>
      </c>
      <c r="R25" s="28">
        <v>1000.0</v>
      </c>
      <c r="S25" s="28">
        <v>800.0</v>
      </c>
      <c r="T25" s="28">
        <v>860.0</v>
      </c>
      <c r="U25" s="28">
        <v>450.0</v>
      </c>
      <c r="V25" s="24" t="str">
        <f>IFERROR(__xludf.DUMMYFUNCTION("IFERROR(REGEXEXTRACT(A25,""G2-B-(\d+)""),"""")"),"80")</f>
        <v>80</v>
      </c>
      <c r="W25" s="24">
        <f t="shared" si="1"/>
        <v>2</v>
      </c>
      <c r="X25" s="24">
        <f>IFERROR(__xludf.DUMMYFUNCTION("IFERROR(VALUE(REGEXEXTRACT(A25,""\b(\d+)/\d+\b"")),"""")"),1.0)</f>
        <v>1</v>
      </c>
      <c r="Y25" s="24">
        <f>IFERROR(__xludf.DUMMYFUNCTION("IFERROR(VALUE(REGEXEXTRACT(A25,""\b\d+/(\d+)\b"")),"""")
"),1.0)</f>
        <v>1</v>
      </c>
      <c r="Z25" s="24">
        <f t="array" ref="Z25">IFERROR(INDEX(CRV!BU:BU, MATCH(B25, CRV!A:A, 0)), "")</f>
        <v>11</v>
      </c>
      <c r="AA25" s="24">
        <f t="array" ref="AA25">IFERROR(INDEX(CRV!BV:BV, MATCH(B25, CRV!A:A, 0))*X25+4.5*2+7, "")</f>
        <v>36.6</v>
      </c>
      <c r="AB25" s="24" t="str">
        <f t="array" ref="AB25">IFERROR(IF(VALUE(XLOOKUP($B25,CRV!$A:$A,CRV!$BU:$BU))&lt;=5.5,"прямой пуск (DOL)","звезда-треугольник (SD)"),"")</f>
        <v>звезда-треугольник (SD)</v>
      </c>
      <c r="AC25" s="25" t="str">
        <f t="array" ref="AC25">IFERROR(INDEX(CRV!CA:CA, MATCH(B25, CRV!A:A, 0)), "")</f>
        <v>HQQE</v>
      </c>
      <c r="AD25" s="29">
        <v>465.0</v>
      </c>
      <c r="AE25" s="28">
        <v>7.52114E7</v>
      </c>
    </row>
    <row r="26" ht="12.0" customHeight="1">
      <c r="A26" s="29" t="s">
        <v>90</v>
      </c>
      <c r="B26" s="24" t="str">
        <f>IFERROR(__xludf.DUMMYFUNCTION("IFERROR(IF(REGEXMATCH(REGEXEXTRACT(A26,""\bCRV\s*\d+(?:-\d+)+(?:-(?:A?BI|AI|BI))?\b""),""-(?:A?BI|AI|BI)$""),REGEXREPLACE(REGEXEXTRACT(A26,""\bCRV\s*\d+(?:-\d+)+(?:-(?:A?BI|AI|BI))?\b""),""-(A?BI|AI|BI)$"",""C$1""),REGEXEXTRACT(A26,""\bCRV\s*\d+(?:-\d+)+("&amp;"?:-(?:A?BI|AI|BI))?\b"")&amp;""C""),"""")"),"CRV 15-12C")</f>
        <v>CRV 15-12C</v>
      </c>
      <c r="C26" s="28">
        <v>1650.0</v>
      </c>
      <c r="D26" s="24">
        <f t="array" ref="D26">IFERROR(XLOOKUP($B26,CRV!$A:$A,CRV!$BA:$BA)+XLOOKUP($B26,CRV!$A:$A,CRV!$BB:$BB)+$O26,"")
</f>
        <v>1507</v>
      </c>
      <c r="E26" s="28">
        <v>190.0</v>
      </c>
      <c r="F26" s="28">
        <v>585.0</v>
      </c>
      <c r="G26" s="28">
        <v>540.0</v>
      </c>
      <c r="H26" s="28">
        <v>1589.0</v>
      </c>
      <c r="I26" s="28">
        <v>1125.0</v>
      </c>
      <c r="J26" s="28">
        <v>1760.0</v>
      </c>
      <c r="K26" s="28">
        <v>427.0</v>
      </c>
      <c r="L26" s="28"/>
      <c r="M26" s="28"/>
      <c r="N26" s="28">
        <v>385.0</v>
      </c>
      <c r="O26" s="28">
        <v>100.0</v>
      </c>
      <c r="P26" s="28"/>
      <c r="Q26" s="29" t="s">
        <v>35</v>
      </c>
      <c r="R26" s="28">
        <v>1000.0</v>
      </c>
      <c r="S26" s="28">
        <v>800.0</v>
      </c>
      <c r="T26" s="28">
        <v>860.0</v>
      </c>
      <c r="U26" s="28">
        <v>450.0</v>
      </c>
      <c r="V26" s="24" t="str">
        <f>IFERROR(__xludf.DUMMYFUNCTION("IFERROR(REGEXEXTRACT(A26,""G2-B-(\d+)""),"""")"),"80")</f>
        <v>80</v>
      </c>
      <c r="W26" s="24">
        <f t="shared" si="1"/>
        <v>2</v>
      </c>
      <c r="X26" s="24">
        <f>IFERROR(__xludf.DUMMYFUNCTION("IFERROR(VALUE(REGEXEXTRACT(A26,""\b(\d+)/\d+\b"")),"""")"),1.0)</f>
        <v>1</v>
      </c>
      <c r="Y26" s="24">
        <f>IFERROR(__xludf.DUMMYFUNCTION("IFERROR(VALUE(REGEXEXTRACT(A26,""\b\d+/(\d+)\b"")),"""")
"),1.0)</f>
        <v>1</v>
      </c>
      <c r="Z26" s="24">
        <f t="array" ref="Z26">IFERROR(INDEX(CRV!BU:BU, MATCH(B26, CRV!A:A, 0)), "")</f>
        <v>11</v>
      </c>
      <c r="AA26" s="24">
        <f t="array" ref="AA26">IFERROR(INDEX(CRV!BV:BV, MATCH(B26, CRV!A:A, 0))*X26+4.5*2+7, "")</f>
        <v>36.6</v>
      </c>
      <c r="AB26" s="24" t="str">
        <f t="array" ref="AB26">IFERROR(IF(VALUE(XLOOKUP($B26,CRV!$A:$A,CRV!$BU:$BU))&lt;=5.5,"прямой пуск (DOL)","звезда-треугольник (SD)"),"")</f>
        <v>звезда-треугольник (SD)</v>
      </c>
      <c r="AC26" s="25" t="str">
        <f t="array" ref="AC26">IFERROR(INDEX(CRV!CA:CA, MATCH(B26, CRV!A:A, 0)), "")</f>
        <v>HQQE</v>
      </c>
      <c r="AD26" s="25">
        <f t="array" ref="AD26">IFERROR(AD25-W26*XLOOKUP($B25,CRV!$A:$A,CRV!$BY:$BY)+W26*XLOOKUP($B26,CRV!$A:$A,CRV!$BY:$BY),"ошибка")</f>
        <v>473</v>
      </c>
      <c r="AE26" s="25" t="s">
        <v>76</v>
      </c>
    </row>
    <row r="27" ht="12.0" customHeight="1">
      <c r="A27" s="29" t="s">
        <v>91</v>
      </c>
      <c r="B27" s="24" t="str">
        <f>IFERROR(__xludf.DUMMYFUNCTION("IFERROR(IF(REGEXMATCH(REGEXEXTRACT(A27,""\bCRV\s*\d+(?:-\d+)+(?:-(?:A?BI|AI|BI))?\b""),""-(?:A?BI|AI|BI)$""),REGEXREPLACE(REGEXEXTRACT(A27,""\bCRV\s*\d+(?:-\d+)+(?:-(?:A?BI|AI|BI))?\b""),""-(A?BI|AI|BI)$"",""C$1""),REGEXEXTRACT(A27,""\bCRV\s*\d+(?:-\d+)+("&amp;"?:-(?:A?BI|AI|BI))?\b"")&amp;""C""),"""")"),"CRV 15-14C")</f>
        <v>CRV 15-14C</v>
      </c>
      <c r="C27" s="28">
        <v>1650.0</v>
      </c>
      <c r="D27" s="24">
        <f t="array" ref="D27">IFERROR(XLOOKUP($B27,CRV!$A:$A,CRV!$BA:$BA)+XLOOKUP($B27,CRV!$A:$A,CRV!$BB:$BB)+$O27,"")
</f>
        <v>1597</v>
      </c>
      <c r="E27" s="28">
        <v>190.0</v>
      </c>
      <c r="F27" s="28">
        <v>585.0</v>
      </c>
      <c r="G27" s="28">
        <v>540.0</v>
      </c>
      <c r="H27" s="28">
        <v>1589.0</v>
      </c>
      <c r="I27" s="28">
        <v>1125.0</v>
      </c>
      <c r="J27" s="28">
        <v>1760.0</v>
      </c>
      <c r="K27" s="28">
        <v>427.0</v>
      </c>
      <c r="L27" s="28"/>
      <c r="M27" s="28"/>
      <c r="N27" s="28">
        <v>385.0</v>
      </c>
      <c r="O27" s="28">
        <v>100.0</v>
      </c>
      <c r="P27" s="28"/>
      <c r="Q27" s="29" t="s">
        <v>35</v>
      </c>
      <c r="R27" s="28">
        <v>1000.0</v>
      </c>
      <c r="S27" s="28">
        <v>800.0</v>
      </c>
      <c r="T27" s="28">
        <v>860.0</v>
      </c>
      <c r="U27" s="28">
        <v>450.0</v>
      </c>
      <c r="V27" s="24" t="str">
        <f>IFERROR(__xludf.DUMMYFUNCTION("IFERROR(REGEXEXTRACT(A27,""G2-B-(\d+)""),"""")"),"80")</f>
        <v>80</v>
      </c>
      <c r="W27" s="24">
        <f t="shared" si="1"/>
        <v>2</v>
      </c>
      <c r="X27" s="24">
        <f>IFERROR(__xludf.DUMMYFUNCTION("IFERROR(VALUE(REGEXEXTRACT(A27,""\b(\d+)/\d+\b"")),"""")"),1.0)</f>
        <v>1</v>
      </c>
      <c r="Y27" s="24">
        <f>IFERROR(__xludf.DUMMYFUNCTION("IFERROR(VALUE(REGEXEXTRACT(A27,""\b\d+/(\d+)\b"")),"""")
"),1.0)</f>
        <v>1</v>
      </c>
      <c r="Z27" s="24">
        <f t="array" ref="Z27">IFERROR(INDEX(CRV!BU:BU, MATCH(B27, CRV!A:A, 0)), "")</f>
        <v>11</v>
      </c>
      <c r="AA27" s="24">
        <f t="array" ref="AA27">IFERROR(INDEX(CRV!BV:BV, MATCH(B27, CRV!A:A, 0))*X27+4.5*2+7, "")</f>
        <v>36.6</v>
      </c>
      <c r="AB27" s="24" t="str">
        <f t="array" ref="AB27">IFERROR(IF(VALUE(XLOOKUP($B27,CRV!$A:$A,CRV!$BU:$BU))&lt;=5.5,"прямой пуск (DOL)","звезда-треугольник (SD)"),"")</f>
        <v>звезда-треугольник (SD)</v>
      </c>
      <c r="AC27" s="25" t="str">
        <f t="array" ref="AC27">IFERROR(INDEX(CRV!CA:CA, MATCH(B27, CRV!A:A, 0)), "")</f>
        <v>HQQE</v>
      </c>
      <c r="AD27" s="25">
        <f t="array" ref="AD27">IFERROR(AD26-W27*XLOOKUP($B26,CRV!$A:$A,CRV!$BY:$BY)+W27*XLOOKUP($B27,CRV!$A:$A,CRV!$BY:$BY),"ошибка")</f>
        <v>479</v>
      </c>
      <c r="AE27" s="25" t="s">
        <v>76</v>
      </c>
    </row>
    <row r="28" ht="12.0" customHeight="1">
      <c r="A28" s="29" t="s">
        <v>92</v>
      </c>
      <c r="B28" s="24" t="str">
        <f>IFERROR(__xludf.DUMMYFUNCTION("IFERROR(IF(REGEXMATCH(REGEXEXTRACT(A28,""\bCRV\s*\d+(?:-\d+)+(?:-(?:A?BI|AI|BI))?\b""),""-(?:A?BI|AI|BI)$""),REGEXREPLACE(REGEXEXTRACT(A28,""\bCRV\s*\d+(?:-\d+)+(?:-(?:A?BI|AI|BI))?\b""),""-(A?BI|AI|BI)$"",""C$1""),REGEXEXTRACT(A28,""\bCRV\s*\d+(?:-\d+)+("&amp;"?:-(?:A?BI|AI|BI))?\b"")&amp;""C""),"""")"),"CRV 15-17C")</f>
        <v>CRV 15-17C</v>
      </c>
      <c r="C28" s="28">
        <v>1650.0</v>
      </c>
      <c r="D28" s="24">
        <f t="array" ref="D28">IFERROR(XLOOKUP($B28,CRV!$A:$A,CRV!$BA:$BA)+XLOOKUP($B28,CRV!$A:$A,CRV!$BB:$BB)+$O28,"")
</f>
        <v>1773</v>
      </c>
      <c r="E28" s="28">
        <v>190.0</v>
      </c>
      <c r="F28" s="28">
        <v>585.0</v>
      </c>
      <c r="G28" s="28">
        <v>540.0</v>
      </c>
      <c r="H28" s="28">
        <v>1589.0</v>
      </c>
      <c r="I28" s="28">
        <v>1125.0</v>
      </c>
      <c r="J28" s="28">
        <v>1760.0</v>
      </c>
      <c r="K28" s="28">
        <v>427.0</v>
      </c>
      <c r="L28" s="28"/>
      <c r="M28" s="28"/>
      <c r="N28" s="28">
        <v>385.0</v>
      </c>
      <c r="O28" s="28">
        <v>100.0</v>
      </c>
      <c r="P28" s="28"/>
      <c r="Q28" s="29" t="s">
        <v>35</v>
      </c>
      <c r="R28" s="28">
        <v>1000.0</v>
      </c>
      <c r="S28" s="28">
        <v>800.0</v>
      </c>
      <c r="T28" s="28">
        <v>860.0</v>
      </c>
      <c r="U28" s="28">
        <v>450.0</v>
      </c>
      <c r="V28" s="24" t="str">
        <f>IFERROR(__xludf.DUMMYFUNCTION("IFERROR(REGEXEXTRACT(A28,""G2-B-(\d+)""),"""")"),"80")</f>
        <v>80</v>
      </c>
      <c r="W28" s="24">
        <f t="shared" si="1"/>
        <v>2</v>
      </c>
      <c r="X28" s="24">
        <f>IFERROR(__xludf.DUMMYFUNCTION("IFERROR(VALUE(REGEXEXTRACT(A28,""\b(\d+)/\d+\b"")),"""")"),1.0)</f>
        <v>1</v>
      </c>
      <c r="Y28" s="24">
        <f>IFERROR(__xludf.DUMMYFUNCTION("IFERROR(VALUE(REGEXEXTRACT(A28,""\b\d+/(\d+)\b"")),"""")
"),1.0)</f>
        <v>1</v>
      </c>
      <c r="Z28" s="24">
        <f t="array" ref="Z28">IFERROR(INDEX(CRV!BU:BU, MATCH(B28, CRV!A:A, 0)), "")</f>
        <v>15</v>
      </c>
      <c r="AA28" s="24">
        <f t="array" ref="AA28">IFERROR(INDEX(CRV!BV:BV, MATCH(B28, CRV!A:A, 0))*X28+4.5*2+7, "")</f>
        <v>43.9</v>
      </c>
      <c r="AB28" s="24" t="str">
        <f t="array" ref="AB28">IFERROR(IF(VALUE(XLOOKUP($B28,CRV!$A:$A,CRV!$BU:$BU))&lt;=5.5,"прямой пуск (DOL)","звезда-треугольник (SD)"),"")</f>
        <v>звезда-треугольник (SD)</v>
      </c>
      <c r="AC28" s="25" t="str">
        <f t="array" ref="AC28">IFERROR(INDEX(CRV!CA:CA, MATCH(B28, CRV!A:A, 0)), "")</f>
        <v>HQQE</v>
      </c>
      <c r="AD28" s="25">
        <f t="array" ref="AD28">IFERROR(AD27-W28*XLOOKUP($B27,CRV!$A:$A,CRV!$BY:$BY)+W28*XLOOKUP($B28,CRV!$A:$A,CRV!$BY:$BY),"ошибка")</f>
        <v>499</v>
      </c>
      <c r="AE28" s="25" t="s">
        <v>76</v>
      </c>
    </row>
    <row r="29" ht="12.0" customHeight="1">
      <c r="A29" s="24"/>
      <c r="B29" s="24" t="str">
        <f>IFERROR(__xludf.DUMMYFUNCTION("IFERROR(IF(REGEXMATCH(REGEXEXTRACT(A29,""\bCRV\s*\d+(?:-\d+)+(?:-(?:A?BI|AI|BI))?\b""),""-(?:A?BI|AI|BI)$""),REGEXREPLACE(REGEXEXTRACT(A29,""\bCRV\s*\d+(?:-\d+)+(?:-(?:A?BI|AI|BI))?\b""),""-(A?BI|AI|BI)$"",""C$1""),REGEXEXTRACT(A29,""\bCRV\s*\d+(?:-\d+)+("&amp;"?:-(?:A?BI|AI|BI))?\b"")&amp;""C""),"""")"),"")</f>
        <v/>
      </c>
      <c r="C29" s="24"/>
      <c r="D29" s="24" t="str">
        <f t="array" ref="D29">IFERROR(XLOOKUP($B29,CRV!$A:$A,CRV!$BA:$BA)+XLOOKUP($B29,CRV!$A:$A,CRV!$BB:$BB)+$O29,"")
</f>
        <v/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 t="str">
        <f>IFERROR(__xludf.DUMMYFUNCTION("IFERROR(REGEXEXTRACT(A29,""G2-B-(\d+)""),"""")"),"")</f>
        <v/>
      </c>
      <c r="W29" s="24" t="str">
        <f t="shared" si="1"/>
        <v/>
      </c>
      <c r="X29" s="24" t="str">
        <f>IFERROR(__xludf.DUMMYFUNCTION("IFERROR(VALUE(REGEXEXTRACT(A29,""\b(\d+)/\d+\b"")),"""")"),"")</f>
        <v/>
      </c>
      <c r="Y29" s="24" t="str">
        <f>IFERROR(__xludf.DUMMYFUNCTION("IFERROR(VALUE(REGEXEXTRACT(A29,""\b\d+/(\d+)\b"")),"""")
"),"")</f>
        <v/>
      </c>
      <c r="Z29" s="24" t="str">
        <f t="array" ref="Z29">IFERROR(INDEX(CRV!BU:BU, MATCH(B29, CRV!A:A, 0)), "")</f>
        <v/>
      </c>
      <c r="AA29" s="24" t="str">
        <f t="array" ref="AA29">IFERROR(INDEX(CRV!BV:BV, MATCH(B29, CRV!A:A, 0))*X29+4.5*2+7, "")</f>
        <v/>
      </c>
      <c r="AB29" s="24" t="str">
        <f t="array" ref="AB29">IFERROR(IF(VALUE(XLOOKUP($B29,CRV!$A:$A,CRV!$BU:$BU))&lt;=5.5,"прямой пуск (DOL)","звезда-треугольник (SD)"),"")</f>
        <v/>
      </c>
      <c r="AC29" s="25" t="str">
        <f t="array" ref="AC29">IFERROR(INDEX(CRV!CA:CA, MATCH(B29, CRV!A:A, 0)), "")</f>
        <v/>
      </c>
      <c r="AD29" s="25"/>
      <c r="AE29" s="24"/>
    </row>
    <row r="30" ht="12.0" customHeight="1">
      <c r="A30" s="24" t="s">
        <v>93</v>
      </c>
      <c r="B30" s="24" t="str">
        <f>IFERROR(__xludf.DUMMYFUNCTION("IFERROR(IF(REGEXMATCH(REGEXEXTRACT(A30,""\bCRV\s*\d+(?:-\d+)+(?:-(?:A?BI|AI|BI))?\b""),""-(?:A?BI|AI|BI)$""),REGEXREPLACE(REGEXEXTRACT(A30,""\bCRV\s*\d+(?:-\d+)+(?:-(?:A?BI|AI|BI))?\b""),""-(A?BI|AI|BI)$"",""C$1""),REGEXEXTRACT(A30,""\bCRV\s*\d+(?:-\d+)+("&amp;"?:-(?:A?BI|AI|BI))?\b"")&amp;""C""),"""")"),"CRV 20-1C")</f>
        <v>CRV 20-1C</v>
      </c>
      <c r="C30" s="24">
        <v>1650.0</v>
      </c>
      <c r="D30" s="24">
        <f t="array" ref="D30">IFERROR(XLOOKUP($B30,CRV!$A:$A,CRV!$BA:$BA)+XLOOKUP($B30,CRV!$A:$A,CRV!$BB:$BB)+$O30,"")
</f>
        <v>672</v>
      </c>
      <c r="E30" s="24">
        <v>190.0</v>
      </c>
      <c r="F30" s="24">
        <v>585.0</v>
      </c>
      <c r="G30" s="24">
        <v>540.0</v>
      </c>
      <c r="H30" s="24">
        <v>1589.0</v>
      </c>
      <c r="I30" s="24">
        <v>1125.0</v>
      </c>
      <c r="J30" s="24">
        <v>1760.0</v>
      </c>
      <c r="K30" s="24">
        <v>427.0</v>
      </c>
      <c r="L30" s="24"/>
      <c r="M30" s="24"/>
      <c r="N30" s="24">
        <v>385.0</v>
      </c>
      <c r="O30" s="24">
        <v>100.0</v>
      </c>
      <c r="P30" s="24"/>
      <c r="Q30" s="25" t="s">
        <v>35</v>
      </c>
      <c r="R30" s="24">
        <v>1000.0</v>
      </c>
      <c r="S30" s="24">
        <v>800.0</v>
      </c>
      <c r="T30" s="24">
        <v>860.0</v>
      </c>
      <c r="U30" s="24">
        <v>450.0</v>
      </c>
      <c r="V30" s="24" t="str">
        <f>IFERROR(__xludf.DUMMYFUNCTION("IFERROR(REGEXEXTRACT(A30,""G2-B-(\d+)""),"""")"),"80")</f>
        <v>80</v>
      </c>
      <c r="W30" s="24">
        <f t="shared" si="1"/>
        <v>2</v>
      </c>
      <c r="X30" s="24">
        <f>IFERROR(__xludf.DUMMYFUNCTION("IFERROR(VALUE(REGEXEXTRACT(A30,""\b(\d+)/\d+\b"")),"""")"),1.0)</f>
        <v>1</v>
      </c>
      <c r="Y30" s="24">
        <f>IFERROR(__xludf.DUMMYFUNCTION("IFERROR(VALUE(REGEXEXTRACT(A30,""\b\d+/(\d+)\b"")),"""")
"),1.0)</f>
        <v>1</v>
      </c>
      <c r="Z30" s="24">
        <f t="array" ref="Z30">IFERROR(INDEX(CRV!BU:BU, MATCH(B30, CRV!A:A, 0)), "")</f>
        <v>1.1</v>
      </c>
      <c r="AA30" s="24">
        <f t="array" ref="AA30">IFERROR(INDEX(CRV!BV:BV, MATCH(B30, CRV!A:A, 0))*X30+4.5*2+7, "")</f>
        <v>20.2</v>
      </c>
      <c r="AB30" s="24" t="str">
        <f t="array" ref="AB30">IFERROR(IF(VALUE(XLOOKUP($B30,CRV!$A:$A,CRV!$BU:$BU))&lt;=5.5,"прямой пуск (DOL)","звезда-треугольник (SD)"),"")</f>
        <v>прямой пуск (DOL)</v>
      </c>
      <c r="AC30" s="25" t="str">
        <f t="array" ref="AC30">IFERROR(INDEX(CRV!CA:CA, MATCH(B30, CRV!A:A, 0)), "")</f>
        <v>HQQE</v>
      </c>
      <c r="AD30" s="25">
        <v>249.0</v>
      </c>
      <c r="AE30" s="24">
        <v>7.5211373E7</v>
      </c>
    </row>
    <row r="31" ht="12.0" customHeight="1">
      <c r="A31" s="24" t="s">
        <v>94</v>
      </c>
      <c r="B31" s="24" t="str">
        <f>IFERROR(__xludf.DUMMYFUNCTION("IFERROR(IF(REGEXMATCH(REGEXEXTRACT(A31,""\bCRV\s*\d+(?:-\d+)+(?:-(?:A?BI|AI|BI))?\b""),""-(?:A?BI|AI|BI)$""),REGEXREPLACE(REGEXEXTRACT(A31,""\bCRV\s*\d+(?:-\d+)+(?:-(?:A?BI|AI|BI))?\b""),""-(A?BI|AI|BI)$"",""C$1""),REGEXEXTRACT(A31,""\bCRV\s*\d+(?:-\d+)+("&amp;"?:-(?:A?BI|AI|BI))?\b"")&amp;""C""),"""")"),"CRV 20-2C")</f>
        <v>CRV 20-2C</v>
      </c>
      <c r="C31" s="24">
        <v>1650.0</v>
      </c>
      <c r="D31" s="24">
        <f t="array" ref="D31">IFERROR(XLOOKUP($B31,CRV!$A:$A,CRV!$BA:$BA)+XLOOKUP($B31,CRV!$A:$A,CRV!$BB:$BB)+$O31,"")
</f>
        <v>769</v>
      </c>
      <c r="E31" s="24">
        <v>190.0</v>
      </c>
      <c r="F31" s="24">
        <v>585.0</v>
      </c>
      <c r="G31" s="24">
        <v>540.0</v>
      </c>
      <c r="H31" s="24">
        <v>1589.0</v>
      </c>
      <c r="I31" s="24">
        <v>1125.0</v>
      </c>
      <c r="J31" s="24">
        <v>1760.0</v>
      </c>
      <c r="K31" s="24">
        <v>427.0</v>
      </c>
      <c r="L31" s="24"/>
      <c r="M31" s="24"/>
      <c r="N31" s="24">
        <v>385.0</v>
      </c>
      <c r="O31" s="24">
        <v>100.0</v>
      </c>
      <c r="P31" s="24"/>
      <c r="Q31" s="25" t="s">
        <v>35</v>
      </c>
      <c r="R31" s="24">
        <v>1000.0</v>
      </c>
      <c r="S31" s="24">
        <v>800.0</v>
      </c>
      <c r="T31" s="24">
        <v>860.0</v>
      </c>
      <c r="U31" s="24">
        <v>450.0</v>
      </c>
      <c r="V31" s="24" t="str">
        <f>IFERROR(__xludf.DUMMYFUNCTION("IFERROR(REGEXEXTRACT(A31,""G2-B-(\d+)""),"""")"),"80")</f>
        <v>80</v>
      </c>
      <c r="W31" s="24">
        <f t="shared" si="1"/>
        <v>2</v>
      </c>
      <c r="X31" s="24">
        <f>IFERROR(__xludf.DUMMYFUNCTION("IFERROR(VALUE(REGEXEXTRACT(A31,""\b(\d+)/\d+\b"")),"""")"),1.0)</f>
        <v>1</v>
      </c>
      <c r="Y31" s="24">
        <f>IFERROR(__xludf.DUMMYFUNCTION("IFERROR(VALUE(REGEXEXTRACT(A31,""\b\d+/(\d+)\b"")),"""")
"),1.0)</f>
        <v>1</v>
      </c>
      <c r="Z31" s="24">
        <f t="array" ref="Z31">IFERROR(INDEX(CRV!BU:BU, MATCH(B31, CRV!A:A, 0)), "")</f>
        <v>2.2</v>
      </c>
      <c r="AA31" s="24">
        <f t="array" ref="AA31">IFERROR(INDEX(CRV!BV:BV, MATCH(B31, CRV!A:A, 0))*X31+4.5*2+7, "")</f>
        <v>23.9</v>
      </c>
      <c r="AB31" s="24" t="str">
        <f t="array" ref="AB31">IFERROR(IF(VALUE(XLOOKUP($B31,CRV!$A:$A,CRV!$BU:$BU))&lt;=5.5,"прямой пуск (DOL)","звезда-треугольник (SD)"),"")</f>
        <v>прямой пуск (DOL)</v>
      </c>
      <c r="AC31" s="25" t="str">
        <f t="array" ref="AC31">IFERROR(INDEX(CRV!CA:CA, MATCH(B31, CRV!A:A, 0)), "")</f>
        <v>HQQE</v>
      </c>
      <c r="AD31" s="25">
        <v>271.0</v>
      </c>
      <c r="AE31" s="24">
        <v>7.5211401E7</v>
      </c>
    </row>
    <row r="32" ht="12.0" customHeight="1">
      <c r="A32" s="24" t="s">
        <v>95</v>
      </c>
      <c r="B32" s="24" t="str">
        <f>IFERROR(__xludf.DUMMYFUNCTION("IFERROR(IF(REGEXMATCH(REGEXEXTRACT(A32,""\bCRV\s*\d+(?:-\d+)+(?:-(?:A?BI|AI|BI))?\b""),""-(?:A?BI|AI|BI)$""),REGEXREPLACE(REGEXEXTRACT(A32,""\bCRV\s*\d+(?:-\d+)+(?:-(?:A?BI|AI|BI))?\b""),""-(A?BI|AI|BI)$"",""C$1""),REGEXEXTRACT(A32,""\bCRV\s*\d+(?:-\d+)+("&amp;"?:-(?:A?BI|AI|BI))?\b"")&amp;""C""),"""")"),"CRV 20-3C")</f>
        <v>CRV 20-3C</v>
      </c>
      <c r="C32" s="24">
        <v>1650.0</v>
      </c>
      <c r="D32" s="24">
        <f t="array" ref="D32">IFERROR(XLOOKUP($B32,CRV!$A:$A,CRV!$BA:$BA)+XLOOKUP($B32,CRV!$A:$A,CRV!$BB:$BB)+$O32,"")
</f>
        <v>867</v>
      </c>
      <c r="E32" s="24">
        <v>190.0</v>
      </c>
      <c r="F32" s="24">
        <v>585.0</v>
      </c>
      <c r="G32" s="24">
        <v>540.0</v>
      </c>
      <c r="H32" s="24">
        <v>1589.0</v>
      </c>
      <c r="I32" s="24">
        <v>1125.0</v>
      </c>
      <c r="J32" s="24">
        <v>1760.0</v>
      </c>
      <c r="K32" s="24">
        <v>427.0</v>
      </c>
      <c r="L32" s="24"/>
      <c r="M32" s="24"/>
      <c r="N32" s="24">
        <v>385.0</v>
      </c>
      <c r="O32" s="24">
        <v>100.0</v>
      </c>
      <c r="P32" s="24"/>
      <c r="Q32" s="25" t="s">
        <v>35</v>
      </c>
      <c r="R32" s="24">
        <v>1000.0</v>
      </c>
      <c r="S32" s="24">
        <v>800.0</v>
      </c>
      <c r="T32" s="24">
        <v>860.0</v>
      </c>
      <c r="U32" s="24">
        <v>450.0</v>
      </c>
      <c r="V32" s="24" t="str">
        <f>IFERROR(__xludf.DUMMYFUNCTION("IFERROR(REGEXEXTRACT(A32,""G2-B-(\d+)""),"""")"),"80")</f>
        <v>80</v>
      </c>
      <c r="W32" s="24">
        <f t="shared" si="1"/>
        <v>2</v>
      </c>
      <c r="X32" s="24">
        <f>IFERROR(__xludf.DUMMYFUNCTION("IFERROR(VALUE(REGEXEXTRACT(A32,""\b(\d+)/\d+\b"")),"""")"),1.0)</f>
        <v>1</v>
      </c>
      <c r="Y32" s="24">
        <f>IFERROR(__xludf.DUMMYFUNCTION("IFERROR(VALUE(REGEXEXTRACT(A32,""\b\d+/(\d+)\b"")),"""")
"),1.0)</f>
        <v>1</v>
      </c>
      <c r="Z32" s="24">
        <f t="array" ref="Z32">IFERROR(INDEX(CRV!BU:BU, MATCH(B32, CRV!A:A, 0)), "")</f>
        <v>4</v>
      </c>
      <c r="AA32" s="24">
        <f t="array" ref="AA32">IFERROR(INDEX(CRV!BV:BV, MATCH(B32, CRV!A:A, 0))*X32+4.5*2+7, "")</f>
        <v>23.8</v>
      </c>
      <c r="AB32" s="24" t="str">
        <f t="array" ref="AB32">IFERROR(IF(VALUE(XLOOKUP($B32,CRV!$A:$A,CRV!$BU:$BU))&lt;=5.5,"прямой пуск (DOL)","звезда-треугольник (SD)"),"")</f>
        <v>прямой пуск (DOL)</v>
      </c>
      <c r="AC32" s="25" t="str">
        <f t="array" ref="AC32">IFERROR(INDEX(CRV!CA:CA, MATCH(B32, CRV!A:A, 0)), "")</f>
        <v>HQQE</v>
      </c>
      <c r="AD32" s="25">
        <v>299.0</v>
      </c>
      <c r="AE32" s="24">
        <v>7.5211374E7</v>
      </c>
    </row>
    <row r="33" ht="12.0" customHeight="1">
      <c r="A33" s="24" t="s">
        <v>96</v>
      </c>
      <c r="B33" s="24" t="str">
        <f>IFERROR(__xludf.DUMMYFUNCTION("IFERROR(IF(REGEXMATCH(REGEXEXTRACT(A33,""\bCRV\s*\d+(?:-\d+)+(?:-(?:A?BI|AI|BI))?\b""),""-(?:A?BI|AI|BI)$""),REGEXREPLACE(REGEXEXTRACT(A33,""\bCRV\s*\d+(?:-\d+)+(?:-(?:A?BI|AI|BI))?\b""),""-(A?BI|AI|BI)$"",""C$1""),REGEXEXTRACT(A33,""\bCRV\s*\d+(?:-\d+)+("&amp;"?:-(?:A?BI|AI|BI))?\b"")&amp;""C""),"""")"),"CRV 20-4C")</f>
        <v>CRV 20-4C</v>
      </c>
      <c r="C33" s="24">
        <v>1650.0</v>
      </c>
      <c r="D33" s="24">
        <f t="array" ref="D33">IFERROR(XLOOKUP($B33,CRV!$A:$A,CRV!$BA:$BA)+XLOOKUP($B33,CRV!$A:$A,CRV!$BB:$BB)+$O33,"")
</f>
        <v>993</v>
      </c>
      <c r="E33" s="24">
        <v>190.0</v>
      </c>
      <c r="F33" s="24">
        <v>585.0</v>
      </c>
      <c r="G33" s="24">
        <v>540.0</v>
      </c>
      <c r="H33" s="24">
        <v>1589.0</v>
      </c>
      <c r="I33" s="24">
        <v>1125.0</v>
      </c>
      <c r="J33" s="24">
        <v>1760.0</v>
      </c>
      <c r="K33" s="24">
        <v>427.0</v>
      </c>
      <c r="L33" s="24"/>
      <c r="M33" s="24"/>
      <c r="N33" s="24">
        <v>385.0</v>
      </c>
      <c r="O33" s="24">
        <v>100.0</v>
      </c>
      <c r="P33" s="24"/>
      <c r="Q33" s="25" t="s">
        <v>35</v>
      </c>
      <c r="R33" s="24">
        <v>1000.0</v>
      </c>
      <c r="S33" s="24">
        <v>800.0</v>
      </c>
      <c r="T33" s="24">
        <v>860.0</v>
      </c>
      <c r="U33" s="24">
        <v>450.0</v>
      </c>
      <c r="V33" s="24" t="str">
        <f>IFERROR(__xludf.DUMMYFUNCTION("IFERROR(REGEXEXTRACT(A33,""G2-B-(\d+)""),"""")"),"80")</f>
        <v>80</v>
      </c>
      <c r="W33" s="24">
        <f t="shared" si="1"/>
        <v>2</v>
      </c>
      <c r="X33" s="24">
        <f>IFERROR(__xludf.DUMMYFUNCTION("IFERROR(VALUE(REGEXEXTRACT(A33,""\b(\d+)/\d+\b"")),"""")"),1.0)</f>
        <v>1</v>
      </c>
      <c r="Y33" s="24">
        <f>IFERROR(__xludf.DUMMYFUNCTION("IFERROR(VALUE(REGEXEXTRACT(A33,""\b\d+/(\d+)\b"")),"""")
"),1.0)</f>
        <v>1</v>
      </c>
      <c r="Z33" s="24">
        <f t="array" ref="Z33">IFERROR(INDEX(CRV!BU:BU, MATCH(B33, CRV!A:A, 0)), "")</f>
        <v>5.5</v>
      </c>
      <c r="AA33" s="24">
        <f t="array" ref="AA33">IFERROR(INDEX(CRV!BV:BV, MATCH(B33, CRV!A:A, 0))*X33+4.5*2+7, "")</f>
        <v>26.6</v>
      </c>
      <c r="AB33" s="24" t="str">
        <f t="array" ref="AB33">IFERROR(IF(VALUE(XLOOKUP($B33,CRV!$A:$A,CRV!$BU:$BU))&lt;=5.5,"прямой пуск (DOL)","звезда-треугольник (SD)"),"")</f>
        <v>прямой пуск (DOL)</v>
      </c>
      <c r="AC33" s="25" t="str">
        <f t="array" ref="AC33">IFERROR(INDEX(CRV!CA:CA, MATCH(B33, CRV!A:A, 0)), "")</f>
        <v>HQQE</v>
      </c>
      <c r="AD33" s="25">
        <v>329.0</v>
      </c>
      <c r="AE33" s="24">
        <v>7.5211367E7</v>
      </c>
    </row>
    <row r="34" ht="12.0" customHeight="1">
      <c r="A34" s="24" t="s">
        <v>97</v>
      </c>
      <c r="B34" s="24" t="str">
        <f>IFERROR(__xludf.DUMMYFUNCTION("IFERROR(IF(REGEXMATCH(REGEXEXTRACT(A34,""\bCRV\s*\d+(?:-\d+)+(?:-(?:A?BI|AI|BI))?\b""),""-(?:A?BI|AI|BI)$""),REGEXREPLACE(REGEXEXTRACT(A34,""\bCRV\s*\d+(?:-\d+)+(?:-(?:A?BI|AI|BI))?\b""),""-(A?BI|AI|BI)$"",""C$1""),REGEXEXTRACT(A34,""\bCRV\s*\d+(?:-\d+)+("&amp;"?:-(?:A?BI|AI|BI))?\b"")&amp;""C""),"""")"),"CRV 20-5C")</f>
        <v>CRV 20-5C</v>
      </c>
      <c r="C34" s="24">
        <v>1650.0</v>
      </c>
      <c r="D34" s="24">
        <f t="array" ref="D34">IFERROR(XLOOKUP($B34,CRV!$A:$A,CRV!$BA:$BA)+XLOOKUP($B34,CRV!$A:$A,CRV!$BB:$BB)+$O34,"")
</f>
        <v>1038</v>
      </c>
      <c r="E34" s="24">
        <v>190.0</v>
      </c>
      <c r="F34" s="24">
        <v>585.0</v>
      </c>
      <c r="G34" s="24">
        <v>540.0</v>
      </c>
      <c r="H34" s="24">
        <v>1589.0</v>
      </c>
      <c r="I34" s="24">
        <v>1125.0</v>
      </c>
      <c r="J34" s="24">
        <v>1760.0</v>
      </c>
      <c r="K34" s="24">
        <v>427.0</v>
      </c>
      <c r="L34" s="24"/>
      <c r="M34" s="24"/>
      <c r="N34" s="24">
        <v>385.0</v>
      </c>
      <c r="O34" s="24">
        <v>100.0</v>
      </c>
      <c r="P34" s="24"/>
      <c r="Q34" s="25" t="s">
        <v>35</v>
      </c>
      <c r="R34" s="24">
        <v>1000.0</v>
      </c>
      <c r="S34" s="24">
        <v>800.0</v>
      </c>
      <c r="T34" s="24">
        <v>860.0</v>
      </c>
      <c r="U34" s="24">
        <v>450.0</v>
      </c>
      <c r="V34" s="24" t="str">
        <f>IFERROR(__xludf.DUMMYFUNCTION("IFERROR(REGEXEXTRACT(A34,""G2-B-(\d+)""),"""")"),"80")</f>
        <v>80</v>
      </c>
      <c r="W34" s="24">
        <f t="shared" si="1"/>
        <v>2</v>
      </c>
      <c r="X34" s="24">
        <f>IFERROR(__xludf.DUMMYFUNCTION("IFERROR(VALUE(REGEXEXTRACT(A34,""\b(\d+)/\d+\b"")),"""")"),1.0)</f>
        <v>1</v>
      </c>
      <c r="Y34" s="24">
        <f>IFERROR(__xludf.DUMMYFUNCTION("IFERROR(VALUE(REGEXEXTRACT(A34,""\b\d+/(\d+)\b"")),"""")
"),1.0)</f>
        <v>1</v>
      </c>
      <c r="Z34" s="24">
        <f t="array" ref="Z34">IFERROR(INDEX(CRV!BU:BU, MATCH(B34, CRV!A:A, 0)), "")</f>
        <v>5.5</v>
      </c>
      <c r="AA34" s="24">
        <f t="array" ref="AA34">IFERROR(INDEX(CRV!BV:BV, MATCH(B34, CRV!A:A, 0))*X34+4.5*2+7, "")</f>
        <v>26.6</v>
      </c>
      <c r="AB34" s="24" t="str">
        <f t="array" ref="AB34">IFERROR(IF(VALUE(XLOOKUP($B34,CRV!$A:$A,CRV!$BU:$BU))&lt;=5.5,"прямой пуск (DOL)","звезда-треугольник (SD)"),"")</f>
        <v>прямой пуск (DOL)</v>
      </c>
      <c r="AC34" s="25" t="str">
        <f t="array" ref="AC34">IFERROR(INDEX(CRV!CA:CA, MATCH(B34, CRV!A:A, 0)), "")</f>
        <v>HQQE</v>
      </c>
      <c r="AD34" s="25">
        <v>333.0</v>
      </c>
      <c r="AE34" s="24">
        <v>7.5211107E7</v>
      </c>
    </row>
    <row r="35" ht="12.0" customHeight="1">
      <c r="A35" s="24" t="s">
        <v>98</v>
      </c>
      <c r="B35" s="24" t="str">
        <f>IFERROR(__xludf.DUMMYFUNCTION("IFERROR(IF(REGEXMATCH(REGEXEXTRACT(A35,""\bCRV\s*\d+(?:-\d+)+(?:-(?:A?BI|AI|BI))?\b""),""-(?:A?BI|AI|BI)$""),REGEXREPLACE(REGEXEXTRACT(A35,""\bCRV\s*\d+(?:-\d+)+(?:-(?:A?BI|AI|BI))?\b""),""-(A?BI|AI|BI)$"",""C$1""),REGEXEXTRACT(A35,""\bCRV\s*\d+(?:-\d+)+("&amp;"?:-(?:A?BI|AI|BI))?\b"")&amp;""C""),"""")"),"CRV 20-6C")</f>
        <v>CRV 20-6C</v>
      </c>
      <c r="C35" s="24">
        <v>1650.0</v>
      </c>
      <c r="D35" s="24">
        <f t="array" ref="D35">IFERROR(XLOOKUP($B35,CRV!$A:$A,CRV!$BA:$BA)+XLOOKUP($B35,CRV!$A:$A,CRV!$BB:$BB)+$O35,"")
</f>
        <v>1121</v>
      </c>
      <c r="E35" s="24">
        <v>190.0</v>
      </c>
      <c r="F35" s="24">
        <v>585.0</v>
      </c>
      <c r="G35" s="24">
        <v>540.0</v>
      </c>
      <c r="H35" s="24">
        <v>1589.0</v>
      </c>
      <c r="I35" s="24">
        <v>1125.0</v>
      </c>
      <c r="J35" s="24">
        <v>1760.0</v>
      </c>
      <c r="K35" s="24">
        <v>427.0</v>
      </c>
      <c r="L35" s="24"/>
      <c r="M35" s="24"/>
      <c r="N35" s="24">
        <v>385.0</v>
      </c>
      <c r="O35" s="24">
        <v>100.0</v>
      </c>
      <c r="P35" s="24"/>
      <c r="Q35" s="25" t="s">
        <v>35</v>
      </c>
      <c r="R35" s="24">
        <v>1000.0</v>
      </c>
      <c r="S35" s="24">
        <v>800.0</v>
      </c>
      <c r="T35" s="24">
        <v>860.0</v>
      </c>
      <c r="U35" s="24">
        <v>450.0</v>
      </c>
      <c r="V35" s="24" t="str">
        <f>IFERROR(__xludf.DUMMYFUNCTION("IFERROR(REGEXEXTRACT(A35,""G2-B-(\d+)""),"""")"),"80")</f>
        <v>80</v>
      </c>
      <c r="W35" s="24">
        <f t="shared" si="1"/>
        <v>2</v>
      </c>
      <c r="X35" s="24">
        <f>IFERROR(__xludf.DUMMYFUNCTION("IFERROR(VALUE(REGEXEXTRACT(A35,""\b(\d+)/\d+\b"")),"""")"),1.0)</f>
        <v>1</v>
      </c>
      <c r="Y35" s="24">
        <f>IFERROR(__xludf.DUMMYFUNCTION("IFERROR(VALUE(REGEXEXTRACT(A35,""\b\d+/(\d+)\b"")),"""")
"),1.0)</f>
        <v>1</v>
      </c>
      <c r="Z35" s="24">
        <f t="array" ref="Z35">IFERROR(INDEX(CRV!BU:BU, MATCH(B35, CRV!A:A, 0)), "")</f>
        <v>7.5</v>
      </c>
      <c r="AA35" s="24">
        <f t="array" ref="AA35">IFERROR(INDEX(CRV!BV:BV, MATCH(B35, CRV!A:A, 0))*X35+4.5*2+7, "")</f>
        <v>30.4</v>
      </c>
      <c r="AB35" s="24" t="str">
        <f t="array" ref="AB35">IFERROR(IF(VALUE(XLOOKUP($B35,CRV!$A:$A,CRV!$BU:$BU))&lt;=5.5,"прямой пуск (DOL)","звезда-треугольник (SD)"),"")</f>
        <v>звезда-треугольник (SD)</v>
      </c>
      <c r="AC35" s="25" t="str">
        <f t="array" ref="AC35">IFERROR(INDEX(CRV!CA:CA, MATCH(B35, CRV!A:A, 0)), "")</f>
        <v>HQQE</v>
      </c>
      <c r="AD35" s="25">
        <v>349.0</v>
      </c>
      <c r="AE35" s="24">
        <v>7.5211402E7</v>
      </c>
    </row>
    <row r="36" ht="12.0" customHeight="1">
      <c r="A36" s="24" t="s">
        <v>99</v>
      </c>
      <c r="B36" s="24" t="str">
        <f>IFERROR(__xludf.DUMMYFUNCTION("IFERROR(IF(REGEXMATCH(REGEXEXTRACT(A36,""\bCRV\s*\d+(?:-\d+)+(?:-(?:A?BI|AI|BI))?\b""),""-(?:A?BI|AI|BI)$""),REGEXREPLACE(REGEXEXTRACT(A36,""\bCRV\s*\d+(?:-\d+)+(?:-(?:A?BI|AI|BI))?\b""),""-(A?BI|AI|BI)$"",""C$1""),REGEXEXTRACT(A36,""\bCRV\s*\d+(?:-\d+)+("&amp;"?:-(?:A?BI|AI|BI))?\b"")&amp;""C""),"""")"),"CRV 20-7C")</f>
        <v>CRV 20-7C</v>
      </c>
      <c r="C36" s="24">
        <v>1650.0</v>
      </c>
      <c r="D36" s="24">
        <f t="array" ref="D36">IFERROR(XLOOKUP($B36,CRV!$A:$A,CRV!$BA:$BA)+XLOOKUP($B36,CRV!$A:$A,CRV!$BB:$BB)+$O36,"")
</f>
        <v>1166</v>
      </c>
      <c r="E36" s="24">
        <v>190.0</v>
      </c>
      <c r="F36" s="24">
        <v>585.0</v>
      </c>
      <c r="G36" s="24">
        <v>540.0</v>
      </c>
      <c r="H36" s="24">
        <v>1589.0</v>
      </c>
      <c r="I36" s="24">
        <v>1125.0</v>
      </c>
      <c r="J36" s="24">
        <v>1760.0</v>
      </c>
      <c r="K36" s="24">
        <v>427.0</v>
      </c>
      <c r="L36" s="24"/>
      <c r="M36" s="24"/>
      <c r="N36" s="24">
        <v>385.0</v>
      </c>
      <c r="O36" s="24">
        <v>100.0</v>
      </c>
      <c r="P36" s="24"/>
      <c r="Q36" s="25" t="s">
        <v>35</v>
      </c>
      <c r="R36" s="24">
        <v>1000.0</v>
      </c>
      <c r="S36" s="24">
        <v>800.0</v>
      </c>
      <c r="T36" s="24">
        <v>860.0</v>
      </c>
      <c r="U36" s="24">
        <v>450.0</v>
      </c>
      <c r="V36" s="24" t="str">
        <f>IFERROR(__xludf.DUMMYFUNCTION("IFERROR(REGEXEXTRACT(A36,""G2-B-(\d+)""),"""")"),"80")</f>
        <v>80</v>
      </c>
      <c r="W36" s="24">
        <f t="shared" si="1"/>
        <v>2</v>
      </c>
      <c r="X36" s="24">
        <f>IFERROR(__xludf.DUMMYFUNCTION("IFERROR(VALUE(REGEXEXTRACT(A36,""\b(\d+)/\d+\b"")),"""")"),1.0)</f>
        <v>1</v>
      </c>
      <c r="Y36" s="24">
        <f>IFERROR(__xludf.DUMMYFUNCTION("IFERROR(VALUE(REGEXEXTRACT(A36,""\b\d+/(\d+)\b"")),"""")
"),1.0)</f>
        <v>1</v>
      </c>
      <c r="Z36" s="24">
        <f t="array" ref="Z36">IFERROR(INDEX(CRV!BU:BU, MATCH(B36, CRV!A:A, 0)), "")</f>
        <v>7.5</v>
      </c>
      <c r="AA36" s="24">
        <f t="array" ref="AA36">IFERROR(INDEX(CRV!BV:BV, MATCH(B36, CRV!A:A, 0))*X36+4.5*2+7, "")</f>
        <v>30.4</v>
      </c>
      <c r="AB36" s="24" t="str">
        <f t="array" ref="AB36">IFERROR(IF(VALUE(XLOOKUP($B36,CRV!$A:$A,CRV!$BU:$BU))&lt;=5.5,"прямой пуск (DOL)","звезда-треугольник (SD)"),"")</f>
        <v>звезда-треугольник (SD)</v>
      </c>
      <c r="AC36" s="25" t="str">
        <f t="array" ref="AC36">IFERROR(INDEX(CRV!CA:CA, MATCH(B36, CRV!A:A, 0)), "")</f>
        <v>HQQE</v>
      </c>
      <c r="AD36" s="25">
        <v>353.0</v>
      </c>
      <c r="AE36" s="24">
        <v>7.5211377E7</v>
      </c>
    </row>
    <row r="37" ht="12.0" customHeight="1">
      <c r="A37" s="24" t="s">
        <v>100</v>
      </c>
      <c r="B37" s="24" t="str">
        <f>IFERROR(__xludf.DUMMYFUNCTION("IFERROR(IF(REGEXMATCH(REGEXEXTRACT(A37,""\bCRV\s*\d+(?:-\d+)+(?:-(?:A?BI|AI|BI))?\b""),""-(?:A?BI|AI|BI)$""),REGEXREPLACE(REGEXEXTRACT(A37,""\bCRV\s*\d+(?:-\d+)+(?:-(?:A?BI|AI|BI))?\b""),""-(A?BI|AI|BI)$"",""C$1""),REGEXEXTRACT(A37,""\bCRV\s*\d+(?:-\d+)+("&amp;"?:-(?:A?BI|AI|BI))?\b"")&amp;""C""),"""")"),"CRV 20-8C")</f>
        <v>CRV 20-8C</v>
      </c>
      <c r="C37" s="24">
        <v>1650.0</v>
      </c>
      <c r="D37" s="24">
        <f t="array" ref="D37">IFERROR(XLOOKUP($B37,CRV!$A:$A,CRV!$BA:$BA)+XLOOKUP($B37,CRV!$A:$A,CRV!$BB:$BB)+$O37,"")
</f>
        <v>1327</v>
      </c>
      <c r="E37" s="24">
        <v>190.0</v>
      </c>
      <c r="F37" s="24">
        <v>585.0</v>
      </c>
      <c r="G37" s="24">
        <v>540.0</v>
      </c>
      <c r="H37" s="24">
        <v>1589.0</v>
      </c>
      <c r="I37" s="24">
        <v>1125.0</v>
      </c>
      <c r="J37" s="24">
        <v>1760.0</v>
      </c>
      <c r="K37" s="24">
        <v>427.0</v>
      </c>
      <c r="L37" s="24"/>
      <c r="M37" s="24"/>
      <c r="N37" s="24">
        <v>385.0</v>
      </c>
      <c r="O37" s="24">
        <v>100.0</v>
      </c>
      <c r="P37" s="24"/>
      <c r="Q37" s="25" t="s">
        <v>35</v>
      </c>
      <c r="R37" s="24">
        <v>1000.0</v>
      </c>
      <c r="S37" s="24">
        <v>800.0</v>
      </c>
      <c r="T37" s="24">
        <v>860.0</v>
      </c>
      <c r="U37" s="24">
        <v>450.0</v>
      </c>
      <c r="V37" s="24" t="str">
        <f>IFERROR(__xludf.DUMMYFUNCTION("IFERROR(REGEXEXTRACT(A37,""G2-B-(\d+)""),"""")"),"80")</f>
        <v>80</v>
      </c>
      <c r="W37" s="24">
        <f t="shared" si="1"/>
        <v>2</v>
      </c>
      <c r="X37" s="24">
        <f>IFERROR(__xludf.DUMMYFUNCTION("IFERROR(VALUE(REGEXEXTRACT(A37,""\b(\d+)/\d+\b"")),"""")"),1.0)</f>
        <v>1</v>
      </c>
      <c r="Y37" s="24">
        <f>IFERROR(__xludf.DUMMYFUNCTION("IFERROR(VALUE(REGEXEXTRACT(A37,""\b\d+/(\d+)\b"")),"""")
"),1.0)</f>
        <v>1</v>
      </c>
      <c r="Z37" s="24">
        <f t="array" ref="Z37">IFERROR(INDEX(CRV!BU:BU, MATCH(B37, CRV!A:A, 0)), "")</f>
        <v>11</v>
      </c>
      <c r="AA37" s="24">
        <f t="array" ref="AA37">IFERROR(INDEX(CRV!BV:BV, MATCH(B37, CRV!A:A, 0))*X37+4.5*2+7, "")</f>
        <v>36.6</v>
      </c>
      <c r="AB37" s="24" t="str">
        <f t="array" ref="AB37">IFERROR(IF(VALUE(XLOOKUP($B37,CRV!$A:$A,CRV!$BU:$BU))&lt;=5.5,"прямой пуск (DOL)","звезда-треугольник (SD)"),"")</f>
        <v>звезда-треугольник (SD)</v>
      </c>
      <c r="AC37" s="25" t="str">
        <f t="array" ref="AC37">IFERROR(INDEX(CRV!CA:CA, MATCH(B37, CRV!A:A, 0)), "")</f>
        <v>HQQE</v>
      </c>
      <c r="AD37" s="25">
        <v>465.0</v>
      </c>
      <c r="AE37" s="24">
        <v>7.5211403E7</v>
      </c>
    </row>
    <row r="38" ht="12.0" customHeight="1">
      <c r="A38" s="24" t="s">
        <v>101</v>
      </c>
      <c r="B38" s="24" t="str">
        <f>IFERROR(__xludf.DUMMYFUNCTION("IFERROR(IF(REGEXMATCH(REGEXEXTRACT(A38,""\bCRV\s*\d+(?:-\d+)+(?:-(?:A?BI|AI|BI))?\b""),""-(?:A?BI|AI|BI)$""),REGEXREPLACE(REGEXEXTRACT(A38,""\bCRV\s*\d+(?:-\d+)+(?:-(?:A?BI|AI|BI))?\b""),""-(A?BI|AI|BI)$"",""C$1""),REGEXEXTRACT(A38,""\bCRV\s*\d+(?:-\d+)+("&amp;"?:-(?:A?BI|AI|BI))?\b"")&amp;""C""),"""")"),"CRV 20-10C")</f>
        <v>CRV 20-10C</v>
      </c>
      <c r="C38" s="24">
        <v>1650.0</v>
      </c>
      <c r="D38" s="24">
        <f t="array" ref="D38">IFERROR(XLOOKUP($B38,CRV!$A:$A,CRV!$BA:$BA)+XLOOKUP($B38,CRV!$A:$A,CRV!$BB:$BB)+$O38,"")
</f>
        <v>1417</v>
      </c>
      <c r="E38" s="24">
        <v>190.0</v>
      </c>
      <c r="F38" s="24">
        <v>585.0</v>
      </c>
      <c r="G38" s="24">
        <v>540.0</v>
      </c>
      <c r="H38" s="24">
        <v>1589.0</v>
      </c>
      <c r="I38" s="24">
        <v>1125.0</v>
      </c>
      <c r="J38" s="24">
        <v>1760.0</v>
      </c>
      <c r="K38" s="24">
        <v>427.0</v>
      </c>
      <c r="L38" s="24"/>
      <c r="M38" s="24"/>
      <c r="N38" s="24">
        <v>385.0</v>
      </c>
      <c r="O38" s="24">
        <v>100.0</v>
      </c>
      <c r="P38" s="24"/>
      <c r="Q38" s="25" t="s">
        <v>35</v>
      </c>
      <c r="R38" s="24">
        <v>1000.0</v>
      </c>
      <c r="S38" s="24">
        <v>800.0</v>
      </c>
      <c r="T38" s="24">
        <v>860.0</v>
      </c>
      <c r="U38" s="24">
        <v>450.0</v>
      </c>
      <c r="V38" s="24" t="str">
        <f>IFERROR(__xludf.DUMMYFUNCTION("IFERROR(REGEXEXTRACT(A38,""G2-B-(\d+)""),"""")"),"80")</f>
        <v>80</v>
      </c>
      <c r="W38" s="24">
        <f t="shared" si="1"/>
        <v>2</v>
      </c>
      <c r="X38" s="24">
        <f>IFERROR(__xludf.DUMMYFUNCTION("IFERROR(VALUE(REGEXEXTRACT(A38,""\b(\d+)/\d+\b"")),"""")"),1.0)</f>
        <v>1</v>
      </c>
      <c r="Y38" s="24">
        <f>IFERROR(__xludf.DUMMYFUNCTION("IFERROR(VALUE(REGEXEXTRACT(A38,""\b\d+/(\d+)\b"")),"""")
"),1.0)</f>
        <v>1</v>
      </c>
      <c r="Z38" s="24">
        <f t="array" ref="Z38">IFERROR(INDEX(CRV!BU:BU, MATCH(B38, CRV!A:A, 0)), "")</f>
        <v>11</v>
      </c>
      <c r="AA38" s="24">
        <f t="array" ref="AA38">IFERROR(INDEX(CRV!BV:BV, MATCH(B38, CRV!A:A, 0))*X38+4.5*2+7, "")</f>
        <v>36.6</v>
      </c>
      <c r="AB38" s="24" t="str">
        <f t="array" ref="AB38">IFERROR(IF(VALUE(XLOOKUP($B38,CRV!$A:$A,CRV!$BU:$BU))&lt;=5.5,"прямой пуск (DOL)","звезда-треугольник (SD)"),"")</f>
        <v>звезда-треугольник (SD)</v>
      </c>
      <c r="AC38" s="25" t="str">
        <f t="array" ref="AC38">IFERROR(INDEX(CRV!CA:CA, MATCH(B38, CRV!A:A, 0)), "")</f>
        <v>HQQE</v>
      </c>
      <c r="AD38" s="25">
        <v>475.0</v>
      </c>
      <c r="AE38" s="24">
        <v>7.5211404E7</v>
      </c>
    </row>
    <row r="39" ht="12.0" customHeight="1">
      <c r="A39" s="25" t="s">
        <v>102</v>
      </c>
      <c r="B39" s="24" t="str">
        <f>IFERROR(__xludf.DUMMYFUNCTION("IFERROR(IF(REGEXMATCH(REGEXEXTRACT(A39,""\bCRV\s*\d+(?:-\d+)+(?:-(?:A?BI|AI|BI))?\b""),""-(?:A?BI|AI|BI)$""),REGEXREPLACE(REGEXEXTRACT(A39,""\bCRV\s*\d+(?:-\d+)+(?:-(?:A?BI|AI|BI))?\b""),""-(A?BI|AI|BI)$"",""C$1""),REGEXEXTRACT(A39,""\bCRV\s*\d+(?:-\d+)+("&amp;"?:-(?:A?BI|AI|BI))?\b"")&amp;""C""),"""")"),"CRV 20-12C")</f>
        <v>CRV 20-12C</v>
      </c>
      <c r="C39" s="24">
        <v>1650.0</v>
      </c>
      <c r="D39" s="24">
        <f t="array" ref="D39">IFERROR(XLOOKUP($B39,CRV!$A:$A,CRV!$BA:$BA)+XLOOKUP($B39,CRV!$A:$A,CRV!$BB:$BB)+$O39,"")
</f>
        <v>1548</v>
      </c>
      <c r="E39" s="24">
        <v>190.0</v>
      </c>
      <c r="F39" s="24">
        <v>585.0</v>
      </c>
      <c r="G39" s="24">
        <v>540.0</v>
      </c>
      <c r="H39" s="24">
        <v>1589.0</v>
      </c>
      <c r="I39" s="24">
        <v>1125.0</v>
      </c>
      <c r="J39" s="24">
        <v>1760.0</v>
      </c>
      <c r="K39" s="24">
        <v>427.0</v>
      </c>
      <c r="L39" s="24"/>
      <c r="M39" s="24"/>
      <c r="N39" s="24">
        <v>385.0</v>
      </c>
      <c r="O39" s="24">
        <v>100.0</v>
      </c>
      <c r="P39" s="24"/>
      <c r="Q39" s="25" t="s">
        <v>35</v>
      </c>
      <c r="R39" s="24">
        <v>1000.0</v>
      </c>
      <c r="S39" s="24">
        <v>800.0</v>
      </c>
      <c r="T39" s="24">
        <v>860.0</v>
      </c>
      <c r="U39" s="24">
        <v>450.0</v>
      </c>
      <c r="V39" s="24" t="str">
        <f>IFERROR(__xludf.DUMMYFUNCTION("IFERROR(REGEXEXTRACT(A39,""G2-B-(\d+)""),"""")"),"80")</f>
        <v>80</v>
      </c>
      <c r="W39" s="24">
        <f t="shared" si="1"/>
        <v>2</v>
      </c>
      <c r="X39" s="24">
        <f>IFERROR(__xludf.DUMMYFUNCTION("IFERROR(VALUE(REGEXEXTRACT(A39,""\b(\d+)/\d+\b"")),"""")"),1.0)</f>
        <v>1</v>
      </c>
      <c r="Y39" s="24">
        <f>IFERROR(__xludf.DUMMYFUNCTION("IFERROR(VALUE(REGEXEXTRACT(A39,""\b\d+/(\d+)\b"")),"""")
"),1.0)</f>
        <v>1</v>
      </c>
      <c r="Z39" s="24">
        <f t="array" ref="Z39">IFERROR(INDEX(CRV!BU:BU, MATCH(B39, CRV!A:A, 0)), "")</f>
        <v>15</v>
      </c>
      <c r="AA39" s="24">
        <f t="array" ref="AA39">IFERROR(INDEX(CRV!BV:BV, MATCH(B39, CRV!A:A, 0))*X39+4.5*2+7, "")</f>
        <v>43.9</v>
      </c>
      <c r="AB39" s="24" t="str">
        <f t="array" ref="AB39">IFERROR(IF(VALUE(XLOOKUP($B39,CRV!$A:$A,CRV!$BU:$BU))&lt;=5.5,"прямой пуск (DOL)","звезда-треугольник (SD)"),"")</f>
        <v>звезда-треугольник (SD)</v>
      </c>
      <c r="AC39" s="25" t="str">
        <f t="array" ref="AC39">IFERROR(INDEX(CRV!CA:CA, MATCH(B39, CRV!A:A, 0)), "")</f>
        <v>HQQE</v>
      </c>
      <c r="AD39" s="25">
        <f t="array" ref="AD39">IFERROR(AD38-W39*XLOOKUP($B38,CRV!$A:$A,CRV!$BY:$BY)+W39*XLOOKUP($B39,CRV!$A:$A,CRV!$BY:$BY),"ошибка")</f>
        <v>505</v>
      </c>
      <c r="AE39" s="25" t="s">
        <v>76</v>
      </c>
    </row>
    <row r="40" ht="12.0" customHeight="1">
      <c r="A40" s="25" t="s">
        <v>103</v>
      </c>
      <c r="B40" s="24" t="str">
        <f>IFERROR(__xludf.DUMMYFUNCTION("IFERROR(IF(REGEXMATCH(REGEXEXTRACT(A40,""\bCRV\s*\d+(?:-\d+)+(?:-(?:A?BI|AI|BI))?\b""),""-(?:A?BI|AI|BI)$""),REGEXREPLACE(REGEXEXTRACT(A40,""\bCRV\s*\d+(?:-\d+)+(?:-(?:A?BI|AI|BI))?\b""),""-(A?BI|AI|BI)$"",""C$1""),REGEXEXTRACT(A40,""\bCRV\s*\d+(?:-\d+)+("&amp;"?:-(?:A?BI|AI|BI))?\b"")&amp;""C""),"""")"),"CRV 20-14C")</f>
        <v>CRV 20-14C</v>
      </c>
      <c r="C40" s="24">
        <v>1650.0</v>
      </c>
      <c r="D40" s="24">
        <f t="array" ref="D40">IFERROR(XLOOKUP($B40,CRV!$A:$A,CRV!$BA:$BA)+XLOOKUP($B40,CRV!$A:$A,CRV!$BB:$BB)+$O40,"")
</f>
        <v>1638</v>
      </c>
      <c r="E40" s="24">
        <v>190.0</v>
      </c>
      <c r="F40" s="24">
        <v>585.0</v>
      </c>
      <c r="G40" s="24">
        <v>540.0</v>
      </c>
      <c r="H40" s="24">
        <v>1589.0</v>
      </c>
      <c r="I40" s="24">
        <v>1125.0</v>
      </c>
      <c r="J40" s="24">
        <v>1760.0</v>
      </c>
      <c r="K40" s="24">
        <v>427.0</v>
      </c>
      <c r="L40" s="24"/>
      <c r="M40" s="24"/>
      <c r="N40" s="24">
        <v>385.0</v>
      </c>
      <c r="O40" s="24">
        <v>100.0</v>
      </c>
      <c r="P40" s="24"/>
      <c r="Q40" s="25" t="s">
        <v>35</v>
      </c>
      <c r="R40" s="24">
        <v>1000.0</v>
      </c>
      <c r="S40" s="24">
        <v>800.0</v>
      </c>
      <c r="T40" s="24">
        <v>860.0</v>
      </c>
      <c r="U40" s="24">
        <v>450.0</v>
      </c>
      <c r="V40" s="24" t="str">
        <f>IFERROR(__xludf.DUMMYFUNCTION("IFERROR(REGEXEXTRACT(A40,""G2-B-(\d+)""),"""")"),"80")</f>
        <v>80</v>
      </c>
      <c r="W40" s="24">
        <f t="shared" si="1"/>
        <v>2</v>
      </c>
      <c r="X40" s="24">
        <f>IFERROR(__xludf.DUMMYFUNCTION("IFERROR(VALUE(REGEXEXTRACT(A40,""\b(\d+)/\d+\b"")),"""")"),1.0)</f>
        <v>1</v>
      </c>
      <c r="Y40" s="24">
        <f>IFERROR(__xludf.DUMMYFUNCTION("IFERROR(VALUE(REGEXEXTRACT(A40,""\b\d+/(\d+)\b"")),"""")
"),1.0)</f>
        <v>1</v>
      </c>
      <c r="Z40" s="24">
        <f t="array" ref="Z40">IFERROR(INDEX(CRV!BU:BU, MATCH(B40, CRV!A:A, 0)), "")</f>
        <v>15</v>
      </c>
      <c r="AA40" s="24">
        <f t="array" ref="AA40">IFERROR(INDEX(CRV!BV:BV, MATCH(B40, CRV!A:A, 0))*X40+4.5*2+7, "")</f>
        <v>43.9</v>
      </c>
      <c r="AB40" s="24" t="str">
        <f t="array" ref="AB40">IFERROR(IF(VALUE(XLOOKUP($B40,CRV!$A:$A,CRV!$BU:$BU))&lt;=5.5,"прямой пуск (DOL)","звезда-треугольник (SD)"),"")</f>
        <v>звезда-треугольник (SD)</v>
      </c>
      <c r="AC40" s="25" t="str">
        <f t="array" ref="AC40">IFERROR(INDEX(CRV!CA:CA, MATCH(B40, CRV!A:A, 0)), "")</f>
        <v>HQQE</v>
      </c>
      <c r="AD40" s="25">
        <f t="array" ref="AD40">IFERROR(AD39-W40*XLOOKUP($B39,CRV!$A:$A,CRV!$BY:$BY)+W40*XLOOKUP($B40,CRV!$A:$A,CRV!$BY:$BY),"ошибка")</f>
        <v>515</v>
      </c>
      <c r="AE40" s="25" t="s">
        <v>76</v>
      </c>
    </row>
    <row r="41" ht="12.0" customHeight="1">
      <c r="A41" s="25" t="s">
        <v>104</v>
      </c>
      <c r="B41" s="24" t="str">
        <f>IFERROR(__xludf.DUMMYFUNCTION("IFERROR(IF(REGEXMATCH(REGEXEXTRACT(A41,""\bCRV\s*\d+(?:-\d+)+(?:-(?:A?BI|AI|BI))?\b""),""-(?:A?BI|AI|BI)$""),REGEXREPLACE(REGEXEXTRACT(A41,""\bCRV\s*\d+(?:-\d+)+(?:-(?:A?BI|AI|BI))?\b""),""-(A?BI|AI|BI)$"",""C$1""),REGEXEXTRACT(A41,""\bCRV\s*\d+(?:-\d+)+("&amp;"?:-(?:A?BI|AI|BI))?\b"")&amp;""C""),"""")"),"CRV 20-17C")</f>
        <v>CRV 20-17C</v>
      </c>
      <c r="C41" s="24">
        <v>1650.0</v>
      </c>
      <c r="D41" s="24">
        <f t="array" ref="D41">IFERROR(XLOOKUP($B41,CRV!$A:$A,CRV!$BA:$BA)+XLOOKUP($B41,CRV!$A:$A,CRV!$BB:$BB)+$O41,"")
</f>
        <v>1826</v>
      </c>
      <c r="E41" s="24">
        <v>190.0</v>
      </c>
      <c r="F41" s="24">
        <v>585.0</v>
      </c>
      <c r="G41" s="24">
        <v>540.0</v>
      </c>
      <c r="H41" s="24">
        <v>1589.0</v>
      </c>
      <c r="I41" s="24">
        <v>1125.0</v>
      </c>
      <c r="J41" s="24">
        <v>1760.0</v>
      </c>
      <c r="K41" s="24">
        <v>427.0</v>
      </c>
      <c r="L41" s="24"/>
      <c r="M41" s="24"/>
      <c r="N41" s="24">
        <v>385.0</v>
      </c>
      <c r="O41" s="24">
        <v>100.0</v>
      </c>
      <c r="P41" s="24"/>
      <c r="Q41" s="25" t="s">
        <v>35</v>
      </c>
      <c r="R41" s="24">
        <v>1000.0</v>
      </c>
      <c r="S41" s="24">
        <v>800.0</v>
      </c>
      <c r="T41" s="24">
        <v>860.0</v>
      </c>
      <c r="U41" s="24">
        <v>450.0</v>
      </c>
      <c r="V41" s="24" t="str">
        <f>IFERROR(__xludf.DUMMYFUNCTION("IFERROR(REGEXEXTRACT(A41,""G2-B-(\d+)""),"""")"),"80")</f>
        <v>80</v>
      </c>
      <c r="W41" s="24">
        <f t="shared" si="1"/>
        <v>2</v>
      </c>
      <c r="X41" s="24">
        <f>IFERROR(__xludf.DUMMYFUNCTION("IFERROR(VALUE(REGEXEXTRACT(A41,""\b(\d+)/\d+\b"")),"""")"),1.0)</f>
        <v>1</v>
      </c>
      <c r="Y41" s="24">
        <f>IFERROR(__xludf.DUMMYFUNCTION("IFERROR(VALUE(REGEXEXTRACT(A41,""\b\d+/(\d+)\b"")),"""")
"),1.0)</f>
        <v>1</v>
      </c>
      <c r="Z41" s="24">
        <f t="array" ref="Z41">IFERROR(INDEX(CRV!BU:BU, MATCH(B41, CRV!A:A, 0)), "")</f>
        <v>18.5</v>
      </c>
      <c r="AA41" s="24">
        <f t="array" ref="AA41">IFERROR(INDEX(CRV!BV:BV, MATCH(B41, CRV!A:A, 0))*X41+4.5*2+7, "")</f>
        <v>50.2</v>
      </c>
      <c r="AB41" s="24" t="str">
        <f t="array" ref="AB41">IFERROR(IF(VALUE(XLOOKUP($B41,CRV!$A:$A,CRV!$BU:$BU))&lt;=5.5,"прямой пуск (DOL)","звезда-треугольник (SD)"),"")</f>
        <v>звезда-треугольник (SD)</v>
      </c>
      <c r="AC41" s="25" t="str">
        <f t="array" ref="AC41">IFERROR(INDEX(CRV!CA:CA, MATCH(B41, CRV!A:A, 0)), "")</f>
        <v>HQQE</v>
      </c>
      <c r="AD41" s="25">
        <f t="array" ref="AD41">IFERROR(AD40-W41*XLOOKUP($B40,CRV!$A:$A,CRV!$BY:$BY)+W41*XLOOKUP($B41,CRV!$A:$A,CRV!$BY:$BY),"ошибка")</f>
        <v>565</v>
      </c>
      <c r="AE41" s="25" t="s">
        <v>76</v>
      </c>
    </row>
    <row r="42" ht="12.0" customHeight="1">
      <c r="A42" s="28"/>
      <c r="B42" s="24" t="str">
        <f>IFERROR(__xludf.DUMMYFUNCTION("IFERROR(IF(REGEXMATCH(REGEXEXTRACT(A42,""\bCRV\s*\d+(?:-\d+)+(?:-(?:A?BI|AI|BI))?\b""),""-(?:A?BI|AI|BI)$""),REGEXREPLACE(REGEXEXTRACT(A42,""\bCRV\s*\d+(?:-\d+)+(?:-(?:A?BI|AI|BI))?\b""),""-(A?BI|AI|BI)$"",""C$1""),REGEXEXTRACT(A42,""\bCRV\s*\d+(?:-\d+)+("&amp;"?:-(?:A?BI|AI|BI))?\b"")&amp;""C""),"""")"),"")</f>
        <v/>
      </c>
      <c r="C42" s="28"/>
      <c r="D42" s="24" t="str">
        <f t="array" ref="D42">IFERROR(XLOOKUP($B42,CRV!$A:$A,CRV!$BA:$BA)+XLOOKUP($B42,CRV!$A:$A,CRV!$BB:$BB)+$O42,"")
</f>
        <v/>
      </c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4" t="str">
        <f>IFERROR(__xludf.DUMMYFUNCTION("IFERROR(REGEXEXTRACT(A42,""G2-B-(\d+)""),"""")"),"")</f>
        <v/>
      </c>
      <c r="W42" s="24" t="str">
        <f t="shared" si="1"/>
        <v/>
      </c>
      <c r="X42" s="24" t="str">
        <f>IFERROR(__xludf.DUMMYFUNCTION("IFERROR(VALUE(REGEXEXTRACT(A42,""\b(\d+)/\d+\b"")),"""")"),"")</f>
        <v/>
      </c>
      <c r="Y42" s="24" t="str">
        <f>IFERROR(__xludf.DUMMYFUNCTION("IFERROR(VALUE(REGEXEXTRACT(A42,""\b\d+/(\d+)\b"")),"""")
"),"")</f>
        <v/>
      </c>
      <c r="Z42" s="24" t="str">
        <f t="array" ref="Z42">IFERROR(INDEX(CRV!BU:BU, MATCH(B42, CRV!A:A, 0)), "")</f>
        <v/>
      </c>
      <c r="AA42" s="24" t="str">
        <f t="array" ref="AA42">IFERROR(INDEX(CRV!BV:BV, MATCH(B42, CRV!A:A, 0))*X42+4.5*2+7, "")</f>
        <v/>
      </c>
      <c r="AB42" s="24" t="str">
        <f t="array" ref="AB42">IFERROR(IF(VALUE(XLOOKUP($B42,CRV!$A:$A,CRV!$BU:$BU))&lt;=5.5,"прямой пуск (DOL)","звезда-треугольник (SD)"),"")</f>
        <v/>
      </c>
      <c r="AC42" s="25" t="str">
        <f t="array" ref="AC42">IFERROR(INDEX(CRV!CA:CA, MATCH(B42, CRV!A:A, 0)), "")</f>
        <v/>
      </c>
      <c r="AD42" s="29"/>
      <c r="AE42" s="28"/>
    </row>
    <row r="43" ht="12.0" customHeight="1">
      <c r="A43" s="28" t="s">
        <v>105</v>
      </c>
      <c r="B43" s="24" t="str">
        <f>IFERROR(__xludf.DUMMYFUNCTION("IFERROR(IF(REGEXMATCH(REGEXEXTRACT(A43,""\bCRV\s*\d+(?:-\d+)+(?:-(?:A?BI|AI|BI))?\b""),""-(?:A?BI|AI|BI)$""),REGEXREPLACE(REGEXEXTRACT(A43,""\bCRV\s*\d+(?:-\d+)+(?:-(?:A?BI|AI|BI))?\b""),""-(A?BI|AI|BI)$"",""C$1""),REGEXEXTRACT(A43,""\bCRV\s*\d+(?:-\d+)+("&amp;"?:-(?:A?BI|AI|BI))?\b"")&amp;""C""),"""")"),"CRV 32-1-1C")</f>
        <v>CRV 32-1-1C</v>
      </c>
      <c r="C43" s="28">
        <v>1650.0</v>
      </c>
      <c r="D43" s="24">
        <f t="array" ref="D43">IFERROR(XLOOKUP($B43,CRV!$A:$A,CRV!$BA:$BA)+XLOOKUP($B43,CRV!$A:$A,CRV!$BB:$BB)+$O43,"")
</f>
        <v>807</v>
      </c>
      <c r="E43" s="28">
        <v>205.0</v>
      </c>
      <c r="F43" s="28">
        <v>569.0</v>
      </c>
      <c r="G43" s="28">
        <v>605.0</v>
      </c>
      <c r="H43" s="28">
        <v>1709.0</v>
      </c>
      <c r="I43" s="28">
        <v>1174.0</v>
      </c>
      <c r="J43" s="28">
        <v>1960.0</v>
      </c>
      <c r="K43" s="28">
        <v>427.0</v>
      </c>
      <c r="L43" s="28"/>
      <c r="M43" s="28"/>
      <c r="N43" s="28">
        <v>385.0</v>
      </c>
      <c r="O43" s="28">
        <v>100.0</v>
      </c>
      <c r="P43" s="28"/>
      <c r="Q43" s="29" t="s">
        <v>35</v>
      </c>
      <c r="R43" s="28">
        <v>1000.0</v>
      </c>
      <c r="S43" s="28">
        <v>800.0</v>
      </c>
      <c r="T43" s="28">
        <v>860.0</v>
      </c>
      <c r="U43" s="28">
        <v>550.0</v>
      </c>
      <c r="V43" s="24" t="str">
        <f>IFERROR(__xludf.DUMMYFUNCTION("IFERROR(REGEXEXTRACT(A43,""G2-B-(\d+)""),"""")"),"100")</f>
        <v>100</v>
      </c>
      <c r="W43" s="24">
        <f t="shared" si="1"/>
        <v>2</v>
      </c>
      <c r="X43" s="24">
        <f>IFERROR(__xludf.DUMMYFUNCTION("IFERROR(VALUE(REGEXEXTRACT(A43,""\b(\d+)/\d+\b"")),"""")"),1.0)</f>
        <v>1</v>
      </c>
      <c r="Y43" s="24">
        <f>IFERROR(__xludf.DUMMYFUNCTION("IFERROR(VALUE(REGEXEXTRACT(A43,""\b\d+/(\d+)\b"")),"""")
"),1.0)</f>
        <v>1</v>
      </c>
      <c r="Z43" s="24">
        <f t="array" ref="Z43">IFERROR(INDEX(CRV!BU:BU, MATCH(B43, CRV!A:A, 0)), "")</f>
        <v>1.5</v>
      </c>
      <c r="AA43" s="24">
        <f t="array" ref="AA43">IFERROR(INDEX(CRV!BV:BV, MATCH(B43, CRV!A:A, 0))*X43+4.5*2+7, "")</f>
        <v>21.6</v>
      </c>
      <c r="AB43" s="24" t="str">
        <f t="array" ref="AB43">IFERROR(IF(VALUE(XLOOKUP($B43,CRV!$A:$A,CRV!$BU:$BU))&lt;=5.5,"прямой пуск (DOL)","звезда-треугольник (SD)"),"")</f>
        <v>прямой пуск (DOL)</v>
      </c>
      <c r="AC43" s="25" t="str">
        <f t="array" ref="AC43">IFERROR(INDEX(CRV!CA:CA, MATCH(B43, CRV!A:A, 0)), "")</f>
        <v>HQQE</v>
      </c>
      <c r="AD43" s="29">
        <v>344.0</v>
      </c>
      <c r="AE43" s="28">
        <v>7.5211405E7</v>
      </c>
    </row>
    <row r="44" ht="12.0" customHeight="1">
      <c r="A44" s="28" t="s">
        <v>106</v>
      </c>
      <c r="B44" s="24" t="str">
        <f>IFERROR(__xludf.DUMMYFUNCTION("IFERROR(IF(REGEXMATCH(REGEXEXTRACT(A44,""\bCRV\s*\d+(?:-\d+)+(?:-(?:A?BI|AI|BI))?\b""),""-(?:A?BI|AI|BI)$""),REGEXREPLACE(REGEXEXTRACT(A44,""\bCRV\s*\d+(?:-\d+)+(?:-(?:A?BI|AI|BI))?\b""),""-(A?BI|AI|BI)$"",""C$1""),REGEXEXTRACT(A44,""\bCRV\s*\d+(?:-\d+)+("&amp;"?:-(?:A?BI|AI|BI))?\b"")&amp;""C""),"""")"),"CRV 32-1C")</f>
        <v>CRV 32-1C</v>
      </c>
      <c r="C44" s="28">
        <v>1650.0</v>
      </c>
      <c r="D44" s="24">
        <f t="array" ref="D44">IFERROR(XLOOKUP($B44,CRV!$A:$A,CRV!$BA:$BA)+XLOOKUP($B44,CRV!$A:$A,CRV!$BB:$BB)+$O44,"")
</f>
        <v>807</v>
      </c>
      <c r="E44" s="28">
        <v>205.0</v>
      </c>
      <c r="F44" s="28">
        <v>569.0</v>
      </c>
      <c r="G44" s="28">
        <v>605.0</v>
      </c>
      <c r="H44" s="28">
        <v>1709.0</v>
      </c>
      <c r="I44" s="28">
        <v>1174.0</v>
      </c>
      <c r="J44" s="28">
        <v>1960.0</v>
      </c>
      <c r="K44" s="28">
        <v>427.0</v>
      </c>
      <c r="L44" s="28"/>
      <c r="M44" s="28"/>
      <c r="N44" s="28">
        <v>385.0</v>
      </c>
      <c r="O44" s="28">
        <v>100.0</v>
      </c>
      <c r="P44" s="28"/>
      <c r="Q44" s="29" t="s">
        <v>35</v>
      </c>
      <c r="R44" s="28">
        <v>1000.0</v>
      </c>
      <c r="S44" s="28">
        <v>800.0</v>
      </c>
      <c r="T44" s="28">
        <v>860.0</v>
      </c>
      <c r="U44" s="28">
        <v>550.0</v>
      </c>
      <c r="V44" s="24" t="str">
        <f>IFERROR(__xludf.DUMMYFUNCTION("IFERROR(REGEXEXTRACT(A44,""G2-B-(\d+)""),"""")"),"100")</f>
        <v>100</v>
      </c>
      <c r="W44" s="24">
        <f t="shared" si="1"/>
        <v>2</v>
      </c>
      <c r="X44" s="24">
        <f>IFERROR(__xludf.DUMMYFUNCTION("IFERROR(VALUE(REGEXEXTRACT(A44,""\b(\d+)/\d+\b"")),"""")"),1.0)</f>
        <v>1</v>
      </c>
      <c r="Y44" s="24">
        <f>IFERROR(__xludf.DUMMYFUNCTION("IFERROR(VALUE(REGEXEXTRACT(A44,""\b\d+/(\d+)\b"")),"""")
"),1.0)</f>
        <v>1</v>
      </c>
      <c r="Z44" s="24">
        <f t="array" ref="Z44">IFERROR(INDEX(CRV!BU:BU, MATCH(B44, CRV!A:A, 0)), "")</f>
        <v>2.2</v>
      </c>
      <c r="AA44" s="24">
        <f t="array" ref="AA44">IFERROR(INDEX(CRV!BV:BV, MATCH(B44, CRV!A:A, 0))*X44+4.5*2+7, "")</f>
        <v>23.9</v>
      </c>
      <c r="AB44" s="24" t="str">
        <f t="array" ref="AB44">IFERROR(IF(VALUE(XLOOKUP($B44,CRV!$A:$A,CRV!$BU:$BU))&lt;=5.5,"прямой пуск (DOL)","звезда-треугольник (SD)"),"")</f>
        <v>прямой пуск (DOL)</v>
      </c>
      <c r="AC44" s="25" t="str">
        <f t="array" ref="AC44">IFERROR(INDEX(CRV!CA:CA, MATCH(B44, CRV!A:A, 0)), "")</f>
        <v>HQQE</v>
      </c>
      <c r="AD44" s="29">
        <v>350.0</v>
      </c>
      <c r="AE44" s="28">
        <v>7.5211406E7</v>
      </c>
    </row>
    <row r="45" ht="12.0" customHeight="1">
      <c r="A45" s="28" t="s">
        <v>107</v>
      </c>
      <c r="B45" s="24" t="str">
        <f>IFERROR(__xludf.DUMMYFUNCTION("IFERROR(IF(REGEXMATCH(REGEXEXTRACT(A45,""\bCRV\s*\d+(?:-\d+)+(?:-(?:A?BI|AI|BI))?\b""),""-(?:A?BI|AI|BI)$""),REGEXREPLACE(REGEXEXTRACT(A45,""\bCRV\s*\d+(?:-\d+)+(?:-(?:A?BI|AI|BI))?\b""),""-(A?BI|AI|BI)$"",""C$1""),REGEXEXTRACT(A45,""\bCRV\s*\d+(?:-\d+)+("&amp;"?:-(?:A?BI|AI|BI))?\b"")&amp;""C""),"""")"),"CRV 32-2-2C")</f>
        <v>CRV 32-2-2C</v>
      </c>
      <c r="C45" s="28">
        <v>1650.0</v>
      </c>
      <c r="D45" s="24">
        <f t="array" ref="D45">IFERROR(XLOOKUP($B45,CRV!$A:$A,CRV!$BA:$BA)+XLOOKUP($B45,CRV!$A:$A,CRV!$BB:$BB)+$O45,"")
</f>
        <v>897</v>
      </c>
      <c r="E45" s="28">
        <v>205.0</v>
      </c>
      <c r="F45" s="28">
        <v>569.0</v>
      </c>
      <c r="G45" s="28">
        <v>605.0</v>
      </c>
      <c r="H45" s="28">
        <v>1709.0</v>
      </c>
      <c r="I45" s="28">
        <v>1174.0</v>
      </c>
      <c r="J45" s="28">
        <v>1960.0</v>
      </c>
      <c r="K45" s="28">
        <v>427.0</v>
      </c>
      <c r="L45" s="28"/>
      <c r="M45" s="28"/>
      <c r="N45" s="28">
        <v>385.0</v>
      </c>
      <c r="O45" s="28">
        <v>100.0</v>
      </c>
      <c r="P45" s="28"/>
      <c r="Q45" s="29" t="s">
        <v>35</v>
      </c>
      <c r="R45" s="28">
        <v>1000.0</v>
      </c>
      <c r="S45" s="28">
        <v>800.0</v>
      </c>
      <c r="T45" s="28">
        <v>860.0</v>
      </c>
      <c r="U45" s="28">
        <v>550.0</v>
      </c>
      <c r="V45" s="24" t="str">
        <f>IFERROR(__xludf.DUMMYFUNCTION("IFERROR(REGEXEXTRACT(A45,""G2-B-(\d+)""),"""")"),"100")</f>
        <v>100</v>
      </c>
      <c r="W45" s="24">
        <f t="shared" si="1"/>
        <v>2</v>
      </c>
      <c r="X45" s="24">
        <f>IFERROR(__xludf.DUMMYFUNCTION("IFERROR(VALUE(REGEXEXTRACT(A45,""\b(\d+)/\d+\b"")),"""")"),1.0)</f>
        <v>1</v>
      </c>
      <c r="Y45" s="24">
        <f>IFERROR(__xludf.DUMMYFUNCTION("IFERROR(VALUE(REGEXEXTRACT(A45,""\b\d+/(\d+)\b"")),"""")
"),1.0)</f>
        <v>1</v>
      </c>
      <c r="Z45" s="24">
        <f t="array" ref="Z45">IFERROR(INDEX(CRV!BU:BU, MATCH(B45, CRV!A:A, 0)), "")</f>
        <v>3</v>
      </c>
      <c r="AA45" s="24">
        <f t="array" ref="AA45">IFERROR(INDEX(CRV!BV:BV, MATCH(B45, CRV!A:A, 0))*X45+4.5*2+7, "")</f>
        <v>26.4</v>
      </c>
      <c r="AB45" s="24" t="str">
        <f t="array" ref="AB45">IFERROR(IF(VALUE(XLOOKUP($B45,CRV!$A:$A,CRV!$BU:$BU))&lt;=5.5,"прямой пуск (DOL)","звезда-треугольник (SD)"),"")</f>
        <v>прямой пуск (DOL)</v>
      </c>
      <c r="AC45" s="25" t="str">
        <f t="array" ref="AC45">IFERROR(INDEX(CRV!CA:CA, MATCH(B45, CRV!A:A, 0)), "")</f>
        <v>HQQE</v>
      </c>
      <c r="AD45" s="29">
        <v>364.0</v>
      </c>
      <c r="AE45" s="28">
        <v>7.5211407E7</v>
      </c>
    </row>
    <row r="46" ht="12.0" customHeight="1">
      <c r="A46" s="28" t="s">
        <v>108</v>
      </c>
      <c r="B46" s="24" t="str">
        <f>IFERROR(__xludf.DUMMYFUNCTION("IFERROR(IF(REGEXMATCH(REGEXEXTRACT(A46,""\bCRV\s*\d+(?:-\d+)+(?:-(?:A?BI|AI|BI))?\b""),""-(?:A?BI|AI|BI)$""),REGEXREPLACE(REGEXEXTRACT(A46,""\bCRV\s*\d+(?:-\d+)+(?:-(?:A?BI|AI|BI))?\b""),""-(A?BI|AI|BI)$"",""C$1""),REGEXEXTRACT(A46,""\bCRV\s*\d+(?:-\d+)+("&amp;"?:-(?:A?BI|AI|BI))?\b"")&amp;""C""),"""")"),"CRV 32-2C")</f>
        <v>CRV 32-2C</v>
      </c>
      <c r="C46" s="28">
        <v>1650.0</v>
      </c>
      <c r="D46" s="24">
        <f t="array" ref="D46">IFERROR(XLOOKUP($B46,CRV!$A:$A,CRV!$BA:$BA)+XLOOKUP($B46,CRV!$A:$A,CRV!$BB:$BB)+$O46,"")
</f>
        <v>920</v>
      </c>
      <c r="E46" s="28">
        <v>205.0</v>
      </c>
      <c r="F46" s="28">
        <v>569.0</v>
      </c>
      <c r="G46" s="28">
        <v>605.0</v>
      </c>
      <c r="H46" s="28">
        <v>1709.0</v>
      </c>
      <c r="I46" s="28">
        <v>1174.0</v>
      </c>
      <c r="J46" s="28">
        <v>1960.0</v>
      </c>
      <c r="K46" s="28">
        <v>427.0</v>
      </c>
      <c r="L46" s="28"/>
      <c r="M46" s="28"/>
      <c r="N46" s="28">
        <v>385.0</v>
      </c>
      <c r="O46" s="28">
        <v>100.0</v>
      </c>
      <c r="P46" s="28"/>
      <c r="Q46" s="29" t="s">
        <v>35</v>
      </c>
      <c r="R46" s="28">
        <v>1000.0</v>
      </c>
      <c r="S46" s="28">
        <v>800.0</v>
      </c>
      <c r="T46" s="28">
        <v>860.0</v>
      </c>
      <c r="U46" s="28">
        <v>550.0</v>
      </c>
      <c r="V46" s="24" t="str">
        <f>IFERROR(__xludf.DUMMYFUNCTION("IFERROR(REGEXEXTRACT(A46,""G2-B-(\d+)""),"""")"),"100")</f>
        <v>100</v>
      </c>
      <c r="W46" s="24">
        <f t="shared" si="1"/>
        <v>2</v>
      </c>
      <c r="X46" s="24">
        <f>IFERROR(__xludf.DUMMYFUNCTION("IFERROR(VALUE(REGEXEXTRACT(A46,""\b(\d+)/\d+\b"")),"""")"),1.0)</f>
        <v>1</v>
      </c>
      <c r="Y46" s="24">
        <f>IFERROR(__xludf.DUMMYFUNCTION("IFERROR(VALUE(REGEXEXTRACT(A46,""\b\d+/(\d+)\b"")),"""")
"),1.0)</f>
        <v>1</v>
      </c>
      <c r="Z46" s="24">
        <f t="array" ref="Z46">IFERROR(INDEX(CRV!BU:BU, MATCH(B46, CRV!A:A, 0)), "")</f>
        <v>4</v>
      </c>
      <c r="AA46" s="24">
        <f t="array" ref="AA46">IFERROR(INDEX(CRV!BV:BV, MATCH(B46, CRV!A:A, 0))*X46+4.5*2+7, "")</f>
        <v>23.8</v>
      </c>
      <c r="AB46" s="24" t="str">
        <f t="array" ref="AB46">IFERROR(IF(VALUE(XLOOKUP($B46,CRV!$A:$A,CRV!$BU:$BU))&lt;=5.5,"прямой пуск (DOL)","звезда-треугольник (SD)"),"")</f>
        <v>прямой пуск (DOL)</v>
      </c>
      <c r="AC46" s="25" t="str">
        <f t="array" ref="AC46">IFERROR(INDEX(CRV!CA:CA, MATCH(B46, CRV!A:A, 0)), "")</f>
        <v>HQQE</v>
      </c>
      <c r="AD46" s="29">
        <v>364.0</v>
      </c>
      <c r="AE46" s="28">
        <v>7.5211378E7</v>
      </c>
    </row>
    <row r="47" ht="12.0" customHeight="1">
      <c r="A47" s="28" t="s">
        <v>109</v>
      </c>
      <c r="B47" s="24" t="str">
        <f>IFERROR(__xludf.DUMMYFUNCTION("IFERROR(IF(REGEXMATCH(REGEXEXTRACT(A47,""\bCRV\s*\d+(?:-\d+)+(?:-(?:A?BI|AI|BI))?\b""),""-(?:A?BI|AI|BI)$""),REGEXREPLACE(REGEXEXTRACT(A47,""\bCRV\s*\d+(?:-\d+)+(?:-(?:A?BI|AI|BI))?\b""),""-(A?BI|AI|BI)$"",""C$1""),REGEXEXTRACT(A47,""\bCRV\s*\d+(?:-\d+)+("&amp;"?:-(?:A?BI|AI|BI))?\b"")&amp;""C""),"""")"),"CRV 32-3C")</f>
        <v>CRV 32-3C</v>
      </c>
      <c r="C47" s="28">
        <v>1650.0</v>
      </c>
      <c r="D47" s="24">
        <f t="array" ref="D47">IFERROR(XLOOKUP($B47,CRV!$A:$A,CRV!$BA:$BA)+XLOOKUP($B47,CRV!$A:$A,CRV!$BB:$BB)+$O47,"")
</f>
        <v>1118</v>
      </c>
      <c r="E47" s="28">
        <v>205.0</v>
      </c>
      <c r="F47" s="28">
        <v>569.0</v>
      </c>
      <c r="G47" s="28">
        <v>605.0</v>
      </c>
      <c r="H47" s="28">
        <v>1709.0</v>
      </c>
      <c r="I47" s="28">
        <v>1174.0</v>
      </c>
      <c r="J47" s="28">
        <v>1960.0</v>
      </c>
      <c r="K47" s="28">
        <v>427.0</v>
      </c>
      <c r="L47" s="28"/>
      <c r="M47" s="28"/>
      <c r="N47" s="28">
        <v>385.0</v>
      </c>
      <c r="O47" s="28">
        <v>100.0</v>
      </c>
      <c r="P47" s="28"/>
      <c r="Q47" s="29" t="s">
        <v>35</v>
      </c>
      <c r="R47" s="28">
        <v>1000.0</v>
      </c>
      <c r="S47" s="28">
        <v>800.0</v>
      </c>
      <c r="T47" s="28">
        <v>860.0</v>
      </c>
      <c r="U47" s="28">
        <v>550.0</v>
      </c>
      <c r="V47" s="24" t="str">
        <f>IFERROR(__xludf.DUMMYFUNCTION("IFERROR(REGEXEXTRACT(A47,""G2-B-(\d+)""),"""")"),"100")</f>
        <v>100</v>
      </c>
      <c r="W47" s="24">
        <f t="shared" si="1"/>
        <v>2</v>
      </c>
      <c r="X47" s="24">
        <f>IFERROR(__xludf.DUMMYFUNCTION("IFERROR(VALUE(REGEXEXTRACT(A47,""\b(\d+)/\d+\b"")),"""")"),1.0)</f>
        <v>1</v>
      </c>
      <c r="Y47" s="24">
        <f>IFERROR(__xludf.DUMMYFUNCTION("IFERROR(VALUE(REGEXEXTRACT(A47,""\b\d+/(\d+)\b"")),"""")
"),1.0)</f>
        <v>1</v>
      </c>
      <c r="Z47" s="24">
        <f t="array" ref="Z47">IFERROR(INDEX(CRV!BU:BU, MATCH(B47, CRV!A:A, 0)), "")</f>
        <v>5.5</v>
      </c>
      <c r="AA47" s="24">
        <f t="array" ref="AA47">IFERROR(INDEX(CRV!BV:BV, MATCH(B47, CRV!A:A, 0))*X47+4.5*2+7, "")</f>
        <v>26.6</v>
      </c>
      <c r="AB47" s="24" t="str">
        <f t="array" ref="AB47">IFERROR(IF(VALUE(XLOOKUP($B47,CRV!$A:$A,CRV!$BU:$BU))&lt;=5.5,"прямой пуск (DOL)","звезда-треугольник (SD)"),"")</f>
        <v>прямой пуск (DOL)</v>
      </c>
      <c r="AC47" s="25" t="str">
        <f t="array" ref="AC47">IFERROR(INDEX(CRV!CA:CA, MATCH(B47, CRV!A:A, 0)), "")</f>
        <v>HQQE</v>
      </c>
      <c r="AD47" s="29">
        <v>394.0</v>
      </c>
      <c r="AE47" s="28">
        <v>7.5211364E7</v>
      </c>
    </row>
    <row r="48" ht="12.0" customHeight="1">
      <c r="A48" s="28" t="s">
        <v>110</v>
      </c>
      <c r="B48" s="24" t="str">
        <f>IFERROR(__xludf.DUMMYFUNCTION("IFERROR(IF(REGEXMATCH(REGEXEXTRACT(A48,""\bCRV\s*\d+(?:-\d+)+(?:-(?:A?BI|AI|BI))?\b""),""-(?:A?BI|AI|BI)$""),REGEXREPLACE(REGEXEXTRACT(A48,""\bCRV\s*\d+(?:-\d+)+(?:-(?:A?BI|AI|BI))?\b""),""-(A?BI|AI|BI)$"",""C$1""),REGEXEXTRACT(A48,""\bCRV\s*\d+(?:-\d+)+("&amp;"?:-(?:A?BI|AI|BI))?\b"")&amp;""C""),"""")"),"CRV 32-4C")</f>
        <v>CRV 32-4C</v>
      </c>
      <c r="C48" s="28">
        <v>1650.0</v>
      </c>
      <c r="D48" s="24">
        <f t="array" ref="D48">IFERROR(XLOOKUP($B48,CRV!$A:$A,CRV!$BA:$BA)+XLOOKUP($B48,CRV!$A:$A,CRV!$BB:$BB)+$O48,"")
</f>
        <v>1226</v>
      </c>
      <c r="E48" s="28">
        <v>205.0</v>
      </c>
      <c r="F48" s="28">
        <v>569.0</v>
      </c>
      <c r="G48" s="28">
        <v>605.0</v>
      </c>
      <c r="H48" s="28">
        <v>1709.0</v>
      </c>
      <c r="I48" s="28">
        <v>1174.0</v>
      </c>
      <c r="J48" s="28">
        <v>1960.0</v>
      </c>
      <c r="K48" s="28">
        <v>427.0</v>
      </c>
      <c r="L48" s="28"/>
      <c r="M48" s="28"/>
      <c r="N48" s="28">
        <v>385.0</v>
      </c>
      <c r="O48" s="28">
        <v>100.0</v>
      </c>
      <c r="P48" s="28"/>
      <c r="Q48" s="29" t="s">
        <v>35</v>
      </c>
      <c r="R48" s="28">
        <v>1000.0</v>
      </c>
      <c r="S48" s="28">
        <v>800.0</v>
      </c>
      <c r="T48" s="28">
        <v>860.0</v>
      </c>
      <c r="U48" s="28">
        <v>550.0</v>
      </c>
      <c r="V48" s="24" t="str">
        <f>IFERROR(__xludf.DUMMYFUNCTION("IFERROR(REGEXEXTRACT(A48,""G2-B-(\d+)""),"""")"),"100")</f>
        <v>100</v>
      </c>
      <c r="W48" s="24">
        <f t="shared" si="1"/>
        <v>2</v>
      </c>
      <c r="X48" s="24">
        <f>IFERROR(__xludf.DUMMYFUNCTION("IFERROR(VALUE(REGEXEXTRACT(A48,""\b(\d+)/\d+\b"")),"""")"),1.0)</f>
        <v>1</v>
      </c>
      <c r="Y48" s="24">
        <f>IFERROR(__xludf.DUMMYFUNCTION("IFERROR(VALUE(REGEXEXTRACT(A48,""\b\d+/(\d+)\b"")),"""")
"),1.0)</f>
        <v>1</v>
      </c>
      <c r="Z48" s="24">
        <f t="array" ref="Z48">IFERROR(INDEX(CRV!BU:BU, MATCH(B48, CRV!A:A, 0)), "")</f>
        <v>7.5</v>
      </c>
      <c r="AA48" s="24">
        <f t="array" ref="AA48">IFERROR(INDEX(CRV!BV:BV, MATCH(B48, CRV!A:A, 0))*X48+4.5*2+7, "")</f>
        <v>30.4</v>
      </c>
      <c r="AB48" s="24" t="str">
        <f t="array" ref="AB48">IFERROR(IF(VALUE(XLOOKUP($B48,CRV!$A:$A,CRV!$BU:$BU))&lt;=5.5,"прямой пуск (DOL)","звезда-треугольник (SD)"),"")</f>
        <v>звезда-треугольник (SD)</v>
      </c>
      <c r="AC48" s="25" t="str">
        <f t="array" ref="AC48">IFERROR(INDEX(CRV!CA:CA, MATCH(B48, CRV!A:A, 0)), "")</f>
        <v>HQQE</v>
      </c>
      <c r="AD48" s="29">
        <v>412.0</v>
      </c>
      <c r="AE48" s="28">
        <v>7.5211408E7</v>
      </c>
    </row>
    <row r="49" ht="12.0" customHeight="1">
      <c r="A49" s="28" t="s">
        <v>111</v>
      </c>
      <c r="B49" s="24" t="str">
        <f>IFERROR(__xludf.DUMMYFUNCTION("IFERROR(IF(REGEXMATCH(REGEXEXTRACT(A49,""\bCRV\s*\d+(?:-\d+)+(?:-(?:A?BI|AI|BI))?\b""),""-(?:A?BI|AI|BI)$""),REGEXREPLACE(REGEXEXTRACT(A49,""\bCRV\s*\d+(?:-\d+)+(?:-(?:A?BI|AI|BI))?\b""),""-(A?BI|AI|BI)$"",""C$1""),REGEXEXTRACT(A49,""\bCRV\s*\d+(?:-\d+)+("&amp;"?:-(?:A?BI|AI|BI))?\b"")&amp;""C""),"""")"),"CRV 32-5C")</f>
        <v>CRV 32-5C</v>
      </c>
      <c r="C49" s="28">
        <v>1650.0</v>
      </c>
      <c r="D49" s="24">
        <f t="array" ref="D49">IFERROR(XLOOKUP($B49,CRV!$A:$A,CRV!$BA:$BA)+XLOOKUP($B49,CRV!$A:$A,CRV!$BB:$BB)+$O49,"")
</f>
        <v>1420</v>
      </c>
      <c r="E49" s="28">
        <v>205.0</v>
      </c>
      <c r="F49" s="28">
        <v>569.0</v>
      </c>
      <c r="G49" s="28">
        <v>605.0</v>
      </c>
      <c r="H49" s="28">
        <v>1709.0</v>
      </c>
      <c r="I49" s="28">
        <v>1174.0</v>
      </c>
      <c r="J49" s="28">
        <v>1960.0</v>
      </c>
      <c r="K49" s="28">
        <v>427.0</v>
      </c>
      <c r="L49" s="28"/>
      <c r="M49" s="28"/>
      <c r="N49" s="28">
        <v>385.0</v>
      </c>
      <c r="O49" s="28">
        <v>100.0</v>
      </c>
      <c r="P49" s="28"/>
      <c r="Q49" s="29" t="s">
        <v>35</v>
      </c>
      <c r="R49" s="28">
        <v>1000.0</v>
      </c>
      <c r="S49" s="28">
        <v>800.0</v>
      </c>
      <c r="T49" s="28">
        <v>860.0</v>
      </c>
      <c r="U49" s="28">
        <v>550.0</v>
      </c>
      <c r="V49" s="24" t="str">
        <f>IFERROR(__xludf.DUMMYFUNCTION("IFERROR(REGEXEXTRACT(A49,""G2-B-(\d+)""),"""")"),"100")</f>
        <v>100</v>
      </c>
      <c r="W49" s="24">
        <f t="shared" si="1"/>
        <v>2</v>
      </c>
      <c r="X49" s="24">
        <f>IFERROR(__xludf.DUMMYFUNCTION("IFERROR(VALUE(REGEXEXTRACT(A49,""\b(\d+)/\d+\b"")),"""")"),1.0)</f>
        <v>1</v>
      </c>
      <c r="Y49" s="24">
        <f>IFERROR(__xludf.DUMMYFUNCTION("IFERROR(VALUE(REGEXEXTRACT(A49,""\b\d+/(\d+)\b"")),"""")
"),1.0)</f>
        <v>1</v>
      </c>
      <c r="Z49" s="24">
        <f t="array" ref="Z49">IFERROR(INDEX(CRV!BU:BU, MATCH(B49, CRV!A:A, 0)), "")</f>
        <v>11</v>
      </c>
      <c r="AA49" s="24">
        <f t="array" ref="AA49">IFERROR(INDEX(CRV!BV:BV, MATCH(B49, CRV!A:A, 0))*X49+4.5*2+7, "")</f>
        <v>36.6</v>
      </c>
      <c r="AB49" s="24" t="str">
        <f t="array" ref="AB49">IFERROR(IF(VALUE(XLOOKUP($B49,CRV!$A:$A,CRV!$BU:$BU))&lt;=5.5,"прямой пуск (DOL)","звезда-треугольник (SD)"),"")</f>
        <v>звезда-треугольник (SD)</v>
      </c>
      <c r="AC49" s="25" t="str">
        <f t="array" ref="AC49">IFERROR(INDEX(CRV!CA:CA, MATCH(B49, CRV!A:A, 0)), "")</f>
        <v>HQQE</v>
      </c>
      <c r="AD49" s="29">
        <v>560.0</v>
      </c>
      <c r="AE49" s="28">
        <v>7.5211365E7</v>
      </c>
    </row>
    <row r="50" ht="12.0" customHeight="1">
      <c r="A50" s="28" t="s">
        <v>112</v>
      </c>
      <c r="B50" s="24" t="str">
        <f>IFERROR(__xludf.DUMMYFUNCTION("IFERROR(IF(REGEXMATCH(REGEXEXTRACT(A50,""\bCRV\s*\d+(?:-\d+)+(?:-(?:A?BI|AI|BI))?\b""),""-(?:A?BI|AI|BI)$""),REGEXREPLACE(REGEXEXTRACT(A50,""\bCRV\s*\d+(?:-\d+)+(?:-(?:A?BI|AI|BI))?\b""),""-(A?BI|AI|BI)$"",""C$1""),REGEXEXTRACT(A50,""\bCRV\s*\d+(?:-\d+)+("&amp;"?:-(?:A?BI|AI|BI))?\b"")&amp;""C""),"""")"),"CRV 32-6C")</f>
        <v>CRV 32-6C</v>
      </c>
      <c r="C50" s="28">
        <v>1650.0</v>
      </c>
      <c r="D50" s="24">
        <f t="array" ref="D50">IFERROR(XLOOKUP($B50,CRV!$A:$A,CRV!$BA:$BA)+XLOOKUP($B50,CRV!$A:$A,CRV!$BB:$BB)+$O50,"")
</f>
        <v>1490</v>
      </c>
      <c r="E50" s="28">
        <v>205.0</v>
      </c>
      <c r="F50" s="28">
        <v>569.0</v>
      </c>
      <c r="G50" s="28">
        <v>605.0</v>
      </c>
      <c r="H50" s="28">
        <v>1709.0</v>
      </c>
      <c r="I50" s="28">
        <v>1174.0</v>
      </c>
      <c r="J50" s="28">
        <v>1960.0</v>
      </c>
      <c r="K50" s="28">
        <v>427.0</v>
      </c>
      <c r="L50" s="28"/>
      <c r="M50" s="28"/>
      <c r="N50" s="28">
        <v>385.0</v>
      </c>
      <c r="O50" s="28">
        <v>100.0</v>
      </c>
      <c r="P50" s="28"/>
      <c r="Q50" s="29" t="s">
        <v>35</v>
      </c>
      <c r="R50" s="28">
        <v>1000.0</v>
      </c>
      <c r="S50" s="28">
        <v>800.0</v>
      </c>
      <c r="T50" s="28">
        <v>860.0</v>
      </c>
      <c r="U50" s="28">
        <v>550.0</v>
      </c>
      <c r="V50" s="24" t="str">
        <f>IFERROR(__xludf.DUMMYFUNCTION("IFERROR(REGEXEXTRACT(A50,""G2-B-(\d+)""),"""")"),"100")</f>
        <v>100</v>
      </c>
      <c r="W50" s="24">
        <f t="shared" si="1"/>
        <v>2</v>
      </c>
      <c r="X50" s="24">
        <f>IFERROR(__xludf.DUMMYFUNCTION("IFERROR(VALUE(REGEXEXTRACT(A50,""\b(\d+)/\d+\b"")),"""")"),1.0)</f>
        <v>1</v>
      </c>
      <c r="Y50" s="24">
        <f>IFERROR(__xludf.DUMMYFUNCTION("IFERROR(VALUE(REGEXEXTRACT(A50,""\b\d+/(\d+)\b"")),"""")
"),1.0)</f>
        <v>1</v>
      </c>
      <c r="Z50" s="24">
        <f t="array" ref="Z50">IFERROR(INDEX(CRV!BU:BU, MATCH(B50, CRV!A:A, 0)), "")</f>
        <v>11</v>
      </c>
      <c r="AA50" s="24">
        <f t="array" ref="AA50">IFERROR(INDEX(CRV!BV:BV, MATCH(B50, CRV!A:A, 0))*X50+4.5*2+7, "")</f>
        <v>36.6</v>
      </c>
      <c r="AB50" s="24" t="str">
        <f t="array" ref="AB50">IFERROR(IF(VALUE(XLOOKUP($B50,CRV!$A:$A,CRV!$BU:$BU))&lt;=5.5,"прямой пуск (DOL)","звезда-треугольник (SD)"),"")</f>
        <v>звезда-треугольник (SD)</v>
      </c>
      <c r="AC50" s="25" t="str">
        <f t="array" ref="AC50">IFERROR(INDEX(CRV!CA:CA, MATCH(B50, CRV!A:A, 0)), "")</f>
        <v>HQQE</v>
      </c>
      <c r="AD50" s="29">
        <v>564.0</v>
      </c>
      <c r="AE50" s="28">
        <v>7.5211409E7</v>
      </c>
    </row>
    <row r="51" ht="12.0" customHeight="1">
      <c r="A51" s="28" t="s">
        <v>113</v>
      </c>
      <c r="B51" s="24" t="str">
        <f>IFERROR(__xludf.DUMMYFUNCTION("IFERROR(IF(REGEXMATCH(REGEXEXTRACT(A51,""\bCRV\s*\d+(?:-\d+)+(?:-(?:A?BI|AI|BI))?\b""),""-(?:A?BI|AI|BI)$""),REGEXREPLACE(REGEXEXTRACT(A51,""\bCRV\s*\d+(?:-\d+)+(?:-(?:A?BI|AI|BI))?\b""),""-(A?BI|AI|BI)$"",""C$1""),REGEXEXTRACT(A51,""\bCRV\s*\d+(?:-\d+)+("&amp;"?:-(?:A?BI|AI|BI))?\b"")&amp;""C""),"""")"),"CRV 32-7C")</f>
        <v>CRV 32-7C</v>
      </c>
      <c r="C51" s="28">
        <v>1650.0</v>
      </c>
      <c r="D51" s="24">
        <f t="array" ref="D51">IFERROR(XLOOKUP($B51,CRV!$A:$A,CRV!$BA:$BA)+XLOOKUP($B51,CRV!$A:$A,CRV!$BB:$BB)+$O51,"")
</f>
        <v>1601</v>
      </c>
      <c r="E51" s="28">
        <v>205.0</v>
      </c>
      <c r="F51" s="28">
        <v>569.0</v>
      </c>
      <c r="G51" s="28">
        <v>605.0</v>
      </c>
      <c r="H51" s="28">
        <v>1709.0</v>
      </c>
      <c r="I51" s="28">
        <v>1174.0</v>
      </c>
      <c r="J51" s="28">
        <v>1960.0</v>
      </c>
      <c r="K51" s="28">
        <v>427.0</v>
      </c>
      <c r="L51" s="28"/>
      <c r="M51" s="28"/>
      <c r="N51" s="28">
        <v>385.0</v>
      </c>
      <c r="O51" s="28">
        <v>100.0</v>
      </c>
      <c r="P51" s="28"/>
      <c r="Q51" s="29" t="s">
        <v>35</v>
      </c>
      <c r="R51" s="28">
        <v>1000.0</v>
      </c>
      <c r="S51" s="28">
        <v>800.0</v>
      </c>
      <c r="T51" s="28">
        <v>860.0</v>
      </c>
      <c r="U51" s="28">
        <v>550.0</v>
      </c>
      <c r="V51" s="24" t="str">
        <f>IFERROR(__xludf.DUMMYFUNCTION("IFERROR(REGEXEXTRACT(A51,""G2-B-(\d+)""),"""")"),"100")</f>
        <v>100</v>
      </c>
      <c r="W51" s="24">
        <f t="shared" si="1"/>
        <v>2</v>
      </c>
      <c r="X51" s="24">
        <f>IFERROR(__xludf.DUMMYFUNCTION("IFERROR(VALUE(REGEXEXTRACT(A51,""\b(\d+)/\d+\b"")),"""")"),1.0)</f>
        <v>1</v>
      </c>
      <c r="Y51" s="24">
        <f>IFERROR(__xludf.DUMMYFUNCTION("IFERROR(VALUE(REGEXEXTRACT(A51,""\b\d+/(\d+)\b"")),"""")
"),1.0)</f>
        <v>1</v>
      </c>
      <c r="Z51" s="24">
        <f t="array" ref="Z51">IFERROR(INDEX(CRV!BU:BU, MATCH(B51, CRV!A:A, 0)), "")</f>
        <v>15</v>
      </c>
      <c r="AA51" s="24">
        <f t="array" ref="AA51">IFERROR(INDEX(CRV!BV:BV, MATCH(B51, CRV!A:A, 0))*X51+4.5*2+7, "")</f>
        <v>43.9</v>
      </c>
      <c r="AB51" s="24" t="str">
        <f t="array" ref="AB51">IFERROR(IF(VALUE(XLOOKUP($B51,CRV!$A:$A,CRV!$BU:$BU))&lt;=5.5,"прямой пуск (DOL)","звезда-треугольник (SD)"),"")</f>
        <v>звезда-треугольник (SD)</v>
      </c>
      <c r="AC51" s="25" t="str">
        <f t="array" ref="AC51">IFERROR(INDEX(CRV!CA:CA, MATCH(B51, CRV!A:A, 0)), "")</f>
        <v>HQQE</v>
      </c>
      <c r="AD51" s="29">
        <v>584.0</v>
      </c>
      <c r="AE51" s="28">
        <v>7.521141E7</v>
      </c>
    </row>
    <row r="52" ht="12.0" customHeight="1">
      <c r="A52" s="30" t="s">
        <v>114</v>
      </c>
      <c r="B52" s="24" t="str">
        <f>IFERROR(__xludf.DUMMYFUNCTION("IFERROR(IF(REGEXMATCH(REGEXEXTRACT(A52,""\bCRV\s*\d+(?:-\d+)+(?:-(?:A?BI|AI|BI))?\b""),""-(?:A?BI|AI|BI)$""),REGEXREPLACE(REGEXEXTRACT(A52,""\bCRV\s*\d+(?:-\d+)+(?:-(?:A?BI|AI|BI))?\b""),""-(A?BI|AI|BI)$"",""C$1""),REGEXEXTRACT(A52,""\bCRV\s*\d+(?:-\d+)+("&amp;"?:-(?:A?BI|AI|BI))?\b"")&amp;""C""),"""")"),"CRV 32-8-2C")</f>
        <v>CRV 32-8-2C</v>
      </c>
      <c r="C52" s="28">
        <v>1650.0</v>
      </c>
      <c r="D52" s="24">
        <f t="array" ref="D52">IFERROR(XLOOKUP($B52,CRV!$A:$A,CRV!$BA:$BA)+XLOOKUP($B52,CRV!$A:$A,CRV!$BB:$BB)+$O52,"")
</f>
        <v>1671</v>
      </c>
      <c r="E52" s="28">
        <v>205.0</v>
      </c>
      <c r="F52" s="28">
        <v>569.0</v>
      </c>
      <c r="G52" s="28">
        <v>605.0</v>
      </c>
      <c r="H52" s="28">
        <v>1709.0</v>
      </c>
      <c r="I52" s="28">
        <v>1174.0</v>
      </c>
      <c r="J52" s="28">
        <v>1960.0</v>
      </c>
      <c r="K52" s="28">
        <v>427.0</v>
      </c>
      <c r="L52" s="28"/>
      <c r="M52" s="28"/>
      <c r="N52" s="28">
        <v>385.0</v>
      </c>
      <c r="O52" s="28">
        <v>100.0</v>
      </c>
      <c r="P52" s="28"/>
      <c r="Q52" s="29" t="s">
        <v>35</v>
      </c>
      <c r="R52" s="28">
        <v>1000.0</v>
      </c>
      <c r="S52" s="28">
        <v>800.0</v>
      </c>
      <c r="T52" s="28">
        <v>860.0</v>
      </c>
      <c r="U52" s="28">
        <v>550.0</v>
      </c>
      <c r="V52" s="24" t="str">
        <f>IFERROR(__xludf.DUMMYFUNCTION("IFERROR(REGEXEXTRACT(A52,""G2-B-(\d+)""),"""")"),"100")</f>
        <v>100</v>
      </c>
      <c r="W52" s="24">
        <f t="shared" si="1"/>
        <v>2</v>
      </c>
      <c r="X52" s="24">
        <f>IFERROR(__xludf.DUMMYFUNCTION("IFERROR(VALUE(REGEXEXTRACT(A52,""\b(\d+)/\d+\b"")),"""")"),1.0)</f>
        <v>1</v>
      </c>
      <c r="Y52" s="24">
        <f>IFERROR(__xludf.DUMMYFUNCTION("IFERROR(VALUE(REGEXEXTRACT(A52,""\b\d+/(\d+)\b"")),"""")
"),1.0)</f>
        <v>1</v>
      </c>
      <c r="Z52" s="24">
        <f t="array" ref="Z52">IFERROR(INDEX(CRV!BU:BU, MATCH(B52, CRV!A:A, 0)), "")</f>
        <v>15</v>
      </c>
      <c r="AA52" s="24">
        <f t="array" ref="AA52">IFERROR(INDEX(CRV!BV:BV, MATCH(B52, CRV!A:A, 0))*X52+4.5*2+7, "")</f>
        <v>43.9</v>
      </c>
      <c r="AB52" s="24" t="str">
        <f t="array" ref="AB52">IFERROR(IF(VALUE(XLOOKUP($B52,CRV!$A:$A,CRV!$BU:$BU))&lt;=5.5,"прямой пуск (DOL)","звезда-треугольник (SD)"),"")</f>
        <v>звезда-треугольник (SD)</v>
      </c>
      <c r="AC52" s="25" t="str">
        <f t="array" ref="AC52">IFERROR(INDEX(CRV!CA:CA, MATCH(B52, CRV!A:A, 0)), "")</f>
        <v>HQQE</v>
      </c>
      <c r="AD52" s="25">
        <f t="array" ref="AD52">IFERROR(AD51-W52*XLOOKUP($B51,CRV!$A:$A,CRV!$BY:$BY)+W52*XLOOKUP($B52,CRV!$A:$A,CRV!$BY:$BY),"ошибка")</f>
        <v>592</v>
      </c>
      <c r="AE52" s="25" t="s">
        <v>76</v>
      </c>
    </row>
    <row r="53" ht="12.0" customHeight="1">
      <c r="A53" s="30" t="s">
        <v>115</v>
      </c>
      <c r="B53" s="24" t="str">
        <f>IFERROR(__xludf.DUMMYFUNCTION("IFERROR(IF(REGEXMATCH(REGEXEXTRACT(A53,""\bCRV\s*\d+(?:-\d+)+(?:-(?:A?BI|AI|BI))?\b""),""-(?:A?BI|AI|BI)$""),REGEXREPLACE(REGEXEXTRACT(A53,""\bCRV\s*\d+(?:-\d+)+(?:-(?:A?BI|AI|BI))?\b""),""-(A?BI|AI|BI)$"",""C$1""),REGEXEXTRACT(A53,""\bCRV\s*\d+(?:-\d+)+("&amp;"?:-(?:A?BI|AI|BI))?\b"")&amp;""C""),"""")"),"CRV 32-8C")</f>
        <v>CRV 32-8C</v>
      </c>
      <c r="C53" s="28">
        <v>1650.0</v>
      </c>
      <c r="D53" s="24">
        <f t="array" ref="D53">IFERROR(XLOOKUP($B53,CRV!$A:$A,CRV!$BA:$BA)+XLOOKUP($B53,CRV!$A:$A,CRV!$BB:$BB)+$O53,"")
</f>
        <v>1671</v>
      </c>
      <c r="E53" s="28">
        <v>205.0</v>
      </c>
      <c r="F53" s="28">
        <v>569.0</v>
      </c>
      <c r="G53" s="28">
        <v>605.0</v>
      </c>
      <c r="H53" s="28">
        <v>1709.0</v>
      </c>
      <c r="I53" s="28">
        <v>1174.0</v>
      </c>
      <c r="J53" s="28">
        <v>1960.0</v>
      </c>
      <c r="K53" s="28">
        <v>427.0</v>
      </c>
      <c r="L53" s="28"/>
      <c r="M53" s="28"/>
      <c r="N53" s="28">
        <v>385.0</v>
      </c>
      <c r="O53" s="28">
        <v>100.0</v>
      </c>
      <c r="P53" s="28"/>
      <c r="Q53" s="29" t="s">
        <v>35</v>
      </c>
      <c r="R53" s="28">
        <v>1000.0</v>
      </c>
      <c r="S53" s="28">
        <v>800.0</v>
      </c>
      <c r="T53" s="28">
        <v>860.0</v>
      </c>
      <c r="U53" s="28">
        <v>550.0</v>
      </c>
      <c r="V53" s="24" t="str">
        <f>IFERROR(__xludf.DUMMYFUNCTION("IFERROR(REGEXEXTRACT(A53,""G2-B-(\d+)""),"""")"),"100")</f>
        <v>100</v>
      </c>
      <c r="W53" s="24">
        <f t="shared" si="1"/>
        <v>2</v>
      </c>
      <c r="X53" s="24">
        <f>IFERROR(__xludf.DUMMYFUNCTION("IFERROR(VALUE(REGEXEXTRACT(A53,""\b(\d+)/\d+\b"")),"""")"),1.0)</f>
        <v>1</v>
      </c>
      <c r="Y53" s="24">
        <f>IFERROR(__xludf.DUMMYFUNCTION("IFERROR(VALUE(REGEXEXTRACT(A53,""\b\d+/(\d+)\b"")),"""")
"),1.0)</f>
        <v>1</v>
      </c>
      <c r="Z53" s="24">
        <f t="array" ref="Z53">IFERROR(INDEX(CRV!BU:BU, MATCH(B53, CRV!A:A, 0)), "")</f>
        <v>15</v>
      </c>
      <c r="AA53" s="24">
        <f t="array" ref="AA53">IFERROR(INDEX(CRV!BV:BV, MATCH(B53, CRV!A:A, 0))*X53+4.5*2+7, "")</f>
        <v>43.9</v>
      </c>
      <c r="AB53" s="24" t="str">
        <f t="array" ref="AB53">IFERROR(IF(VALUE(XLOOKUP($B53,CRV!$A:$A,CRV!$BU:$BU))&lt;=5.5,"прямой пуск (DOL)","звезда-треугольник (SD)"),"")</f>
        <v>звезда-треугольник (SD)</v>
      </c>
      <c r="AC53" s="25" t="str">
        <f t="array" ref="AC53">IFERROR(INDEX(CRV!CA:CA, MATCH(B53, CRV!A:A, 0)), "")</f>
        <v>HQQE</v>
      </c>
      <c r="AD53" s="25">
        <f t="array" ref="AD53">IFERROR(AD52-W53*XLOOKUP($B52,CRV!$A:$A,CRV!$BY:$BY)+W53*XLOOKUP($B53,CRV!$A:$A,CRV!$BY:$BY),"ошибка")</f>
        <v>592</v>
      </c>
      <c r="AE53" s="25" t="s">
        <v>76</v>
      </c>
    </row>
    <row r="54" ht="12.0" customHeight="1">
      <c r="A54" s="30" t="s">
        <v>116</v>
      </c>
      <c r="B54" s="24" t="str">
        <f>IFERROR(__xludf.DUMMYFUNCTION("IFERROR(IF(REGEXMATCH(REGEXEXTRACT(A54,""\bCRV\s*\d+(?:-\d+)+(?:-(?:A?BI|AI|BI))?\b""),""-(?:A?BI|AI|BI)$""),REGEXREPLACE(REGEXEXTRACT(A54,""\bCRV\s*\d+(?:-\d+)+(?:-(?:A?BI|AI|BI))?\b""),""-(A?BI|AI|BI)$"",""C$1""),REGEXEXTRACT(A54,""\bCRV\s*\d+(?:-\d+)+("&amp;"?:-(?:A?BI|AI|BI))?\b"")&amp;""C""),"""")"),"CRV 32-9-2C")</f>
        <v>CRV 32-9-2C</v>
      </c>
      <c r="C54" s="28">
        <v>1650.0</v>
      </c>
      <c r="D54" s="24">
        <f t="array" ref="D54">IFERROR(XLOOKUP($B54,CRV!$A:$A,CRV!$BA:$BA)+XLOOKUP($B54,CRV!$A:$A,CRV!$BB:$BB)+$O54,"")
</f>
        <v>1794</v>
      </c>
      <c r="E54" s="28">
        <v>205.0</v>
      </c>
      <c r="F54" s="28">
        <v>569.0</v>
      </c>
      <c r="G54" s="28">
        <v>605.0</v>
      </c>
      <c r="H54" s="28">
        <v>1709.0</v>
      </c>
      <c r="I54" s="28">
        <v>1174.0</v>
      </c>
      <c r="J54" s="28">
        <v>1960.0</v>
      </c>
      <c r="K54" s="28">
        <v>427.0</v>
      </c>
      <c r="L54" s="28"/>
      <c r="M54" s="28"/>
      <c r="N54" s="28">
        <v>385.0</v>
      </c>
      <c r="O54" s="28">
        <v>100.0</v>
      </c>
      <c r="P54" s="28"/>
      <c r="Q54" s="29" t="s">
        <v>35</v>
      </c>
      <c r="R54" s="28">
        <v>1000.0</v>
      </c>
      <c r="S54" s="28">
        <v>800.0</v>
      </c>
      <c r="T54" s="28">
        <v>860.0</v>
      </c>
      <c r="U54" s="28">
        <v>550.0</v>
      </c>
      <c r="V54" s="24" t="str">
        <f>IFERROR(__xludf.DUMMYFUNCTION("IFERROR(REGEXEXTRACT(A54,""G2-B-(\d+)""),"""")"),"100")</f>
        <v>100</v>
      </c>
      <c r="W54" s="24">
        <f t="shared" si="1"/>
        <v>2</v>
      </c>
      <c r="X54" s="24">
        <f>IFERROR(__xludf.DUMMYFUNCTION("IFERROR(VALUE(REGEXEXTRACT(A54,""\b(\d+)/\d+\b"")),"""")"),1.0)</f>
        <v>1</v>
      </c>
      <c r="Y54" s="24">
        <f>IFERROR(__xludf.DUMMYFUNCTION("IFERROR(VALUE(REGEXEXTRACT(A54,""\b\d+/(\d+)\b"")),"""")
"),1.0)</f>
        <v>1</v>
      </c>
      <c r="Z54" s="24">
        <f t="array" ref="Z54">IFERROR(INDEX(CRV!BU:BU, MATCH(B54, CRV!A:A, 0)), "")</f>
        <v>18.5</v>
      </c>
      <c r="AA54" s="24">
        <f t="array" ref="AA54">IFERROR(INDEX(CRV!BV:BV, MATCH(B54, CRV!A:A, 0))*X54+4.5*2+7, "")</f>
        <v>50.2</v>
      </c>
      <c r="AB54" s="24" t="str">
        <f t="array" ref="AB54">IFERROR(IF(VALUE(XLOOKUP($B54,CRV!$A:$A,CRV!$BU:$BU))&lt;=5.5,"прямой пуск (DOL)","звезда-треугольник (SD)"),"")</f>
        <v>звезда-треугольник (SD)</v>
      </c>
      <c r="AC54" s="25" t="str">
        <f t="array" ref="AC54">IFERROR(INDEX(CRV!CA:CA, MATCH(B54, CRV!A:A, 0)), "")</f>
        <v>HQQE</v>
      </c>
      <c r="AD54" s="25">
        <f t="array" ref="AD54">IFERROR(AD53-W54*XLOOKUP($B53,CRV!$A:$A,CRV!$BY:$BY)+W54*XLOOKUP($B54,CRV!$A:$A,CRV!$BY:$BY),"ошибка")</f>
        <v>650</v>
      </c>
      <c r="AE54" s="25" t="s">
        <v>76</v>
      </c>
    </row>
    <row r="55" ht="12.0" customHeight="1">
      <c r="A55" s="30" t="s">
        <v>117</v>
      </c>
      <c r="B55" s="24" t="str">
        <f>IFERROR(__xludf.DUMMYFUNCTION("IFERROR(IF(REGEXMATCH(REGEXEXTRACT(A55,""\bCRV\s*\d+(?:-\d+)+(?:-(?:A?BI|AI|BI))?\b""),""-(?:A?BI|AI|BI)$""),REGEXREPLACE(REGEXEXTRACT(A55,""\bCRV\s*\d+(?:-\d+)+(?:-(?:A?BI|AI|BI))?\b""),""-(A?BI|AI|BI)$"",""C$1""),REGEXEXTRACT(A55,""\bCRV\s*\d+(?:-\d+)+("&amp;"?:-(?:A?BI|AI|BI))?\b"")&amp;""C""),"""")"),"CRV 32-9C")</f>
        <v>CRV 32-9C</v>
      </c>
      <c r="C55" s="28">
        <v>1650.0</v>
      </c>
      <c r="D55" s="24">
        <f t="array" ref="D55">IFERROR(XLOOKUP($B55,CRV!$A:$A,CRV!$BA:$BA)+XLOOKUP($B55,CRV!$A:$A,CRV!$BB:$BB)+$O55,"")
</f>
        <v>1794</v>
      </c>
      <c r="E55" s="28">
        <v>205.0</v>
      </c>
      <c r="F55" s="28">
        <v>569.0</v>
      </c>
      <c r="G55" s="28">
        <v>605.0</v>
      </c>
      <c r="H55" s="28">
        <v>1709.0</v>
      </c>
      <c r="I55" s="28">
        <v>1174.0</v>
      </c>
      <c r="J55" s="28">
        <v>1960.0</v>
      </c>
      <c r="K55" s="28">
        <v>427.0</v>
      </c>
      <c r="L55" s="28"/>
      <c r="M55" s="28"/>
      <c r="N55" s="28">
        <v>385.0</v>
      </c>
      <c r="O55" s="28">
        <v>100.0</v>
      </c>
      <c r="P55" s="28"/>
      <c r="Q55" s="29" t="s">
        <v>35</v>
      </c>
      <c r="R55" s="28">
        <v>1000.0</v>
      </c>
      <c r="S55" s="28">
        <v>800.0</v>
      </c>
      <c r="T55" s="28">
        <v>860.0</v>
      </c>
      <c r="U55" s="28">
        <v>550.0</v>
      </c>
      <c r="V55" s="24" t="str">
        <f>IFERROR(__xludf.DUMMYFUNCTION("IFERROR(REGEXEXTRACT(A55,""G2-B-(\d+)""),"""")"),"100")</f>
        <v>100</v>
      </c>
      <c r="W55" s="24">
        <f t="shared" si="1"/>
        <v>2</v>
      </c>
      <c r="X55" s="24">
        <f>IFERROR(__xludf.DUMMYFUNCTION("IFERROR(VALUE(REGEXEXTRACT(A55,""\b(\d+)/\d+\b"")),"""")"),1.0)</f>
        <v>1</v>
      </c>
      <c r="Y55" s="24">
        <f>IFERROR(__xludf.DUMMYFUNCTION("IFERROR(VALUE(REGEXEXTRACT(A55,""\b\d+/(\d+)\b"")),"""")
"),1.0)</f>
        <v>1</v>
      </c>
      <c r="Z55" s="24">
        <f t="array" ref="Z55">IFERROR(INDEX(CRV!BU:BU, MATCH(B55, CRV!A:A, 0)), "")</f>
        <v>18.5</v>
      </c>
      <c r="AA55" s="24">
        <f t="array" ref="AA55">IFERROR(INDEX(CRV!BV:BV, MATCH(B55, CRV!A:A, 0))*X55+4.5*2+7, "")</f>
        <v>50.2</v>
      </c>
      <c r="AB55" s="24" t="str">
        <f t="array" ref="AB55">IFERROR(IF(VALUE(XLOOKUP($B55,CRV!$A:$A,CRV!$BU:$BU))&lt;=5.5,"прямой пуск (DOL)","звезда-треугольник (SD)"),"")</f>
        <v>звезда-треугольник (SD)</v>
      </c>
      <c r="AC55" s="25" t="str">
        <f t="array" ref="AC55">IFERROR(INDEX(CRV!CA:CA, MATCH(B55, CRV!A:A, 0)), "")</f>
        <v>HQQE</v>
      </c>
      <c r="AD55" s="25">
        <f t="array" ref="AD55">IFERROR(AD54-W55*XLOOKUP($B54,CRV!$A:$A,CRV!$BY:$BY)+W55*XLOOKUP($B55,CRV!$A:$A,CRV!$BY:$BY),"ошибка")</f>
        <v>650</v>
      </c>
      <c r="AE55" s="25" t="s">
        <v>76</v>
      </c>
    </row>
    <row r="56" ht="12.0" customHeight="1">
      <c r="A56" s="30" t="s">
        <v>118</v>
      </c>
      <c r="B56" s="24" t="str">
        <f>IFERROR(__xludf.DUMMYFUNCTION("IFERROR(IF(REGEXMATCH(REGEXEXTRACT(A56,""\bCRV\s*\d+(?:-\d+)+(?:-(?:A?BI|AI|BI))?\b""),""-(?:A?BI|AI|BI)$""),REGEXREPLACE(REGEXEXTRACT(A56,""\bCRV\s*\d+(?:-\d+)+(?:-(?:A?BI|AI|BI))?\b""),""-(A?BI|AI|BI)$"",""C$1""),REGEXEXTRACT(A56,""\bCRV\s*\d+(?:-\d+)+("&amp;"?:-(?:A?BI|AI|BI))?\b"")&amp;""C""),"""")"),"CRV 32-10-2C")</f>
        <v>CRV 32-10-2C</v>
      </c>
      <c r="C56" s="28">
        <v>1650.0</v>
      </c>
      <c r="D56" s="24">
        <f t="array" ref="D56">IFERROR(XLOOKUP($B56,CRV!$A:$A,CRV!$BA:$BA)+XLOOKUP($B56,CRV!$A:$A,CRV!$BB:$BB)+$O56,"")
</f>
        <v>1864</v>
      </c>
      <c r="E56" s="28">
        <v>205.0</v>
      </c>
      <c r="F56" s="28">
        <v>569.0</v>
      </c>
      <c r="G56" s="28">
        <v>605.0</v>
      </c>
      <c r="H56" s="28">
        <v>1709.0</v>
      </c>
      <c r="I56" s="28">
        <v>1174.0</v>
      </c>
      <c r="J56" s="28">
        <v>1960.0</v>
      </c>
      <c r="K56" s="28">
        <v>427.0</v>
      </c>
      <c r="L56" s="28"/>
      <c r="M56" s="28"/>
      <c r="N56" s="28">
        <v>385.0</v>
      </c>
      <c r="O56" s="28">
        <v>100.0</v>
      </c>
      <c r="P56" s="28"/>
      <c r="Q56" s="29" t="s">
        <v>35</v>
      </c>
      <c r="R56" s="28">
        <v>1000.0</v>
      </c>
      <c r="S56" s="28">
        <v>800.0</v>
      </c>
      <c r="T56" s="28">
        <v>860.0</v>
      </c>
      <c r="U56" s="28">
        <v>550.0</v>
      </c>
      <c r="V56" s="24" t="str">
        <f>IFERROR(__xludf.DUMMYFUNCTION("IFERROR(REGEXEXTRACT(A56,""G2-B-(\d+)""),"""")"),"100")</f>
        <v>100</v>
      </c>
      <c r="W56" s="24">
        <f t="shared" si="1"/>
        <v>2</v>
      </c>
      <c r="X56" s="24">
        <f>IFERROR(__xludf.DUMMYFUNCTION("IFERROR(VALUE(REGEXEXTRACT(A56,""\b(\d+)/\d+\b"")),"""")"),1.0)</f>
        <v>1</v>
      </c>
      <c r="Y56" s="24">
        <f>IFERROR(__xludf.DUMMYFUNCTION("IFERROR(VALUE(REGEXEXTRACT(A56,""\b\d+/(\d+)\b"")),"""")
"),1.0)</f>
        <v>1</v>
      </c>
      <c r="Z56" s="24">
        <f t="array" ref="Z56">IFERROR(INDEX(CRV!BU:BU, MATCH(B56, CRV!A:A, 0)), "")</f>
        <v>18.5</v>
      </c>
      <c r="AA56" s="24">
        <f t="array" ref="AA56">IFERROR(INDEX(CRV!BV:BV, MATCH(B56, CRV!A:A, 0))*X56+4.5*2+7, "")</f>
        <v>50.2</v>
      </c>
      <c r="AB56" s="24" t="str">
        <f t="array" ref="AB56">IFERROR(IF(VALUE(XLOOKUP($B56,CRV!$A:$A,CRV!$BU:$BU))&lt;=5.5,"прямой пуск (DOL)","звезда-треугольник (SD)"),"")</f>
        <v>звезда-треугольник (SD)</v>
      </c>
      <c r="AC56" s="25" t="str">
        <f t="array" ref="AC56">IFERROR(INDEX(CRV!CA:CA, MATCH(B56, CRV!A:A, 0)), "")</f>
        <v>HQQE</v>
      </c>
      <c r="AD56" s="25">
        <f t="array" ref="AD56">IFERROR(AD55-W56*XLOOKUP($B55,CRV!$A:$A,CRV!$BY:$BY)+W56*XLOOKUP($B56,CRV!$A:$A,CRV!$BY:$BY),"ошибка")</f>
        <v>656</v>
      </c>
      <c r="AE56" s="25" t="s">
        <v>76</v>
      </c>
    </row>
    <row r="57" ht="12.0" customHeight="1">
      <c r="A57" s="30" t="s">
        <v>119</v>
      </c>
      <c r="B57" s="24" t="str">
        <f>IFERROR(__xludf.DUMMYFUNCTION("IFERROR(IF(REGEXMATCH(REGEXEXTRACT(A57,""\bCRV\s*\d+(?:-\d+)+(?:-(?:A?BI|AI|BI))?\b""),""-(?:A?BI|AI|BI)$""),REGEXREPLACE(REGEXEXTRACT(A57,""\bCRV\s*\d+(?:-\d+)+(?:-(?:A?BI|AI|BI))?\b""),""-(A?BI|AI|BI)$"",""C$1""),REGEXEXTRACT(A57,""\bCRV\s*\d+(?:-\d+)+("&amp;"?:-(?:A?BI|AI|BI))?\b"")&amp;""C""),"""")"),"CRV 32-10C")</f>
        <v>CRV 32-10C</v>
      </c>
      <c r="C57" s="28">
        <v>1650.0</v>
      </c>
      <c r="D57" s="24">
        <f t="array" ref="D57">IFERROR(XLOOKUP($B57,CRV!$A:$A,CRV!$BA:$BA)+XLOOKUP($B57,CRV!$A:$A,CRV!$BB:$BB)+$O57,"")
</f>
        <v>1864</v>
      </c>
      <c r="E57" s="28">
        <v>205.0</v>
      </c>
      <c r="F57" s="28">
        <v>569.0</v>
      </c>
      <c r="G57" s="28">
        <v>605.0</v>
      </c>
      <c r="H57" s="28">
        <v>1709.0</v>
      </c>
      <c r="I57" s="28">
        <v>1174.0</v>
      </c>
      <c r="J57" s="28">
        <v>1960.0</v>
      </c>
      <c r="K57" s="28">
        <v>427.0</v>
      </c>
      <c r="L57" s="28"/>
      <c r="M57" s="28"/>
      <c r="N57" s="28">
        <v>385.0</v>
      </c>
      <c r="O57" s="28">
        <v>100.0</v>
      </c>
      <c r="P57" s="28"/>
      <c r="Q57" s="29" t="s">
        <v>35</v>
      </c>
      <c r="R57" s="28">
        <v>1000.0</v>
      </c>
      <c r="S57" s="28">
        <v>800.0</v>
      </c>
      <c r="T57" s="28">
        <v>860.0</v>
      </c>
      <c r="U57" s="28">
        <v>550.0</v>
      </c>
      <c r="V57" s="24" t="str">
        <f>IFERROR(__xludf.DUMMYFUNCTION("IFERROR(REGEXEXTRACT(A57,""G2-B-(\d+)""),"""")"),"100")</f>
        <v>100</v>
      </c>
      <c r="W57" s="24">
        <f t="shared" si="1"/>
        <v>2</v>
      </c>
      <c r="X57" s="24">
        <f>IFERROR(__xludf.DUMMYFUNCTION("IFERROR(VALUE(REGEXEXTRACT(A57,""\b(\d+)/\d+\b"")),"""")"),1.0)</f>
        <v>1</v>
      </c>
      <c r="Y57" s="24">
        <f>IFERROR(__xludf.DUMMYFUNCTION("IFERROR(VALUE(REGEXEXTRACT(A57,""\b\d+/(\d+)\b"")),"""")
"),1.0)</f>
        <v>1</v>
      </c>
      <c r="Z57" s="24">
        <f t="array" ref="Z57">IFERROR(INDEX(CRV!BU:BU, MATCH(B57, CRV!A:A, 0)), "")</f>
        <v>18.5</v>
      </c>
      <c r="AA57" s="24">
        <f t="array" ref="AA57">IFERROR(INDEX(CRV!BV:BV, MATCH(B57, CRV!A:A, 0))*X57+4.5*2+7, "")</f>
        <v>50.2</v>
      </c>
      <c r="AB57" s="24" t="str">
        <f t="array" ref="AB57">IFERROR(IF(VALUE(XLOOKUP($B57,CRV!$A:$A,CRV!$BU:$BU))&lt;=5.5,"прямой пуск (DOL)","звезда-треугольник (SD)"),"")</f>
        <v>звезда-треугольник (SD)</v>
      </c>
      <c r="AC57" s="25" t="str">
        <f t="array" ref="AC57">IFERROR(INDEX(CRV!CA:CA, MATCH(B57, CRV!A:A, 0)), "")</f>
        <v>HQQE</v>
      </c>
      <c r="AD57" s="25">
        <f t="array" ref="AD57">IFERROR(AD56-W57*XLOOKUP($B56,CRV!$A:$A,CRV!$BY:$BY)+W57*XLOOKUP($B57,CRV!$A:$A,CRV!$BY:$BY),"ошибка")</f>
        <v>656</v>
      </c>
      <c r="AE57" s="25" t="s">
        <v>76</v>
      </c>
    </row>
    <row r="58" ht="12.0" customHeight="1">
      <c r="A58" s="30" t="s">
        <v>120</v>
      </c>
      <c r="B58" s="24" t="str">
        <f>IFERROR(__xludf.DUMMYFUNCTION("IFERROR(IF(REGEXMATCH(REGEXEXTRACT(A58,""\bCRV\s*\d+(?:-\d+)+(?:-(?:A?BI|AI|BI))?\b""),""-(?:A?BI|AI|BI)$""),REGEXREPLACE(REGEXEXTRACT(A58,""\bCRV\s*\d+(?:-\d+)+(?:-(?:A?BI|AI|BI))?\b""),""-(A?BI|AI|BI)$"",""C$1""),REGEXEXTRACT(A58,""\bCRV\s*\d+(?:-\d+)+("&amp;"?:-(?:A?BI|AI|BI))?\b"")&amp;""C""),"""")"),"CRV 32-11-2C")</f>
        <v>CRV 32-11-2C</v>
      </c>
      <c r="C58" s="28">
        <v>1650.0</v>
      </c>
      <c r="D58" s="24">
        <f t="array" ref="D58">IFERROR(XLOOKUP($B58,CRV!$A:$A,CRV!$BA:$BA)+XLOOKUP($B58,CRV!$A:$A,CRV!$BB:$BB)+$O58,"")
</f>
        <v>1972</v>
      </c>
      <c r="E58" s="28">
        <v>205.0</v>
      </c>
      <c r="F58" s="28">
        <v>569.0</v>
      </c>
      <c r="G58" s="28">
        <v>605.0</v>
      </c>
      <c r="H58" s="28">
        <v>1709.0</v>
      </c>
      <c r="I58" s="28">
        <v>1174.0</v>
      </c>
      <c r="J58" s="28">
        <v>1960.0</v>
      </c>
      <c r="K58" s="28">
        <v>427.0</v>
      </c>
      <c r="L58" s="28"/>
      <c r="M58" s="28"/>
      <c r="N58" s="28">
        <v>385.0</v>
      </c>
      <c r="O58" s="28">
        <v>100.0</v>
      </c>
      <c r="P58" s="28"/>
      <c r="Q58" s="29" t="s">
        <v>35</v>
      </c>
      <c r="R58" s="28">
        <v>1000.0</v>
      </c>
      <c r="S58" s="28">
        <v>800.0</v>
      </c>
      <c r="T58" s="28">
        <v>860.0</v>
      </c>
      <c r="U58" s="28">
        <v>550.0</v>
      </c>
      <c r="V58" s="24" t="str">
        <f>IFERROR(__xludf.DUMMYFUNCTION("IFERROR(REGEXEXTRACT(A58,""G2-B-(\d+)""),"""")"),"100")</f>
        <v>100</v>
      </c>
      <c r="W58" s="24">
        <f t="shared" si="1"/>
        <v>2</v>
      </c>
      <c r="X58" s="24">
        <f>IFERROR(__xludf.DUMMYFUNCTION("IFERROR(VALUE(REGEXEXTRACT(A58,""\b(\d+)/\d+\b"")),"""")"),1.0)</f>
        <v>1</v>
      </c>
      <c r="Y58" s="24">
        <f>IFERROR(__xludf.DUMMYFUNCTION("IFERROR(VALUE(REGEXEXTRACT(A58,""\b\d+/(\d+)\b"")),"""")
"),1.0)</f>
        <v>1</v>
      </c>
      <c r="Z58" s="24">
        <f t="array" ref="Z58">IFERROR(INDEX(CRV!BU:BU, MATCH(B58, CRV!A:A, 0)), "")</f>
        <v>22</v>
      </c>
      <c r="AA58" s="24">
        <f t="array" ref="AA58">IFERROR(INDEX(CRV!BV:BV, MATCH(B58, CRV!A:A, 0))*X58+4.5*2+7, "")</f>
        <v>56.5</v>
      </c>
      <c r="AB58" s="24" t="str">
        <f t="array" ref="AB58">IFERROR(IF(VALUE(XLOOKUP($B58,CRV!$A:$A,CRV!$BU:$BU))&lt;=5.5,"прямой пуск (DOL)","звезда-треугольник (SD)"),"")</f>
        <v>звезда-треугольник (SD)</v>
      </c>
      <c r="AC58" s="25" t="str">
        <f t="array" ref="AC58">IFERROR(INDEX(CRV!CA:CA, MATCH(B58, CRV!A:A, 0)), "")</f>
        <v>HQQE</v>
      </c>
      <c r="AD58" s="25">
        <f t="array" ref="AD58">IFERROR(AD57-W58*XLOOKUP($B57,CRV!$A:$A,CRV!$BY:$BY)+W58*XLOOKUP($B58,CRV!$A:$A,CRV!$BY:$BY),"ошибка")</f>
        <v>730</v>
      </c>
      <c r="AE58" s="25" t="s">
        <v>76</v>
      </c>
    </row>
    <row r="59" ht="12.0" customHeight="1">
      <c r="A59" s="30" t="s">
        <v>121</v>
      </c>
      <c r="B59" s="24" t="str">
        <f>IFERROR(__xludf.DUMMYFUNCTION("IFERROR(IF(REGEXMATCH(REGEXEXTRACT(A59,""\bCRV\s*\d+(?:-\d+)+(?:-(?:A?BI|AI|BI))?\b""),""-(?:A?BI|AI|BI)$""),REGEXREPLACE(REGEXEXTRACT(A59,""\bCRV\s*\d+(?:-\d+)+(?:-(?:A?BI|AI|BI))?\b""),""-(A?BI|AI|BI)$"",""C$1""),REGEXEXTRACT(A59,""\bCRV\s*\d+(?:-\d+)+("&amp;"?:-(?:A?BI|AI|BI))?\b"")&amp;""C""),"""")"),"CRV 32-11C")</f>
        <v>CRV 32-11C</v>
      </c>
      <c r="C59" s="28">
        <v>1650.0</v>
      </c>
      <c r="D59" s="24">
        <f t="array" ref="D59">IFERROR(XLOOKUP($B59,CRV!$A:$A,CRV!$BA:$BA)+XLOOKUP($B59,CRV!$A:$A,CRV!$BB:$BB)+$O59,"")
</f>
        <v>1972</v>
      </c>
      <c r="E59" s="28">
        <v>205.0</v>
      </c>
      <c r="F59" s="28">
        <v>569.0</v>
      </c>
      <c r="G59" s="28">
        <v>605.0</v>
      </c>
      <c r="H59" s="28">
        <v>1709.0</v>
      </c>
      <c r="I59" s="28">
        <v>1174.0</v>
      </c>
      <c r="J59" s="28">
        <v>1960.0</v>
      </c>
      <c r="K59" s="28">
        <v>427.0</v>
      </c>
      <c r="L59" s="28"/>
      <c r="M59" s="28"/>
      <c r="N59" s="28">
        <v>385.0</v>
      </c>
      <c r="O59" s="28">
        <v>100.0</v>
      </c>
      <c r="P59" s="28"/>
      <c r="Q59" s="29" t="s">
        <v>35</v>
      </c>
      <c r="R59" s="28">
        <v>1000.0</v>
      </c>
      <c r="S59" s="28">
        <v>800.0</v>
      </c>
      <c r="T59" s="28">
        <v>860.0</v>
      </c>
      <c r="U59" s="28">
        <v>550.0</v>
      </c>
      <c r="V59" s="24" t="str">
        <f>IFERROR(__xludf.DUMMYFUNCTION("IFERROR(REGEXEXTRACT(A59,""G2-B-(\d+)""),"""")"),"100")</f>
        <v>100</v>
      </c>
      <c r="W59" s="24">
        <f t="shared" si="1"/>
        <v>2</v>
      </c>
      <c r="X59" s="24">
        <f>IFERROR(__xludf.DUMMYFUNCTION("IFERROR(VALUE(REGEXEXTRACT(A59,""\b(\d+)/\d+\b"")),"""")"),1.0)</f>
        <v>1</v>
      </c>
      <c r="Y59" s="24">
        <f>IFERROR(__xludf.DUMMYFUNCTION("IFERROR(VALUE(REGEXEXTRACT(A59,""\b\d+/(\d+)\b"")),"""")
"),1.0)</f>
        <v>1</v>
      </c>
      <c r="Z59" s="24">
        <f t="array" ref="Z59">IFERROR(INDEX(CRV!BU:BU, MATCH(B59, CRV!A:A, 0)), "")</f>
        <v>22</v>
      </c>
      <c r="AA59" s="24">
        <f t="array" ref="AA59">IFERROR(INDEX(CRV!BV:BV, MATCH(B59, CRV!A:A, 0))*X59+4.5*2+7, "")</f>
        <v>56.5</v>
      </c>
      <c r="AB59" s="24" t="str">
        <f t="array" ref="AB59">IFERROR(IF(VALUE(XLOOKUP($B59,CRV!$A:$A,CRV!$BU:$BU))&lt;=5.5,"прямой пуск (DOL)","звезда-треугольник (SD)"),"")</f>
        <v>звезда-треугольник (SD)</v>
      </c>
      <c r="AC59" s="25" t="str">
        <f t="array" ref="AC59">IFERROR(INDEX(CRV!CA:CA, MATCH(B59, CRV!A:A, 0)), "")</f>
        <v>HQQE</v>
      </c>
      <c r="AD59" s="25">
        <f t="array" ref="AD59">IFERROR(AD58-W59*XLOOKUP($B58,CRV!$A:$A,CRV!$BY:$BY)+W59*XLOOKUP($B59,CRV!$A:$A,CRV!$BY:$BY),"ошибка")</f>
        <v>730</v>
      </c>
      <c r="AE59" s="25" t="s">
        <v>76</v>
      </c>
    </row>
    <row r="60" ht="12.0" customHeight="1">
      <c r="A60" s="30" t="s">
        <v>122</v>
      </c>
      <c r="B60" s="24" t="str">
        <f>IFERROR(__xludf.DUMMYFUNCTION("IFERROR(IF(REGEXMATCH(REGEXEXTRACT(A60,""\bCRV\s*\d+(?:-\d+)+(?:-(?:A?BI|AI|BI))?\b""),""-(?:A?BI|AI|BI)$""),REGEXREPLACE(REGEXEXTRACT(A60,""\bCRV\s*\d+(?:-\d+)+(?:-(?:A?BI|AI|BI))?\b""),""-(A?BI|AI|BI)$"",""C$1""),REGEXEXTRACT(A60,""\bCRV\s*\d+(?:-\d+)+("&amp;"?:-(?:A?BI|AI|BI))?\b"")&amp;""C""),"""")"),"CRV 32-12-2C")</f>
        <v>CRV 32-12-2C</v>
      </c>
      <c r="C60" s="28">
        <v>1650.0</v>
      </c>
      <c r="D60" s="24">
        <f t="array" ref="D60">IFERROR(XLOOKUP($B60,CRV!$A:$A,CRV!$BA:$BA)+XLOOKUP($B60,CRV!$A:$A,CRV!$BB:$BB)+$O60,"")
</f>
        <v>2042</v>
      </c>
      <c r="E60" s="28">
        <v>205.0</v>
      </c>
      <c r="F60" s="28">
        <v>569.0</v>
      </c>
      <c r="G60" s="28">
        <v>605.0</v>
      </c>
      <c r="H60" s="28">
        <v>1709.0</v>
      </c>
      <c r="I60" s="28">
        <v>1174.0</v>
      </c>
      <c r="J60" s="28">
        <v>1960.0</v>
      </c>
      <c r="K60" s="28">
        <v>427.0</v>
      </c>
      <c r="L60" s="28"/>
      <c r="M60" s="28"/>
      <c r="N60" s="28">
        <v>385.0</v>
      </c>
      <c r="O60" s="28">
        <v>100.0</v>
      </c>
      <c r="P60" s="28"/>
      <c r="Q60" s="29" t="s">
        <v>35</v>
      </c>
      <c r="R60" s="28">
        <v>1000.0</v>
      </c>
      <c r="S60" s="28">
        <v>800.0</v>
      </c>
      <c r="T60" s="28">
        <v>860.0</v>
      </c>
      <c r="U60" s="28">
        <v>550.0</v>
      </c>
      <c r="V60" s="24" t="str">
        <f>IFERROR(__xludf.DUMMYFUNCTION("IFERROR(REGEXEXTRACT(A60,""G2-B-(\d+)""),"""")"),"100")</f>
        <v>100</v>
      </c>
      <c r="W60" s="24">
        <f t="shared" si="1"/>
        <v>2</v>
      </c>
      <c r="X60" s="24">
        <f>IFERROR(__xludf.DUMMYFUNCTION("IFERROR(VALUE(REGEXEXTRACT(A60,""\b(\d+)/\d+\b"")),"""")"),1.0)</f>
        <v>1</v>
      </c>
      <c r="Y60" s="24">
        <f>IFERROR(__xludf.DUMMYFUNCTION("IFERROR(VALUE(REGEXEXTRACT(A60,""\b\d+/(\d+)\b"")),"""")
"),1.0)</f>
        <v>1</v>
      </c>
      <c r="Z60" s="24">
        <f t="array" ref="Z60">IFERROR(INDEX(CRV!BU:BU, MATCH(B60, CRV!A:A, 0)), "")</f>
        <v>22</v>
      </c>
      <c r="AA60" s="24">
        <f t="array" ref="AA60">IFERROR(INDEX(CRV!BV:BV, MATCH(B60, CRV!A:A, 0))*X60+4.5*2+7, "")</f>
        <v>56.5</v>
      </c>
      <c r="AB60" s="24" t="str">
        <f t="array" ref="AB60">IFERROR(IF(VALUE(XLOOKUP($B60,CRV!$A:$A,CRV!$BU:$BU))&lt;=5.5,"прямой пуск (DOL)","звезда-треугольник (SD)"),"")</f>
        <v>звезда-треугольник (SD)</v>
      </c>
      <c r="AC60" s="25" t="str">
        <f t="array" ref="AC60">IFERROR(INDEX(CRV!CA:CA, MATCH(B60, CRV!A:A, 0)), "")</f>
        <v>HQQE</v>
      </c>
      <c r="AD60" s="25">
        <f t="array" ref="AD60">IFERROR(AD59-W60*XLOOKUP($B59,CRV!$A:$A,CRV!$BY:$BY)+W60*XLOOKUP($B60,CRV!$A:$A,CRV!$BY:$BY),"ошибка")</f>
        <v>736</v>
      </c>
      <c r="AE60" s="25" t="s">
        <v>76</v>
      </c>
    </row>
    <row r="61" ht="12.0" customHeight="1">
      <c r="A61" s="30" t="s">
        <v>123</v>
      </c>
      <c r="B61" s="24" t="str">
        <f>IFERROR(__xludf.DUMMYFUNCTION("IFERROR(IF(REGEXMATCH(REGEXEXTRACT(A61,""\bCRV\s*\d+(?:-\d+)+(?:-(?:A?BI|AI|BI))?\b""),""-(?:A?BI|AI|BI)$""),REGEXREPLACE(REGEXEXTRACT(A61,""\bCRV\s*\d+(?:-\d+)+(?:-(?:A?BI|AI|BI))?\b""),""-(A?BI|AI|BI)$"",""C$1""),REGEXEXTRACT(A61,""\bCRV\s*\d+(?:-\d+)+("&amp;"?:-(?:A?BI|AI|BI))?\b"")&amp;""C""),"""")"),"CRV 32-12C")</f>
        <v>CRV 32-12C</v>
      </c>
      <c r="C61" s="28">
        <v>1650.0</v>
      </c>
      <c r="D61" s="24">
        <f t="array" ref="D61">IFERROR(XLOOKUP($B61,CRV!$A:$A,CRV!$BA:$BA)+XLOOKUP($B61,CRV!$A:$A,CRV!$BB:$BB)+$O61,"")
</f>
        <v>2042</v>
      </c>
      <c r="E61" s="28">
        <v>205.0</v>
      </c>
      <c r="F61" s="28">
        <v>569.0</v>
      </c>
      <c r="G61" s="28">
        <v>605.0</v>
      </c>
      <c r="H61" s="28">
        <v>1709.0</v>
      </c>
      <c r="I61" s="28">
        <v>1174.0</v>
      </c>
      <c r="J61" s="28">
        <v>1960.0</v>
      </c>
      <c r="K61" s="28">
        <v>427.0</v>
      </c>
      <c r="L61" s="28"/>
      <c r="M61" s="28"/>
      <c r="N61" s="28">
        <v>385.0</v>
      </c>
      <c r="O61" s="28">
        <v>100.0</v>
      </c>
      <c r="P61" s="28"/>
      <c r="Q61" s="29" t="s">
        <v>35</v>
      </c>
      <c r="R61" s="28">
        <v>1000.0</v>
      </c>
      <c r="S61" s="28">
        <v>800.0</v>
      </c>
      <c r="T61" s="28">
        <v>860.0</v>
      </c>
      <c r="U61" s="28">
        <v>550.0</v>
      </c>
      <c r="V61" s="24" t="str">
        <f>IFERROR(__xludf.DUMMYFUNCTION("IFERROR(REGEXEXTRACT(A61,""G2-B-(\d+)""),"""")"),"100")</f>
        <v>100</v>
      </c>
      <c r="W61" s="24">
        <f t="shared" si="1"/>
        <v>2</v>
      </c>
      <c r="X61" s="24">
        <f>IFERROR(__xludf.DUMMYFUNCTION("IFERROR(VALUE(REGEXEXTRACT(A61,""\b(\d+)/\d+\b"")),"""")"),1.0)</f>
        <v>1</v>
      </c>
      <c r="Y61" s="24">
        <f>IFERROR(__xludf.DUMMYFUNCTION("IFERROR(VALUE(REGEXEXTRACT(A61,""\b\d+/(\d+)\b"")),"""")
"),1.0)</f>
        <v>1</v>
      </c>
      <c r="Z61" s="24">
        <f t="array" ref="Z61">IFERROR(INDEX(CRV!BU:BU, MATCH(B61, CRV!A:A, 0)), "")</f>
        <v>22</v>
      </c>
      <c r="AA61" s="24">
        <f t="array" ref="AA61">IFERROR(INDEX(CRV!BV:BV, MATCH(B61, CRV!A:A, 0))*X61+4.5*2+7, "")</f>
        <v>56.5</v>
      </c>
      <c r="AB61" s="24" t="str">
        <f t="array" ref="AB61">IFERROR(IF(VALUE(XLOOKUP($B61,CRV!$A:$A,CRV!$BU:$BU))&lt;=5.5,"прямой пуск (DOL)","звезда-треугольник (SD)"),"")</f>
        <v>звезда-треугольник (SD)</v>
      </c>
      <c r="AC61" s="25" t="str">
        <f t="array" ref="AC61">IFERROR(INDEX(CRV!CA:CA, MATCH(B61, CRV!A:A, 0)), "")</f>
        <v>HQQE</v>
      </c>
      <c r="AD61" s="25">
        <f t="array" ref="AD61">IFERROR(AD60-W61*XLOOKUP($B60,CRV!$A:$A,CRV!$BY:$BY)+W61*XLOOKUP($B61,CRV!$A:$A,CRV!$BY:$BY),"ошибка")</f>
        <v>736</v>
      </c>
      <c r="AE61" s="25" t="s">
        <v>76</v>
      </c>
    </row>
    <row r="62" ht="12.0" customHeight="1">
      <c r="A62" s="30" t="s">
        <v>124</v>
      </c>
      <c r="B62" s="24" t="str">
        <f>IFERROR(__xludf.DUMMYFUNCTION("IFERROR(IF(REGEXMATCH(REGEXEXTRACT(A62,""\bCRV\s*\d+(?:-\d+)+(?:-(?:A?BI|AI|BI))?\b""),""-(?:A?BI|AI|BI)$""),REGEXREPLACE(REGEXEXTRACT(A62,""\bCRV\s*\d+(?:-\d+)+(?:-(?:A?BI|AI|BI))?\b""),""-(A?BI|AI|BI)$"",""C$1""),REGEXEXTRACT(A62,""\bCRV\s*\d+(?:-\d+)+("&amp;"?:-(?:A?BI|AI|BI))?\b"")&amp;""C""),"""")"),"CRV 32-13-2C")</f>
        <v>CRV 32-13-2C</v>
      </c>
      <c r="C62" s="28">
        <v>1650.0</v>
      </c>
      <c r="D62" s="24">
        <f t="array" ref="D62">IFERROR(XLOOKUP($B62,CRV!$A:$A,CRV!$BA:$BA)+XLOOKUP($B62,CRV!$A:$A,CRV!$BB:$BB)+$O62,"")
</f>
        <v>2185</v>
      </c>
      <c r="E62" s="28">
        <v>205.0</v>
      </c>
      <c r="F62" s="28">
        <v>569.0</v>
      </c>
      <c r="G62" s="28">
        <v>605.0</v>
      </c>
      <c r="H62" s="28">
        <v>1709.0</v>
      </c>
      <c r="I62" s="28">
        <v>1174.0</v>
      </c>
      <c r="J62" s="28">
        <v>1960.0</v>
      </c>
      <c r="K62" s="28">
        <v>427.0</v>
      </c>
      <c r="L62" s="28"/>
      <c r="M62" s="28"/>
      <c r="N62" s="28">
        <v>385.0</v>
      </c>
      <c r="O62" s="28">
        <v>100.0</v>
      </c>
      <c r="P62" s="28"/>
      <c r="Q62" s="29" t="s">
        <v>35</v>
      </c>
      <c r="R62" s="28">
        <v>1000.0</v>
      </c>
      <c r="S62" s="28">
        <v>800.0</v>
      </c>
      <c r="T62" s="28">
        <v>860.0</v>
      </c>
      <c r="U62" s="28">
        <v>550.0</v>
      </c>
      <c r="V62" s="24" t="str">
        <f>IFERROR(__xludf.DUMMYFUNCTION("IFERROR(REGEXEXTRACT(A62,""G2-B-(\d+)""),"""")"),"100")</f>
        <v>100</v>
      </c>
      <c r="W62" s="24">
        <f t="shared" si="1"/>
        <v>2</v>
      </c>
      <c r="X62" s="24">
        <f>IFERROR(__xludf.DUMMYFUNCTION("IFERROR(VALUE(REGEXEXTRACT(A62,""\b(\d+)/\d+\b"")),"""")"),1.0)</f>
        <v>1</v>
      </c>
      <c r="Y62" s="24">
        <f>IFERROR(__xludf.DUMMYFUNCTION("IFERROR(VALUE(REGEXEXTRACT(A62,""\b\d+/(\d+)\b"")),"""")
"),1.0)</f>
        <v>1</v>
      </c>
      <c r="Z62" s="24">
        <f t="array" ref="Z62">IFERROR(INDEX(CRV!BU:BU, MATCH(B62, CRV!A:A, 0)), "")</f>
        <v>30</v>
      </c>
      <c r="AA62" s="24">
        <f t="array" ref="AA62">IFERROR(INDEX(CRV!BV:BV, MATCH(B62, CRV!A:A, 0))*X62+4.5*2+7, "")</f>
        <v>70.9</v>
      </c>
      <c r="AB62" s="24" t="str">
        <f t="array" ref="AB62">IFERROR(IF(VALUE(XLOOKUP($B62,CRV!$A:$A,CRV!$BU:$BU))&lt;=5.5,"прямой пуск (DOL)","звезда-треугольник (SD)"),"")</f>
        <v>звезда-треугольник (SD)</v>
      </c>
      <c r="AC62" s="25" t="str">
        <f t="array" ref="AC62">IFERROR(INDEX(CRV!CA:CA, MATCH(B62, CRV!A:A, 0)), "")</f>
        <v>HQQE</v>
      </c>
      <c r="AD62" s="25">
        <f t="array" ref="AD62">IFERROR(AD61-W62*XLOOKUP($B61,CRV!$A:$A,CRV!$BY:$BY)+W62*XLOOKUP($B62,CRV!$A:$A,CRV!$BY:$BY),"ошибка")</f>
        <v>866</v>
      </c>
      <c r="AE62" s="25" t="s">
        <v>76</v>
      </c>
    </row>
    <row r="63" ht="12.0" customHeight="1">
      <c r="A63" s="30" t="s">
        <v>125</v>
      </c>
      <c r="B63" s="24" t="str">
        <f>IFERROR(__xludf.DUMMYFUNCTION("IFERROR(IF(REGEXMATCH(REGEXEXTRACT(A63,""\bCRV\s*\d+(?:-\d+)+(?:-(?:A?BI|AI|BI))?\b""),""-(?:A?BI|AI|BI)$""),REGEXREPLACE(REGEXEXTRACT(A63,""\bCRV\s*\d+(?:-\d+)+(?:-(?:A?BI|AI|BI))?\b""),""-(A?BI|AI|BI)$"",""C$1""),REGEXEXTRACT(A63,""\bCRV\s*\d+(?:-\d+)+("&amp;"?:-(?:A?BI|AI|BI))?\b"")&amp;""C""),"""")"),"CRV 32-13C")</f>
        <v>CRV 32-13C</v>
      </c>
      <c r="C63" s="28">
        <v>1650.0</v>
      </c>
      <c r="D63" s="24">
        <f t="array" ref="D63">IFERROR(XLOOKUP($B63,CRV!$A:$A,CRV!$BA:$BA)+XLOOKUP($B63,CRV!$A:$A,CRV!$BB:$BB)+$O63,"")
</f>
        <v>2185</v>
      </c>
      <c r="E63" s="28">
        <v>205.0</v>
      </c>
      <c r="F63" s="28">
        <v>569.0</v>
      </c>
      <c r="G63" s="28">
        <v>605.0</v>
      </c>
      <c r="H63" s="28">
        <v>1709.0</v>
      </c>
      <c r="I63" s="28">
        <v>1174.0</v>
      </c>
      <c r="J63" s="28">
        <v>1960.0</v>
      </c>
      <c r="K63" s="28">
        <v>427.0</v>
      </c>
      <c r="L63" s="28"/>
      <c r="M63" s="28"/>
      <c r="N63" s="28">
        <v>385.0</v>
      </c>
      <c r="O63" s="28">
        <v>100.0</v>
      </c>
      <c r="P63" s="28"/>
      <c r="Q63" s="29" t="s">
        <v>35</v>
      </c>
      <c r="R63" s="28">
        <v>1000.0</v>
      </c>
      <c r="S63" s="28">
        <v>800.0</v>
      </c>
      <c r="T63" s="28">
        <v>860.0</v>
      </c>
      <c r="U63" s="28">
        <v>550.0</v>
      </c>
      <c r="V63" s="24" t="str">
        <f>IFERROR(__xludf.DUMMYFUNCTION("IFERROR(REGEXEXTRACT(A63,""G2-B-(\d+)""),"""")"),"100")</f>
        <v>100</v>
      </c>
      <c r="W63" s="24">
        <f t="shared" si="1"/>
        <v>2</v>
      </c>
      <c r="X63" s="24">
        <f>IFERROR(__xludf.DUMMYFUNCTION("IFERROR(VALUE(REGEXEXTRACT(A63,""\b(\d+)/\d+\b"")),"""")"),1.0)</f>
        <v>1</v>
      </c>
      <c r="Y63" s="24">
        <f>IFERROR(__xludf.DUMMYFUNCTION("IFERROR(VALUE(REGEXEXTRACT(A63,""\b\d+/(\d+)\b"")),"""")
"),1.0)</f>
        <v>1</v>
      </c>
      <c r="Z63" s="24">
        <f t="array" ref="Z63">IFERROR(INDEX(CRV!BU:BU, MATCH(B63, CRV!A:A, 0)), "")</f>
        <v>30</v>
      </c>
      <c r="AA63" s="24">
        <f t="array" ref="AA63">IFERROR(INDEX(CRV!BV:BV, MATCH(B63, CRV!A:A, 0))*X63+4.5*2+7, "")</f>
        <v>70.9</v>
      </c>
      <c r="AB63" s="24" t="str">
        <f t="array" ref="AB63">IFERROR(IF(VALUE(XLOOKUP($B63,CRV!$A:$A,CRV!$BU:$BU))&lt;=5.5,"прямой пуск (DOL)","звезда-треугольник (SD)"),"")</f>
        <v>звезда-треугольник (SD)</v>
      </c>
      <c r="AC63" s="25" t="str">
        <f t="array" ref="AC63">IFERROR(INDEX(CRV!CA:CA, MATCH(B63, CRV!A:A, 0)), "")</f>
        <v>HQQE</v>
      </c>
      <c r="AD63" s="25">
        <f t="array" ref="AD63">IFERROR(AD62-W63*XLOOKUP($B62,CRV!$A:$A,CRV!$BY:$BY)+W63*XLOOKUP($B63,CRV!$A:$A,CRV!$BY:$BY),"ошибка")</f>
        <v>866</v>
      </c>
      <c r="AE63" s="25" t="s">
        <v>76</v>
      </c>
    </row>
    <row r="64" ht="12.0" customHeight="1">
      <c r="A64" s="30" t="s">
        <v>126</v>
      </c>
      <c r="B64" s="24" t="str">
        <f>IFERROR(__xludf.DUMMYFUNCTION("IFERROR(IF(REGEXMATCH(REGEXEXTRACT(A64,""\bCRV\s*\d+(?:-\d+)+(?:-(?:A?BI|AI|BI))?\b""),""-(?:A?BI|AI|BI)$""),REGEXREPLACE(REGEXEXTRACT(A64,""\bCRV\s*\d+(?:-\d+)+(?:-(?:A?BI|AI|BI))?\b""),""-(A?BI|AI|BI)$"",""C$1""),REGEXEXTRACT(A64,""\bCRV\s*\d+(?:-\d+)+("&amp;"?:-(?:A?BI|AI|BI))?\b"")&amp;""C""),"""")"),"CRV 32-14-2C")</f>
        <v>CRV 32-14-2C</v>
      </c>
      <c r="C64" s="28">
        <v>1650.0</v>
      </c>
      <c r="D64" s="24">
        <f t="array" ref="D64">IFERROR(XLOOKUP($B64,CRV!$A:$A,CRV!$BA:$BA)+XLOOKUP($B64,CRV!$A:$A,CRV!$BB:$BB)+$O64,"")
</f>
        <v>2255</v>
      </c>
      <c r="E64" s="28">
        <v>205.0</v>
      </c>
      <c r="F64" s="28">
        <v>569.0</v>
      </c>
      <c r="G64" s="28">
        <v>605.0</v>
      </c>
      <c r="H64" s="28">
        <v>1709.0</v>
      </c>
      <c r="I64" s="28">
        <v>1174.0</v>
      </c>
      <c r="J64" s="28">
        <v>1960.0</v>
      </c>
      <c r="K64" s="28">
        <v>427.0</v>
      </c>
      <c r="L64" s="28"/>
      <c r="M64" s="28"/>
      <c r="N64" s="28">
        <v>385.0</v>
      </c>
      <c r="O64" s="28">
        <v>100.0</v>
      </c>
      <c r="P64" s="28"/>
      <c r="Q64" s="29" t="s">
        <v>35</v>
      </c>
      <c r="R64" s="28">
        <v>1000.0</v>
      </c>
      <c r="S64" s="28">
        <v>800.0</v>
      </c>
      <c r="T64" s="28">
        <v>860.0</v>
      </c>
      <c r="U64" s="28">
        <v>550.0</v>
      </c>
      <c r="V64" s="24" t="str">
        <f>IFERROR(__xludf.DUMMYFUNCTION("IFERROR(REGEXEXTRACT(A64,""G2-B-(\d+)""),"""")"),"100")</f>
        <v>100</v>
      </c>
      <c r="W64" s="24">
        <f t="shared" si="1"/>
        <v>2</v>
      </c>
      <c r="X64" s="24">
        <f>IFERROR(__xludf.DUMMYFUNCTION("IFERROR(VALUE(REGEXEXTRACT(A64,""\b(\d+)/\d+\b"")),"""")"),1.0)</f>
        <v>1</v>
      </c>
      <c r="Y64" s="24">
        <f>IFERROR(__xludf.DUMMYFUNCTION("IFERROR(VALUE(REGEXEXTRACT(A64,""\b\d+/(\d+)\b"")),"""")
"),1.0)</f>
        <v>1</v>
      </c>
      <c r="Z64" s="24">
        <f t="array" ref="Z64">IFERROR(INDEX(CRV!BU:BU, MATCH(B64, CRV!A:A, 0)), "")</f>
        <v>30</v>
      </c>
      <c r="AA64" s="24">
        <f t="array" ref="AA64">IFERROR(INDEX(CRV!BV:BV, MATCH(B64, CRV!A:A, 0))*X64+4.5*2+7, "")</f>
        <v>70.9</v>
      </c>
      <c r="AB64" s="24" t="str">
        <f t="array" ref="AB64">IFERROR(IF(VALUE(XLOOKUP($B64,CRV!$A:$A,CRV!$BU:$BU))&lt;=5.5,"прямой пуск (DOL)","звезда-треугольник (SD)"),"")</f>
        <v>звезда-треугольник (SD)</v>
      </c>
      <c r="AC64" s="25" t="str">
        <f t="array" ref="AC64">IFERROR(INDEX(CRV!CA:CA, MATCH(B64, CRV!A:A, 0)), "")</f>
        <v>HQQE</v>
      </c>
      <c r="AD64" s="25">
        <f t="array" ref="AD64">IFERROR(AD63-W64*XLOOKUP($B63,CRV!$A:$A,CRV!$BY:$BY)+W64*XLOOKUP($B64,CRV!$A:$A,CRV!$BY:$BY),"ошибка")</f>
        <v>874</v>
      </c>
      <c r="AE64" s="25" t="s">
        <v>76</v>
      </c>
    </row>
    <row r="65" ht="12.0" customHeight="1">
      <c r="A65" s="30" t="s">
        <v>127</v>
      </c>
      <c r="B65" s="24" t="str">
        <f>IFERROR(__xludf.DUMMYFUNCTION("IFERROR(IF(REGEXMATCH(REGEXEXTRACT(A65,""\bCRV\s*\d+(?:-\d+)+(?:-(?:A?BI|AI|BI))?\b""),""-(?:A?BI|AI|BI)$""),REGEXREPLACE(REGEXEXTRACT(A65,""\bCRV\s*\d+(?:-\d+)+(?:-(?:A?BI|AI|BI))?\b""),""-(A?BI|AI|BI)$"",""C$1""),REGEXEXTRACT(A65,""\bCRV\s*\d+(?:-\d+)+("&amp;"?:-(?:A?BI|AI|BI))?\b"")&amp;""C""),"""")"),"CRV 32-14C")</f>
        <v>CRV 32-14C</v>
      </c>
      <c r="C65" s="28">
        <v>1650.0</v>
      </c>
      <c r="D65" s="24">
        <f t="array" ref="D65">IFERROR(XLOOKUP($B65,CRV!$A:$A,CRV!$BA:$BA)+XLOOKUP($B65,CRV!$A:$A,CRV!$BB:$BB)+$O65,"")
</f>
        <v>2255</v>
      </c>
      <c r="E65" s="28">
        <v>205.0</v>
      </c>
      <c r="F65" s="28">
        <v>569.0</v>
      </c>
      <c r="G65" s="28">
        <v>605.0</v>
      </c>
      <c r="H65" s="28">
        <v>1709.0</v>
      </c>
      <c r="I65" s="28">
        <v>1174.0</v>
      </c>
      <c r="J65" s="28">
        <v>1960.0</v>
      </c>
      <c r="K65" s="28">
        <v>427.0</v>
      </c>
      <c r="L65" s="28"/>
      <c r="M65" s="28"/>
      <c r="N65" s="28">
        <v>385.0</v>
      </c>
      <c r="O65" s="28">
        <v>100.0</v>
      </c>
      <c r="P65" s="28"/>
      <c r="Q65" s="29" t="s">
        <v>35</v>
      </c>
      <c r="R65" s="28">
        <v>1000.0</v>
      </c>
      <c r="S65" s="28">
        <v>800.0</v>
      </c>
      <c r="T65" s="28">
        <v>860.0</v>
      </c>
      <c r="U65" s="28">
        <v>550.0</v>
      </c>
      <c r="V65" s="24" t="str">
        <f>IFERROR(__xludf.DUMMYFUNCTION("IFERROR(REGEXEXTRACT(A65,""G2-B-(\d+)""),"""")"),"100")</f>
        <v>100</v>
      </c>
      <c r="W65" s="24">
        <f t="shared" si="1"/>
        <v>2</v>
      </c>
      <c r="X65" s="24">
        <f>IFERROR(__xludf.DUMMYFUNCTION("IFERROR(VALUE(REGEXEXTRACT(A65,""\b(\d+)/\d+\b"")),"""")"),1.0)</f>
        <v>1</v>
      </c>
      <c r="Y65" s="24">
        <f>IFERROR(__xludf.DUMMYFUNCTION("IFERROR(VALUE(REGEXEXTRACT(A65,""\b\d+/(\d+)\b"")),"""")
"),1.0)</f>
        <v>1</v>
      </c>
      <c r="Z65" s="24">
        <f t="array" ref="Z65">IFERROR(INDEX(CRV!BU:BU, MATCH(B65, CRV!A:A, 0)), "")</f>
        <v>30</v>
      </c>
      <c r="AA65" s="24">
        <f t="array" ref="AA65">IFERROR(INDEX(CRV!BV:BV, MATCH(B65, CRV!A:A, 0))*X65+4.5*2+7, "")</f>
        <v>70.9</v>
      </c>
      <c r="AB65" s="24" t="str">
        <f t="array" ref="AB65">IFERROR(IF(VALUE(XLOOKUP($B65,CRV!$A:$A,CRV!$BU:$BU))&lt;=5.5,"прямой пуск (DOL)","звезда-треугольник (SD)"),"")</f>
        <v>звезда-треугольник (SD)</v>
      </c>
      <c r="AC65" s="25" t="str">
        <f t="array" ref="AC65">IFERROR(INDEX(CRV!CA:CA, MATCH(B65, CRV!A:A, 0)), "")</f>
        <v>HQQE</v>
      </c>
      <c r="AD65" s="25">
        <f t="array" ref="AD65">IFERROR(AD64-W65*XLOOKUP($B64,CRV!$A:$A,CRV!$BY:$BY)+W65*XLOOKUP($B65,CRV!$A:$A,CRV!$BY:$BY),"ошибка")</f>
        <v>874</v>
      </c>
      <c r="AE65" s="25" t="s">
        <v>76</v>
      </c>
    </row>
    <row r="66" ht="12.0" customHeight="1">
      <c r="A66" s="31"/>
      <c r="B66" s="27" t="str">
        <f>IFERROR(__xludf.DUMMYFUNCTION("IFERROR(IF(REGEXMATCH(REGEXEXTRACT(A66,""\bCRV\s*\d+(?:-\d+)+(?:-(?:A?BI|AI|BI))?\b""),""-(?:A?BI|AI|BI)$""),REGEXREPLACE(REGEXEXTRACT(A66,""\bCRV\s*\d+(?:-\d+)+(?:-(?:A?BI|AI|BI))?\b""),""-(A?BI|AI|BI)$"",""C$1""),REGEXEXTRACT(A66,""\bCRV\s*\d+(?:-\d+)+("&amp;"?:-(?:A?BI|AI|BI))?\b"")&amp;""C""),"""")"),"")</f>
        <v/>
      </c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4" t="str">
        <f>IFERROR(__xludf.DUMMYFUNCTION("IFERROR(REGEXEXTRACT(A66,""G2-B-(\d+)""),"""")"),"")</f>
        <v/>
      </c>
      <c r="W66" s="24" t="str">
        <f t="shared" si="1"/>
        <v/>
      </c>
      <c r="X66" s="24" t="str">
        <f>IFERROR(__xludf.DUMMYFUNCTION("IFERROR(VALUE(REGEXEXTRACT(A66,""\b(\d+)/\d+\b"")),"""")"),"")</f>
        <v/>
      </c>
      <c r="Y66" s="27"/>
      <c r="Z66" s="24" t="str">
        <f t="array" ref="Z66">IFERROR(INDEX(CRV!BU:BU, MATCH(B66, CRV!A:A, 0)), "")</f>
        <v/>
      </c>
      <c r="AA66" s="24" t="str">
        <f t="array" ref="AA66">IFERROR(INDEX(CRV!BV:BV, MATCH(B66, CRV!A:A, 0))*X66+4.5*2+7, "")</f>
        <v/>
      </c>
      <c r="AB66" s="27"/>
      <c r="AC66" s="25" t="str">
        <f t="array" ref="AC66">IFERROR(INDEX(CRV!CA:CA, MATCH(B66, CRV!A:A, 0)), "")</f>
        <v/>
      </c>
      <c r="AD66" s="26"/>
      <c r="AE66" s="27"/>
    </row>
    <row r="67" ht="12.0" customHeight="1">
      <c r="A67" s="24" t="s">
        <v>128</v>
      </c>
      <c r="B67" s="24" t="str">
        <f>IFERROR(__xludf.DUMMYFUNCTION("IFERROR(IF(REGEXMATCH(REGEXEXTRACT(A67,""\bCRV\s*\d+(?:-\d+)+(?:-(?:A?BI|AI|BI))?\b""),""-(?:A?BI|AI|BI)$""),REGEXREPLACE(REGEXEXTRACT(A67,""\bCRV\s*\d+(?:-\d+)+(?:-(?:A?BI|AI|BI))?\b""),""-(A?BI|AI|BI)$"",""C$1""),REGEXEXTRACT(A67,""\bCRV\s*\d+(?:-\d+)+("&amp;"?:-(?:A?BI|AI|BI))?\b"")&amp;""C""),"""")"),"CRV 45-1C")</f>
        <v>CRV 45-1C</v>
      </c>
      <c r="C67" s="24">
        <v>1650.0</v>
      </c>
      <c r="D67" s="24">
        <v>1033.0</v>
      </c>
      <c r="E67" s="24">
        <v>370.0</v>
      </c>
      <c r="F67" s="24">
        <v>686.0</v>
      </c>
      <c r="G67" s="24">
        <v>621.0</v>
      </c>
      <c r="H67" s="24">
        <v>1888.0</v>
      </c>
      <c r="I67" s="24">
        <v>1307.0</v>
      </c>
      <c r="J67" s="24">
        <v>1921.0</v>
      </c>
      <c r="K67" s="24">
        <v>1684.0</v>
      </c>
      <c r="L67" s="24">
        <v>548.0</v>
      </c>
      <c r="M67" s="24">
        <v>588.0</v>
      </c>
      <c r="N67" s="24">
        <v>1644.0</v>
      </c>
      <c r="O67" s="24">
        <v>150.0</v>
      </c>
      <c r="P67" s="24"/>
      <c r="Q67" s="25" t="s">
        <v>35</v>
      </c>
      <c r="R67" s="24">
        <v>1000.0</v>
      </c>
      <c r="S67" s="24">
        <v>800.0</v>
      </c>
      <c r="T67" s="24">
        <v>821.0</v>
      </c>
      <c r="U67" s="24">
        <v>550.0</v>
      </c>
      <c r="V67" s="24" t="str">
        <f>IFERROR(__xludf.DUMMYFUNCTION("IFERROR(REGEXEXTRACT(A67,""G2-B-(\d+)""),"""")"),"150")</f>
        <v>150</v>
      </c>
      <c r="W67" s="24">
        <f t="shared" si="1"/>
        <v>2</v>
      </c>
      <c r="X67" s="24">
        <f>IFERROR(__xludf.DUMMYFUNCTION("IFERROR(VALUE(REGEXEXTRACT(A67,""\b(\d+)/\d+\b"")),"""")"),1.0)</f>
        <v>1</v>
      </c>
      <c r="Y67" s="24">
        <f>IFERROR(__xludf.DUMMYFUNCTION("IFERROR(VALUE(REGEXEXTRACT(A67,""\b\d+/(\d+)\b"")),"""")
"),1.0)</f>
        <v>1</v>
      </c>
      <c r="Z67" s="24">
        <f t="array" ref="Z67">IFERROR(INDEX(CRV!BU:BU, MATCH(B67, CRV!A:A, 0)), "")</f>
        <v>4</v>
      </c>
      <c r="AA67" s="24">
        <f t="array" ref="AA67">IFERROR(INDEX(CRV!BV:BV, MATCH(B67, CRV!A:A, 0))*X67+4.5*2+7, "")</f>
        <v>23.8</v>
      </c>
      <c r="AB67" s="24" t="str">
        <f t="array" ref="AB67">IFERROR(IF(VALUE(XLOOKUP($B67,CRV!$A:$A,CRV!$BU:$BU))&lt;=5.5,"прямой пуск (DOL)","звезда-треугольник (SD)"),"")</f>
        <v>прямой пуск (DOL)</v>
      </c>
      <c r="AC67" s="25" t="str">
        <f t="array" ref="AC67">IFERROR(INDEX(CRV!CA:CA, MATCH(B67, CRV!A:A, 0)), "")</f>
        <v>HQQE</v>
      </c>
      <c r="AD67" s="25">
        <v>445.0</v>
      </c>
      <c r="AE67" s="24">
        <v>7.5211411E7</v>
      </c>
    </row>
    <row r="68" ht="12.0" customHeight="1">
      <c r="A68" s="24" t="s">
        <v>129</v>
      </c>
      <c r="B68" s="24" t="str">
        <f>IFERROR(__xludf.DUMMYFUNCTION("IFERROR(IF(REGEXMATCH(REGEXEXTRACT(A68,""\bCRV\s*\d+(?:-\d+)+(?:-(?:A?BI|AI|BI))?\b""),""-(?:A?BI|AI|BI)$""),REGEXREPLACE(REGEXEXTRACT(A68,""\bCRV\s*\d+(?:-\d+)+(?:-(?:A?BI|AI|BI))?\b""),""-(A?BI|AI|BI)$"",""C$1""),REGEXEXTRACT(A68,""\bCRV\s*\d+(?:-\d+)+("&amp;"?:-(?:A?BI|AI|BI))?\b"")&amp;""C""),"""")"),"CRV 45-2-2C")</f>
        <v>CRV 45-2-2C</v>
      </c>
      <c r="C68" s="24">
        <v>1650.0</v>
      </c>
      <c r="D68" s="24">
        <v>1277.0</v>
      </c>
      <c r="E68" s="24">
        <v>370.0</v>
      </c>
      <c r="F68" s="24">
        <v>686.0</v>
      </c>
      <c r="G68" s="24">
        <v>621.0</v>
      </c>
      <c r="H68" s="24">
        <v>1888.0</v>
      </c>
      <c r="I68" s="24">
        <v>1307.0</v>
      </c>
      <c r="J68" s="24">
        <v>1921.0</v>
      </c>
      <c r="K68" s="24">
        <v>1684.0</v>
      </c>
      <c r="L68" s="24">
        <v>548.0</v>
      </c>
      <c r="M68" s="24">
        <v>588.0</v>
      </c>
      <c r="N68" s="24">
        <v>1644.0</v>
      </c>
      <c r="O68" s="24">
        <v>150.0</v>
      </c>
      <c r="P68" s="24"/>
      <c r="Q68" s="25" t="s">
        <v>35</v>
      </c>
      <c r="R68" s="24">
        <v>1000.0</v>
      </c>
      <c r="S68" s="24">
        <v>800.0</v>
      </c>
      <c r="T68" s="24">
        <v>821.0</v>
      </c>
      <c r="U68" s="24">
        <v>550.0</v>
      </c>
      <c r="V68" s="24" t="str">
        <f>IFERROR(__xludf.DUMMYFUNCTION("IFERROR(REGEXEXTRACT(A68,""G2-B-(\d+)""),"""")"),"150")</f>
        <v>150</v>
      </c>
      <c r="W68" s="24">
        <f t="shared" si="1"/>
        <v>2</v>
      </c>
      <c r="X68" s="24">
        <f>IFERROR(__xludf.DUMMYFUNCTION("IFERROR(VALUE(REGEXEXTRACT(A68,""\b(\d+)/\d+\b"")),"""")"),1.0)</f>
        <v>1</v>
      </c>
      <c r="Y68" s="24">
        <f>IFERROR(__xludf.DUMMYFUNCTION("IFERROR(VALUE(REGEXEXTRACT(A68,""\b\d+/(\d+)\b"")),"""")
"),1.0)</f>
        <v>1</v>
      </c>
      <c r="Z68" s="24">
        <f t="array" ref="Z68">IFERROR(INDEX(CRV!BU:BU, MATCH(B68, CRV!A:A, 0)), "")</f>
        <v>5.5</v>
      </c>
      <c r="AA68" s="24">
        <f t="array" ref="AA68">IFERROR(INDEX(CRV!BV:BV, MATCH(B68, CRV!A:A, 0))*X68+4.5*2+7, "")</f>
        <v>26.6</v>
      </c>
      <c r="AB68" s="24" t="str">
        <f t="array" ref="AB68">IFERROR(IF(VALUE(XLOOKUP($B68,CRV!$A:$A,CRV!$BU:$BU))&lt;=5.5,"прямой пуск (DOL)","звезда-треугольник (SD)"),"")</f>
        <v>прямой пуск (DOL)</v>
      </c>
      <c r="AC68" s="25" t="str">
        <f t="array" ref="AC68">IFERROR(INDEX(CRV!CA:CA, MATCH(B68, CRV!A:A, 0)), "")</f>
        <v>HQQE</v>
      </c>
      <c r="AD68" s="25">
        <v>465.0</v>
      </c>
      <c r="AE68" s="24">
        <v>7.5211412E7</v>
      </c>
    </row>
    <row r="69" ht="12.0" customHeight="1">
      <c r="A69" s="24" t="s">
        <v>130</v>
      </c>
      <c r="B69" s="24" t="str">
        <f>IFERROR(__xludf.DUMMYFUNCTION("IFERROR(IF(REGEXMATCH(REGEXEXTRACT(A69,""\bCRV\s*\d+(?:-\d+)+(?:-(?:A?BI|AI|BI))?\b""),""-(?:A?BI|AI|BI)$""),REGEXREPLACE(REGEXEXTRACT(A69,""\bCRV\s*\d+(?:-\d+)+(?:-(?:A?BI|AI|BI))?\b""),""-(A?BI|AI|BI)$"",""C$1""),REGEXEXTRACT(A69,""\bCRV\s*\d+(?:-\d+)+("&amp;"?:-(?:A?BI|AI|BI))?\b"")&amp;""C""),"""")"),"CRV 45-2C")</f>
        <v>CRV 45-2C</v>
      </c>
      <c r="C69" s="24">
        <v>1650.0</v>
      </c>
      <c r="D69" s="24">
        <v>1315.0</v>
      </c>
      <c r="E69" s="24">
        <v>370.0</v>
      </c>
      <c r="F69" s="24">
        <v>686.0</v>
      </c>
      <c r="G69" s="24">
        <v>621.0</v>
      </c>
      <c r="H69" s="24">
        <v>1888.0</v>
      </c>
      <c r="I69" s="24">
        <v>1307.0</v>
      </c>
      <c r="J69" s="24">
        <v>1921.0</v>
      </c>
      <c r="K69" s="24">
        <v>1684.0</v>
      </c>
      <c r="L69" s="24">
        <v>548.0</v>
      </c>
      <c r="M69" s="24">
        <v>588.0</v>
      </c>
      <c r="N69" s="24">
        <v>1644.0</v>
      </c>
      <c r="O69" s="24">
        <v>150.0</v>
      </c>
      <c r="P69" s="24"/>
      <c r="Q69" s="25" t="s">
        <v>35</v>
      </c>
      <c r="R69" s="24">
        <v>1000.0</v>
      </c>
      <c r="S69" s="24">
        <v>800.0</v>
      </c>
      <c r="T69" s="24">
        <v>821.0</v>
      </c>
      <c r="U69" s="24">
        <v>550.0</v>
      </c>
      <c r="V69" s="24" t="str">
        <f>IFERROR(__xludf.DUMMYFUNCTION("IFERROR(REGEXEXTRACT(A69,""G2-B-(\d+)""),"""")"),"150")</f>
        <v>150</v>
      </c>
      <c r="W69" s="24">
        <f t="shared" si="1"/>
        <v>2</v>
      </c>
      <c r="X69" s="24">
        <f>IFERROR(__xludf.DUMMYFUNCTION("IFERROR(VALUE(REGEXEXTRACT(A69,""\b(\d+)/\d+\b"")),"""")"),1.0)</f>
        <v>1</v>
      </c>
      <c r="Y69" s="24">
        <f>IFERROR(__xludf.DUMMYFUNCTION("IFERROR(VALUE(REGEXEXTRACT(A69,""\b\d+/(\d+)\b"")),"""")
"),1.0)</f>
        <v>1</v>
      </c>
      <c r="Z69" s="24">
        <f t="array" ref="Z69">IFERROR(INDEX(CRV!BU:BU, MATCH(B69, CRV!A:A, 0)), "")</f>
        <v>7.5</v>
      </c>
      <c r="AA69" s="24">
        <f t="array" ref="AA69">IFERROR(INDEX(CRV!BV:BV, MATCH(B69, CRV!A:A, 0))*X69+4.5*2+7, "")</f>
        <v>30.4</v>
      </c>
      <c r="AB69" s="24" t="str">
        <f t="array" ref="AB69">IFERROR(IF(VALUE(XLOOKUP($B69,CRV!$A:$A,CRV!$BU:$BU))&lt;=5.5,"прямой пуск (DOL)","звезда-треугольник (SD)"),"")</f>
        <v>звезда-треугольник (SD)</v>
      </c>
      <c r="AC69" s="25" t="str">
        <f t="array" ref="AC69">IFERROR(INDEX(CRV!CA:CA, MATCH(B69, CRV!A:A, 0)), "")</f>
        <v>HQQE</v>
      </c>
      <c r="AD69" s="25">
        <v>475.0</v>
      </c>
      <c r="AE69" s="24">
        <v>7.5211413E7</v>
      </c>
    </row>
    <row r="70" ht="12.0" customHeight="1">
      <c r="A70" s="24" t="s">
        <v>131</v>
      </c>
      <c r="B70" s="24" t="str">
        <f>IFERROR(__xludf.DUMMYFUNCTION("IFERROR(IF(REGEXMATCH(REGEXEXTRACT(A70,""\bCRV\s*\d+(?:-\d+)+(?:-(?:A?BI|AI|BI))?\b""),""-(?:A?BI|AI|BI)$""),REGEXREPLACE(REGEXEXTRACT(A70,""\bCRV\s*\d+(?:-\d+)+(?:-(?:A?BI|AI|BI))?\b""),""-(A?BI|AI|BI)$"",""C$1""),REGEXEXTRACT(A70,""\bCRV\s*\d+(?:-\d+)+("&amp;"?:-(?:A?BI|AI|BI))?\b"")&amp;""C""),"""")"),"CRV 45-3-2C")</f>
        <v>CRV 45-3-2C</v>
      </c>
      <c r="C70" s="24">
        <v>1650.0</v>
      </c>
      <c r="D70" s="24">
        <v>1484.0</v>
      </c>
      <c r="E70" s="24">
        <v>370.0</v>
      </c>
      <c r="F70" s="24">
        <v>686.0</v>
      </c>
      <c r="G70" s="24">
        <v>621.0</v>
      </c>
      <c r="H70" s="24">
        <v>1888.0</v>
      </c>
      <c r="I70" s="24">
        <v>1307.0</v>
      </c>
      <c r="J70" s="24">
        <v>1921.0</v>
      </c>
      <c r="K70" s="24">
        <v>1684.0</v>
      </c>
      <c r="L70" s="24">
        <v>548.0</v>
      </c>
      <c r="M70" s="24">
        <v>588.0</v>
      </c>
      <c r="N70" s="24">
        <v>1644.0</v>
      </c>
      <c r="O70" s="24">
        <v>150.0</v>
      </c>
      <c r="P70" s="24"/>
      <c r="Q70" s="25" t="s">
        <v>35</v>
      </c>
      <c r="R70" s="24">
        <v>1000.0</v>
      </c>
      <c r="S70" s="24">
        <v>800.0</v>
      </c>
      <c r="T70" s="24">
        <v>821.0</v>
      </c>
      <c r="U70" s="24">
        <v>550.0</v>
      </c>
      <c r="V70" s="24" t="str">
        <f>IFERROR(__xludf.DUMMYFUNCTION("IFERROR(REGEXEXTRACT(A70,""G2-B-(\d+)""),"""")"),"150")</f>
        <v>150</v>
      </c>
      <c r="W70" s="24">
        <f t="shared" si="1"/>
        <v>2</v>
      </c>
      <c r="X70" s="24">
        <f>IFERROR(__xludf.DUMMYFUNCTION("IFERROR(VALUE(REGEXEXTRACT(A70,""\b(\d+)/\d+\b"")),"""")"),1.0)</f>
        <v>1</v>
      </c>
      <c r="Y70" s="24">
        <f>IFERROR(__xludf.DUMMYFUNCTION("IFERROR(VALUE(REGEXEXTRACT(A70,""\b\d+/(\d+)\b"")),"""")
"),1.0)</f>
        <v>1</v>
      </c>
      <c r="Z70" s="24">
        <f t="array" ref="Z70">IFERROR(INDEX(CRV!BU:BU, MATCH(B70, CRV!A:A, 0)), "")</f>
        <v>11</v>
      </c>
      <c r="AA70" s="24">
        <f t="array" ref="AA70">IFERROR(INDEX(CRV!BV:BV, MATCH(B70, CRV!A:A, 0))*X70+4.5*2+7, "")</f>
        <v>36.6</v>
      </c>
      <c r="AB70" s="24" t="str">
        <f t="array" ref="AB70">IFERROR(IF(VALUE(XLOOKUP($B70,CRV!$A:$A,CRV!$BU:$BU))&lt;=5.5,"прямой пуск (DOL)","звезда-треугольник (SD)"),"")</f>
        <v>звезда-треугольник (SD)</v>
      </c>
      <c r="AC70" s="25" t="str">
        <f t="array" ref="AC70">IFERROR(INDEX(CRV!CA:CA, MATCH(B70, CRV!A:A, 0)), "")</f>
        <v>HQQE</v>
      </c>
      <c r="AD70" s="25">
        <v>615.0</v>
      </c>
      <c r="AE70" s="24">
        <v>7.5211414E7</v>
      </c>
    </row>
    <row r="71" ht="12.0" customHeight="1">
      <c r="A71" s="24" t="s">
        <v>132</v>
      </c>
      <c r="B71" s="24" t="str">
        <f>IFERROR(__xludf.DUMMYFUNCTION("IFERROR(IF(REGEXMATCH(REGEXEXTRACT(A71,""\bCRV\s*\d+(?:-\d+)+(?:-(?:A?BI|AI|BI))?\b""),""-(?:A?BI|AI|BI)$""),REGEXREPLACE(REGEXEXTRACT(A71,""\bCRV\s*\d+(?:-\d+)+(?:-(?:A?BI|AI|BI))?\b""),""-(A?BI|AI|BI)$"",""C$1""),REGEXEXTRACT(A71,""\bCRV\s*\d+(?:-\d+)+("&amp;"?:-(?:A?BI|AI|BI))?\b"")&amp;""C""),"""")"),"CRV 45-3C")</f>
        <v>CRV 45-3C</v>
      </c>
      <c r="C71" s="24">
        <v>1650.0</v>
      </c>
      <c r="D71" s="24">
        <v>1484.0</v>
      </c>
      <c r="E71" s="24">
        <v>370.0</v>
      </c>
      <c r="F71" s="24">
        <v>686.0</v>
      </c>
      <c r="G71" s="24">
        <v>621.0</v>
      </c>
      <c r="H71" s="24">
        <v>1888.0</v>
      </c>
      <c r="I71" s="24">
        <v>1307.0</v>
      </c>
      <c r="J71" s="24">
        <v>1921.0</v>
      </c>
      <c r="K71" s="24">
        <v>1684.0</v>
      </c>
      <c r="L71" s="24">
        <v>548.0</v>
      </c>
      <c r="M71" s="24">
        <v>588.0</v>
      </c>
      <c r="N71" s="24">
        <v>1644.0</v>
      </c>
      <c r="O71" s="24">
        <v>150.0</v>
      </c>
      <c r="P71" s="24"/>
      <c r="Q71" s="25" t="s">
        <v>35</v>
      </c>
      <c r="R71" s="24">
        <v>1000.0</v>
      </c>
      <c r="S71" s="24">
        <v>800.0</v>
      </c>
      <c r="T71" s="24">
        <v>821.0</v>
      </c>
      <c r="U71" s="24">
        <v>550.0</v>
      </c>
      <c r="V71" s="24" t="str">
        <f>IFERROR(__xludf.DUMMYFUNCTION("IFERROR(REGEXEXTRACT(A71,""G2-B-(\d+)""),"""")"),"150")</f>
        <v>150</v>
      </c>
      <c r="W71" s="24">
        <f t="shared" si="1"/>
        <v>2</v>
      </c>
      <c r="X71" s="24">
        <f>IFERROR(__xludf.DUMMYFUNCTION("IFERROR(VALUE(REGEXEXTRACT(A71,""\b(\d+)/\d+\b"")),"""")"),1.0)</f>
        <v>1</v>
      </c>
      <c r="Y71" s="24">
        <f>IFERROR(__xludf.DUMMYFUNCTION("IFERROR(VALUE(REGEXEXTRACT(A71,""\b\d+/(\d+)\b"")),"""")
"),1.0)</f>
        <v>1</v>
      </c>
      <c r="Z71" s="24">
        <f t="array" ref="Z71">IFERROR(INDEX(CRV!BU:BU, MATCH(B71, CRV!A:A, 0)), "")</f>
        <v>11</v>
      </c>
      <c r="AA71" s="24">
        <f t="array" ref="AA71">IFERROR(INDEX(CRV!BV:BV, MATCH(B71, CRV!A:A, 0))*X71+4.5*2+7, "")</f>
        <v>36.6</v>
      </c>
      <c r="AB71" s="24" t="str">
        <f t="array" ref="AB71">IFERROR(IF(VALUE(XLOOKUP($B71,CRV!$A:$A,CRV!$BU:$BU))&lt;=5.5,"прямой пуск (DOL)","звезда-треугольник (SD)"),"")</f>
        <v>звезда-треугольник (SD)</v>
      </c>
      <c r="AC71" s="25" t="str">
        <f t="array" ref="AC71">IFERROR(INDEX(CRV!CA:CA, MATCH(B71, CRV!A:A, 0)), "")</f>
        <v>HQQE</v>
      </c>
      <c r="AD71" s="25">
        <v>615.0</v>
      </c>
      <c r="AE71" s="24">
        <v>7.5211415E7</v>
      </c>
    </row>
    <row r="72" ht="12.0" customHeight="1">
      <c r="A72" s="24" t="s">
        <v>133</v>
      </c>
      <c r="B72" s="24" t="str">
        <f>IFERROR(__xludf.DUMMYFUNCTION("IFERROR(IF(REGEXMATCH(REGEXEXTRACT(A72,""\bCRV\s*\d+(?:-\d+)+(?:-(?:A?BI|AI|BI))?\b""),""-(?:A?BI|AI|BI)$""),REGEXREPLACE(REGEXEXTRACT(A72,""\bCRV\s*\d+(?:-\d+)+(?:-(?:A?BI|AI|BI))?\b""),""-(A?BI|AI|BI)$"",""C$1""),REGEXEXTRACT(A72,""\bCRV\s*\d+(?:-\d+)+("&amp;"?:-(?:A?BI|AI|BI))?\b"")&amp;""C""),"""")"),"CRV 45-4C")</f>
        <v>CRV 45-4C</v>
      </c>
      <c r="C72" s="24">
        <v>1650.0</v>
      </c>
      <c r="D72" s="24">
        <v>1605.0</v>
      </c>
      <c r="E72" s="24">
        <v>370.0</v>
      </c>
      <c r="F72" s="24">
        <v>686.0</v>
      </c>
      <c r="G72" s="24">
        <v>621.0</v>
      </c>
      <c r="H72" s="24">
        <v>1888.0</v>
      </c>
      <c r="I72" s="24">
        <v>1307.0</v>
      </c>
      <c r="J72" s="24">
        <v>1921.0</v>
      </c>
      <c r="K72" s="24">
        <v>1684.0</v>
      </c>
      <c r="L72" s="24">
        <v>548.0</v>
      </c>
      <c r="M72" s="24">
        <v>588.0</v>
      </c>
      <c r="N72" s="24">
        <v>1644.0</v>
      </c>
      <c r="O72" s="24">
        <v>150.0</v>
      </c>
      <c r="P72" s="24"/>
      <c r="Q72" s="25" t="s">
        <v>35</v>
      </c>
      <c r="R72" s="24">
        <v>1000.0</v>
      </c>
      <c r="S72" s="24">
        <v>800.0</v>
      </c>
      <c r="T72" s="24">
        <v>821.0</v>
      </c>
      <c r="U72" s="24">
        <v>550.0</v>
      </c>
      <c r="V72" s="24" t="str">
        <f>IFERROR(__xludf.DUMMYFUNCTION("IFERROR(REGEXEXTRACT(A72,""G2-B-(\d+)""),"""")"),"150")</f>
        <v>150</v>
      </c>
      <c r="W72" s="24">
        <f t="shared" si="1"/>
        <v>2</v>
      </c>
      <c r="X72" s="24">
        <f>IFERROR(__xludf.DUMMYFUNCTION("IFERROR(VALUE(REGEXEXTRACT(A72,""\b(\d+)/\d+\b"")),"""")"),1.0)</f>
        <v>1</v>
      </c>
      <c r="Y72" s="24">
        <f>IFERROR(__xludf.DUMMYFUNCTION("IFERROR(VALUE(REGEXEXTRACT(A72,""\b\d+/(\d+)\b"")),"""")
"),1.0)</f>
        <v>1</v>
      </c>
      <c r="Z72" s="24">
        <f t="array" ref="Z72">IFERROR(INDEX(CRV!BU:BU, MATCH(B72, CRV!A:A, 0)), "")</f>
        <v>15</v>
      </c>
      <c r="AA72" s="24">
        <f t="array" ref="AA72">IFERROR(INDEX(CRV!BV:BV, MATCH(B72, CRV!A:A, 0))*X72+4.5*2+7, "")</f>
        <v>43.9</v>
      </c>
      <c r="AB72" s="24" t="str">
        <f t="array" ref="AB72">IFERROR(IF(VALUE(XLOOKUP($B72,CRV!$A:$A,CRV!$BU:$BU))&lt;=5.5,"прямой пуск (DOL)","звезда-треугольник (SD)"),"")</f>
        <v>звезда-треугольник (SD)</v>
      </c>
      <c r="AC72" s="25" t="str">
        <f t="array" ref="AC72">IFERROR(INDEX(CRV!CA:CA, MATCH(B72, CRV!A:A, 0)), "")</f>
        <v>HQQE</v>
      </c>
      <c r="AD72" s="25">
        <v>639.0</v>
      </c>
      <c r="AE72" s="24">
        <v>7.5211416E7</v>
      </c>
    </row>
    <row r="73" ht="12.0" customHeight="1">
      <c r="A73" s="24" t="s">
        <v>134</v>
      </c>
      <c r="B73" s="24" t="str">
        <f>IFERROR(__xludf.DUMMYFUNCTION("IFERROR(IF(REGEXMATCH(REGEXEXTRACT(A73,""\bCRV\s*\d+(?:-\d+)+(?:-(?:A?BI|AI|BI))?\b""),""-(?:A?BI|AI|BI)$""),REGEXREPLACE(REGEXEXTRACT(A73,""\bCRV\s*\d+(?:-\d+)+(?:-(?:A?BI|AI|BI))?\b""),""-(A?BI|AI|BI)$"",""C$1""),REGEXEXTRACT(A73,""\bCRV\s*\d+(?:-\d+)+("&amp;"?:-(?:A?BI|AI|BI))?\b"")&amp;""C""),"""")"),"CRV 45-5C")</f>
        <v>CRV 45-5C</v>
      </c>
      <c r="C73" s="24">
        <v>1650.0</v>
      </c>
      <c r="D73" s="24">
        <v>1738.0</v>
      </c>
      <c r="E73" s="24">
        <v>370.0</v>
      </c>
      <c r="F73" s="24">
        <v>686.0</v>
      </c>
      <c r="G73" s="24">
        <v>621.0</v>
      </c>
      <c r="H73" s="24">
        <v>1888.0</v>
      </c>
      <c r="I73" s="24">
        <v>1307.0</v>
      </c>
      <c r="J73" s="24">
        <v>1921.0</v>
      </c>
      <c r="K73" s="24">
        <v>1684.0</v>
      </c>
      <c r="L73" s="24">
        <v>548.0</v>
      </c>
      <c r="M73" s="24">
        <v>588.0</v>
      </c>
      <c r="N73" s="24">
        <v>1644.0</v>
      </c>
      <c r="O73" s="24">
        <v>150.0</v>
      </c>
      <c r="P73" s="24"/>
      <c r="Q73" s="25" t="s">
        <v>35</v>
      </c>
      <c r="R73" s="24">
        <v>1000.0</v>
      </c>
      <c r="S73" s="24">
        <v>800.0</v>
      </c>
      <c r="T73" s="24">
        <v>821.0</v>
      </c>
      <c r="U73" s="24">
        <v>550.0</v>
      </c>
      <c r="V73" s="24" t="str">
        <f>IFERROR(__xludf.DUMMYFUNCTION("IFERROR(REGEXEXTRACT(A73,""G2-B-(\d+)""),"""")"),"150")</f>
        <v>150</v>
      </c>
      <c r="W73" s="24">
        <f t="shared" si="1"/>
        <v>2</v>
      </c>
      <c r="X73" s="24">
        <f>IFERROR(__xludf.DUMMYFUNCTION("IFERROR(VALUE(REGEXEXTRACT(A73,""\b(\d+)/\d+\b"")),"""")"),1.0)</f>
        <v>1</v>
      </c>
      <c r="Y73" s="24">
        <f>IFERROR(__xludf.DUMMYFUNCTION("IFERROR(VALUE(REGEXEXTRACT(A73,""\b\d+/(\d+)\b"")),"""")
"),1.0)</f>
        <v>1</v>
      </c>
      <c r="Z73" s="24">
        <f t="array" ref="Z73">IFERROR(INDEX(CRV!BU:BU, MATCH(B73, CRV!A:A, 0)), "")</f>
        <v>18.5</v>
      </c>
      <c r="AA73" s="24">
        <f t="array" ref="AA73">IFERROR(INDEX(CRV!BV:BV, MATCH(B73, CRV!A:A, 0))*X73+4.5*2+7, "")</f>
        <v>50.2</v>
      </c>
      <c r="AB73" s="24" t="str">
        <f t="array" ref="AB73">IFERROR(IF(VALUE(XLOOKUP($B73,CRV!$A:$A,CRV!$BU:$BU))&lt;=5.5,"прямой пуск (DOL)","звезда-треугольник (SD)"),"")</f>
        <v>звезда-треугольник (SD)</v>
      </c>
      <c r="AC73" s="25" t="str">
        <f t="array" ref="AC73">IFERROR(INDEX(CRV!CA:CA, MATCH(B73, CRV!A:A, 0)), "")</f>
        <v>HQQE</v>
      </c>
      <c r="AD73" s="25">
        <v>681.0</v>
      </c>
      <c r="AE73" s="24">
        <v>7.5211417E7</v>
      </c>
    </row>
    <row r="74" ht="12.0" customHeight="1">
      <c r="A74" s="30" t="s">
        <v>135</v>
      </c>
      <c r="B74" s="24" t="str">
        <f>IFERROR(__xludf.DUMMYFUNCTION("IFERROR(IF(REGEXMATCH(REGEXEXTRACT(A74,""\bCRV\s*\d+(?:-\d+)+(?:-(?:A?BI|AI|BI))?\b""),""-(?:A?BI|AI|BI)$""),REGEXREPLACE(REGEXEXTRACT(A74,""\bCRV\s*\d+(?:-\d+)+(?:-(?:A?BI|AI|BI))?\b""),""-(A?BI|AI|BI)$"",""C$1""),REGEXEXTRACT(A74,""\bCRV\s*\d+(?:-\d+)+("&amp;"?:-(?:A?BI|AI|BI))?\b"")&amp;""C""),"""")"),"CRV 45-6-2C")</f>
        <v>CRV 45-6-2C</v>
      </c>
      <c r="C74" s="24">
        <v>1650.0</v>
      </c>
      <c r="D74" s="28">
        <f t="array" ref="D74">IFERROR(D73-(INDEX(CRV!$BA:$BA,MATCH(B73,CRV!$A:$A,0))+INDEX(CRV!$BB:$BB,MATCH(B73,CRV!$A:$A,0)))+(INDEX(CRV!$BA:$BA,MATCH(B74,CRV!$A:$A,0))+INDEX(CRV!$BB:$BB,MATCH(B74,CRV!$A:$A,0))),"")</f>
        <v>1856</v>
      </c>
      <c r="E74" s="24">
        <v>370.0</v>
      </c>
      <c r="F74" s="24">
        <v>686.0</v>
      </c>
      <c r="G74" s="24">
        <v>621.0</v>
      </c>
      <c r="H74" s="24">
        <v>1888.0</v>
      </c>
      <c r="I74" s="24">
        <v>1307.0</v>
      </c>
      <c r="J74" s="24">
        <v>1921.0</v>
      </c>
      <c r="K74" s="24">
        <v>1684.0</v>
      </c>
      <c r="L74" s="24">
        <v>548.0</v>
      </c>
      <c r="M74" s="24">
        <v>588.0</v>
      </c>
      <c r="N74" s="24">
        <v>1644.0</v>
      </c>
      <c r="O74" s="24">
        <v>150.0</v>
      </c>
      <c r="P74" s="24"/>
      <c r="Q74" s="25" t="s">
        <v>35</v>
      </c>
      <c r="R74" s="24">
        <v>1000.0</v>
      </c>
      <c r="S74" s="24">
        <v>800.0</v>
      </c>
      <c r="T74" s="24">
        <v>821.0</v>
      </c>
      <c r="U74" s="24">
        <v>550.0</v>
      </c>
      <c r="V74" s="24" t="str">
        <f>IFERROR(__xludf.DUMMYFUNCTION("IFERROR(REGEXEXTRACT(A74,""G2-B-(\d+)""),"""")"),"100")</f>
        <v>100</v>
      </c>
      <c r="W74" s="24">
        <f t="shared" si="1"/>
        <v>2</v>
      </c>
      <c r="X74" s="24">
        <f>IFERROR(__xludf.DUMMYFUNCTION("IFERROR(VALUE(REGEXEXTRACT(A74,""\b(\d+)/\d+\b"")),"""")"),1.0)</f>
        <v>1</v>
      </c>
      <c r="Y74" s="24">
        <f>IFERROR(__xludf.DUMMYFUNCTION("IFERROR(VALUE(REGEXEXTRACT(A74,""\b\d+/(\d+)\b"")),"""")
"),1.0)</f>
        <v>1</v>
      </c>
      <c r="Z74" s="24">
        <f t="array" ref="Z74">IFERROR(INDEX(CRV!BU:BU, MATCH(B74, CRV!A:A, 0)), "")</f>
        <v>22</v>
      </c>
      <c r="AA74" s="24">
        <f t="array" ref="AA74">IFERROR(INDEX(CRV!BV:BV, MATCH(B74, CRV!A:A, 0))*X74+4.5*2+7, "")</f>
        <v>56.5</v>
      </c>
      <c r="AB74" s="24" t="str">
        <f t="array" ref="AB74">IFERROR(IF(VALUE(XLOOKUP($B74,CRV!$A:$A,CRV!$BU:$BU))&lt;=5.5,"прямой пуск (DOL)","звезда-треугольник (SD)"),"")</f>
        <v>звезда-треугольник (SD)</v>
      </c>
      <c r="AC74" s="25" t="str">
        <f t="array" ref="AC74">IFERROR(INDEX(CRV!CA:CA, MATCH(B74, CRV!A:A, 0)), "")</f>
        <v>HQQE</v>
      </c>
      <c r="AD74" s="25">
        <f t="array" ref="AD74">IFERROR(AD73-W74*XLOOKUP($B73,CRV!$A:$A,CRV!$BY:$BY)+W74*XLOOKUP($B74,CRV!$A:$A,CRV!$BY:$BY),"ошибка")</f>
        <v>767</v>
      </c>
      <c r="AE74" s="25" t="s">
        <v>76</v>
      </c>
    </row>
    <row r="75" ht="12.0" customHeight="1">
      <c r="A75" s="32" t="s">
        <v>136</v>
      </c>
      <c r="B75" s="24" t="str">
        <f>IFERROR(__xludf.DUMMYFUNCTION("IFERROR(IF(REGEXMATCH(REGEXEXTRACT(A75,""\bCRV\s*\d+(?:-\d+)+(?:-(?:A?BI|AI|BI))?\b""),""-(?:A?BI|AI|BI)$""),REGEXREPLACE(REGEXEXTRACT(A75,""\bCRV\s*\d+(?:-\d+)+(?:-(?:A?BI|AI|BI))?\b""),""-(A?BI|AI|BI)$"",""C$1""),REGEXEXTRACT(A75,""\bCRV\s*\d+(?:-\d+)+("&amp;"?:-(?:A?BI|AI|BI))?\b"")&amp;""C""),"""")"),"CRV 45-6C")</f>
        <v>CRV 45-6C</v>
      </c>
      <c r="C75" s="24">
        <v>1650.0</v>
      </c>
      <c r="D75" s="28">
        <f t="array" ref="D75">IFERROR(D74-(INDEX(CRV!$BA:$BA,MATCH(B74,CRV!$A:$A,0))+INDEX(CRV!$BB:$BB,MATCH(B74,CRV!$A:$A,0)))+(INDEX(CRV!$BA:$BA,MATCH(B75,CRV!$A:$A,0))+INDEX(CRV!$BB:$BB,MATCH(B75,CRV!$A:$A,0))),"")</f>
        <v>1856</v>
      </c>
      <c r="E75" s="24">
        <v>370.0</v>
      </c>
      <c r="F75" s="24">
        <v>686.0</v>
      </c>
      <c r="G75" s="24">
        <v>621.0</v>
      </c>
      <c r="H75" s="24">
        <v>1888.0</v>
      </c>
      <c r="I75" s="24">
        <v>1307.0</v>
      </c>
      <c r="J75" s="24">
        <v>1921.0</v>
      </c>
      <c r="K75" s="24">
        <v>1684.0</v>
      </c>
      <c r="L75" s="24">
        <v>548.0</v>
      </c>
      <c r="M75" s="24">
        <v>588.0</v>
      </c>
      <c r="N75" s="24">
        <v>1644.0</v>
      </c>
      <c r="O75" s="24">
        <v>150.0</v>
      </c>
      <c r="P75" s="24"/>
      <c r="Q75" s="25" t="s">
        <v>35</v>
      </c>
      <c r="R75" s="24">
        <v>1000.0</v>
      </c>
      <c r="S75" s="24">
        <v>800.0</v>
      </c>
      <c r="T75" s="24">
        <v>821.0</v>
      </c>
      <c r="U75" s="24">
        <v>550.0</v>
      </c>
      <c r="V75" s="24" t="str">
        <f>IFERROR(__xludf.DUMMYFUNCTION("IFERROR(REGEXEXTRACT(A75,""G2-B-(\d+)""),"""")"),"100")</f>
        <v>100</v>
      </c>
      <c r="W75" s="24">
        <f t="shared" si="1"/>
        <v>2</v>
      </c>
      <c r="X75" s="24">
        <f>IFERROR(__xludf.DUMMYFUNCTION("IFERROR(VALUE(REGEXEXTRACT(A75,""\b(\d+)/\d+\b"")),"""")"),1.0)</f>
        <v>1</v>
      </c>
      <c r="Y75" s="24">
        <f>IFERROR(__xludf.DUMMYFUNCTION("IFERROR(VALUE(REGEXEXTRACT(A75,""\b\d+/(\d+)\b"")),"""")
"),1.0)</f>
        <v>1</v>
      </c>
      <c r="Z75" s="24">
        <f t="array" ref="Z75">IFERROR(INDEX(CRV!BU:BU, MATCH(B75, CRV!A:A, 0)), "")</f>
        <v>22</v>
      </c>
      <c r="AA75" s="24">
        <f t="array" ref="AA75">IFERROR(INDEX(CRV!BV:BV, MATCH(B75, CRV!A:A, 0))*X75+4.5*2+7, "")</f>
        <v>56.5</v>
      </c>
      <c r="AB75" s="24" t="str">
        <f t="array" ref="AB75">IFERROR(IF(VALUE(XLOOKUP($B75,CRV!$A:$A,CRV!$BU:$BU))&lt;=5.5,"прямой пуск (DOL)","звезда-треугольник (SD)"),"")</f>
        <v>звезда-треугольник (SD)</v>
      </c>
      <c r="AC75" s="25" t="str">
        <f t="array" ref="AC75">IFERROR(INDEX(CRV!CA:CA, MATCH(B75, CRV!A:A, 0)), "")</f>
        <v>HQQE</v>
      </c>
      <c r="AD75" s="25">
        <f t="array" ref="AD75">IFERROR(AD74-W75*XLOOKUP($B74,CRV!$A:$A,CRV!$BY:$BY)+W75*XLOOKUP($B75,CRV!$A:$A,CRV!$BY:$BY),"ошибка")</f>
        <v>767</v>
      </c>
      <c r="AE75" s="25" t="s">
        <v>76</v>
      </c>
    </row>
    <row r="76" ht="12.0" customHeight="1">
      <c r="A76" s="30" t="s">
        <v>137</v>
      </c>
      <c r="B76" s="24" t="str">
        <f>IFERROR(__xludf.DUMMYFUNCTION("IFERROR(IF(REGEXMATCH(REGEXEXTRACT(A76,""\bCRV\s*\d+(?:-\d+)+(?:-(?:A?BI|AI|BI))?\b""),""-(?:A?BI|AI|BI)$""),REGEXREPLACE(REGEXEXTRACT(A76,""\bCRV\s*\d+(?:-\d+)+(?:-(?:A?BI|AI|BI))?\b""),""-(A?BI|AI|BI)$"",""C$1""),REGEXEXTRACT(A76,""\bCRV\s*\d+(?:-\d+)+("&amp;"?:-(?:A?BI|AI|BI))?\b"")&amp;""C""),"""")"),"CRV 45-7-2C")</f>
        <v>CRV 45-7-2C</v>
      </c>
      <c r="C76" s="24">
        <v>1650.0</v>
      </c>
      <c r="D76" s="28">
        <f t="array" ref="D76">IFERROR(D75-(INDEX(CRV!$BA:$BA,MATCH(B75,CRV!$A:$A,0))+INDEX(CRV!$BB:$BB,MATCH(B75,CRV!$A:$A,0)))+(INDEX(CRV!$BA:$BA,MATCH(B76,CRV!$A:$A,0))+INDEX(CRV!$BB:$BB,MATCH(B76,CRV!$A:$A,0))),"")</f>
        <v>2009</v>
      </c>
      <c r="E76" s="24">
        <v>370.0</v>
      </c>
      <c r="F76" s="24">
        <v>686.0</v>
      </c>
      <c r="G76" s="24">
        <v>621.0</v>
      </c>
      <c r="H76" s="24">
        <v>1888.0</v>
      </c>
      <c r="I76" s="24">
        <v>1307.0</v>
      </c>
      <c r="J76" s="24">
        <v>1921.0</v>
      </c>
      <c r="K76" s="24">
        <v>1684.0</v>
      </c>
      <c r="L76" s="24">
        <v>548.0</v>
      </c>
      <c r="M76" s="24">
        <v>588.0</v>
      </c>
      <c r="N76" s="24">
        <v>1644.0</v>
      </c>
      <c r="O76" s="24">
        <v>150.0</v>
      </c>
      <c r="P76" s="24"/>
      <c r="Q76" s="25" t="s">
        <v>35</v>
      </c>
      <c r="R76" s="24">
        <v>1000.0</v>
      </c>
      <c r="S76" s="24">
        <v>800.0</v>
      </c>
      <c r="T76" s="24">
        <v>821.0</v>
      </c>
      <c r="U76" s="24">
        <v>550.0</v>
      </c>
      <c r="V76" s="24" t="str">
        <f>IFERROR(__xludf.DUMMYFUNCTION("IFERROR(REGEXEXTRACT(A76,""G2-B-(\d+)""),"""")"),"100")</f>
        <v>100</v>
      </c>
      <c r="W76" s="24">
        <f t="shared" si="1"/>
        <v>2</v>
      </c>
      <c r="X76" s="24">
        <f>IFERROR(__xludf.DUMMYFUNCTION("IFERROR(VALUE(REGEXEXTRACT(A76,""\b(\d+)/\d+\b"")),"""")"),1.0)</f>
        <v>1</v>
      </c>
      <c r="Y76" s="24">
        <f>IFERROR(__xludf.DUMMYFUNCTION("IFERROR(VALUE(REGEXEXTRACT(A76,""\b\d+/(\d+)\b"")),"""")
"),1.0)</f>
        <v>1</v>
      </c>
      <c r="Z76" s="24">
        <f t="array" ref="Z76">IFERROR(INDEX(CRV!BU:BU, MATCH(B76, CRV!A:A, 0)), "")</f>
        <v>30</v>
      </c>
      <c r="AA76" s="24">
        <f t="array" ref="AA76">IFERROR(INDEX(CRV!BV:BV, MATCH(B76, CRV!A:A, 0))*X76+4.5*2+7, "")</f>
        <v>70.9</v>
      </c>
      <c r="AB76" s="24" t="str">
        <f t="array" ref="AB76">IFERROR(IF(VALUE(XLOOKUP($B76,CRV!$A:$A,CRV!$BU:$BU))&lt;=5.5,"прямой пуск (DOL)","звезда-треугольник (SD)"),"")</f>
        <v>звезда-треугольник (SD)</v>
      </c>
      <c r="AC76" s="25" t="str">
        <f t="array" ref="AC76">IFERROR(INDEX(CRV!CA:CA, MATCH(B76, CRV!A:A, 0)), "")</f>
        <v>HQQE</v>
      </c>
      <c r="AD76" s="25">
        <f t="array" ref="AD76">IFERROR(AD75-W76*XLOOKUP($B75,CRV!$A:$A,CRV!$BY:$BY)+W76*XLOOKUP($B76,CRV!$A:$A,CRV!$BY:$BY),"ошибка")</f>
        <v>891</v>
      </c>
      <c r="AE76" s="25" t="s">
        <v>76</v>
      </c>
    </row>
    <row r="77" ht="12.0" customHeight="1">
      <c r="A77" s="30" t="s">
        <v>138</v>
      </c>
      <c r="B77" s="24" t="str">
        <f>IFERROR(__xludf.DUMMYFUNCTION("IFERROR(IF(REGEXMATCH(REGEXEXTRACT(A77,""\bCRV\s*\d+(?:-\d+)+(?:-(?:A?BI|AI|BI))?\b""),""-(?:A?BI|AI|BI)$""),REGEXREPLACE(REGEXEXTRACT(A77,""\bCRV\s*\d+(?:-\d+)+(?:-(?:A?BI|AI|BI))?\b""),""-(A?BI|AI|BI)$"",""C$1""),REGEXEXTRACT(A77,""\bCRV\s*\d+(?:-\d+)+("&amp;"?:-(?:A?BI|AI|BI))?\b"")&amp;""C""),"""")"),"CRV 45-7C")</f>
        <v>CRV 45-7C</v>
      </c>
      <c r="C77" s="24">
        <v>1650.0</v>
      </c>
      <c r="D77" s="28">
        <f t="array" ref="D77">IFERROR(D76-(INDEX(CRV!$BA:$BA,MATCH(B76,CRV!$A:$A,0))+INDEX(CRV!$BB:$BB,MATCH(B76,CRV!$A:$A,0)))+(INDEX(CRV!$BA:$BA,MATCH(B77,CRV!$A:$A,0))+INDEX(CRV!$BB:$BB,MATCH(B77,CRV!$A:$A,0))),"")</f>
        <v>2009</v>
      </c>
      <c r="E77" s="24">
        <v>370.0</v>
      </c>
      <c r="F77" s="24">
        <v>686.0</v>
      </c>
      <c r="G77" s="24">
        <v>621.0</v>
      </c>
      <c r="H77" s="24">
        <v>1888.0</v>
      </c>
      <c r="I77" s="24">
        <v>1307.0</v>
      </c>
      <c r="J77" s="24">
        <v>1921.0</v>
      </c>
      <c r="K77" s="24">
        <v>1684.0</v>
      </c>
      <c r="L77" s="24">
        <v>548.0</v>
      </c>
      <c r="M77" s="24">
        <v>588.0</v>
      </c>
      <c r="N77" s="24">
        <v>1644.0</v>
      </c>
      <c r="O77" s="24">
        <v>150.0</v>
      </c>
      <c r="P77" s="24"/>
      <c r="Q77" s="25" t="s">
        <v>35</v>
      </c>
      <c r="R77" s="24">
        <v>1000.0</v>
      </c>
      <c r="S77" s="24">
        <v>800.0</v>
      </c>
      <c r="T77" s="24">
        <v>821.0</v>
      </c>
      <c r="U77" s="24">
        <v>550.0</v>
      </c>
      <c r="V77" s="24" t="str">
        <f>IFERROR(__xludf.DUMMYFUNCTION("IFERROR(REGEXEXTRACT(A77,""G2-B-(\d+)""),"""")"),"100")</f>
        <v>100</v>
      </c>
      <c r="W77" s="24">
        <f t="shared" si="1"/>
        <v>2</v>
      </c>
      <c r="X77" s="24">
        <f>IFERROR(__xludf.DUMMYFUNCTION("IFERROR(VALUE(REGEXEXTRACT(A77,""\b(\d+)/\d+\b"")),"""")"),1.0)</f>
        <v>1</v>
      </c>
      <c r="Y77" s="24">
        <f>IFERROR(__xludf.DUMMYFUNCTION("IFERROR(VALUE(REGEXEXTRACT(A77,""\b\d+/(\d+)\b"")),"""")
"),1.0)</f>
        <v>1</v>
      </c>
      <c r="Z77" s="24">
        <f t="array" ref="Z77">IFERROR(INDEX(CRV!BU:BU, MATCH(B77, CRV!A:A, 0)), "")</f>
        <v>30</v>
      </c>
      <c r="AA77" s="24">
        <f t="array" ref="AA77">IFERROR(INDEX(CRV!BV:BV, MATCH(B77, CRV!A:A, 0))*X77+4.5*2+7, "")</f>
        <v>70.9</v>
      </c>
      <c r="AB77" s="24" t="str">
        <f t="array" ref="AB77">IFERROR(IF(VALUE(XLOOKUP($B77,CRV!$A:$A,CRV!$BU:$BU))&lt;=5.5,"прямой пуск (DOL)","звезда-треугольник (SD)"),"")</f>
        <v>звезда-треугольник (SD)</v>
      </c>
      <c r="AC77" s="25" t="str">
        <f t="array" ref="AC77">IFERROR(INDEX(CRV!CA:CA, MATCH(B77, CRV!A:A, 0)), "")</f>
        <v>HQQE</v>
      </c>
      <c r="AD77" s="25">
        <f t="array" ref="AD77">IFERROR(AD76-W77*XLOOKUP($B76,CRV!$A:$A,CRV!$BY:$BY)+W77*XLOOKUP($B77,CRV!$A:$A,CRV!$BY:$BY),"ошибка")</f>
        <v>891</v>
      </c>
      <c r="AE77" s="25" t="s">
        <v>76</v>
      </c>
    </row>
    <row r="78" ht="12.0" customHeight="1">
      <c r="A78" s="30" t="s">
        <v>139</v>
      </c>
      <c r="B78" s="24" t="str">
        <f>IFERROR(__xludf.DUMMYFUNCTION("IFERROR(IF(REGEXMATCH(REGEXEXTRACT(A78,""\bCRV\s*\d+(?:-\d+)+(?:-(?:A?BI|AI|BI))?\b""),""-(?:A?BI|AI|BI)$""),REGEXREPLACE(REGEXEXTRACT(A78,""\bCRV\s*\d+(?:-\d+)+(?:-(?:A?BI|AI|BI))?\b""),""-(A?BI|AI|BI)$"",""C$1""),REGEXEXTRACT(A78,""\bCRV\s*\d+(?:-\d+)+("&amp;"?:-(?:A?BI|AI|BI))?\b"")&amp;""C""),"""")"),"CRV 45-8-2C")</f>
        <v>CRV 45-8-2C</v>
      </c>
      <c r="C78" s="24">
        <v>1650.0</v>
      </c>
      <c r="D78" s="28">
        <f t="array" ref="D78">IFERROR(D77-(INDEX(CRV!$BA:$BA,MATCH(B77,CRV!$A:$A,0))+INDEX(CRV!$BB:$BB,MATCH(B77,CRV!$A:$A,0)))+(INDEX(CRV!$BA:$BA,MATCH(B78,CRV!$A:$A,0))+INDEX(CRV!$BB:$BB,MATCH(B78,CRV!$A:$A,0))),"")</f>
        <v>2089</v>
      </c>
      <c r="E78" s="24">
        <v>370.0</v>
      </c>
      <c r="F78" s="24">
        <v>686.0</v>
      </c>
      <c r="G78" s="24">
        <v>621.0</v>
      </c>
      <c r="H78" s="24">
        <v>1888.0</v>
      </c>
      <c r="I78" s="24">
        <v>1307.0</v>
      </c>
      <c r="J78" s="24">
        <v>1921.0</v>
      </c>
      <c r="K78" s="24">
        <v>1684.0</v>
      </c>
      <c r="L78" s="24">
        <v>548.0</v>
      </c>
      <c r="M78" s="24">
        <v>588.0</v>
      </c>
      <c r="N78" s="24">
        <v>1644.0</v>
      </c>
      <c r="O78" s="24">
        <v>150.0</v>
      </c>
      <c r="P78" s="24"/>
      <c r="Q78" s="25" t="s">
        <v>35</v>
      </c>
      <c r="R78" s="24">
        <v>1000.0</v>
      </c>
      <c r="S78" s="24">
        <v>800.0</v>
      </c>
      <c r="T78" s="24">
        <v>821.0</v>
      </c>
      <c r="U78" s="24">
        <v>550.0</v>
      </c>
      <c r="V78" s="24" t="str">
        <f>IFERROR(__xludf.DUMMYFUNCTION("IFERROR(REGEXEXTRACT(A78,""G2-B-(\d+)""),"""")"),"100")</f>
        <v>100</v>
      </c>
      <c r="W78" s="24">
        <f t="shared" si="1"/>
        <v>2</v>
      </c>
      <c r="X78" s="24">
        <f>IFERROR(__xludf.DUMMYFUNCTION("IFERROR(VALUE(REGEXEXTRACT(A78,""\b(\d+)/\d+\b"")),"""")"),1.0)</f>
        <v>1</v>
      </c>
      <c r="Y78" s="24">
        <f>IFERROR(__xludf.DUMMYFUNCTION("IFERROR(VALUE(REGEXEXTRACT(A78,""\b\d+/(\d+)\b"")),"""")
"),1.0)</f>
        <v>1</v>
      </c>
      <c r="Z78" s="24">
        <f t="array" ref="Z78">IFERROR(INDEX(CRV!BU:BU, MATCH(B78, CRV!A:A, 0)), "")</f>
        <v>30</v>
      </c>
      <c r="AA78" s="24">
        <f t="array" ref="AA78">IFERROR(INDEX(CRV!BV:BV, MATCH(B78, CRV!A:A, 0))*X78+4.5*2+7, "")</f>
        <v>70.9</v>
      </c>
      <c r="AB78" s="24" t="str">
        <f t="array" ref="AB78">IFERROR(IF(VALUE(XLOOKUP($B78,CRV!$A:$A,CRV!$BU:$BU))&lt;=5.5,"прямой пуск (DOL)","звезда-треугольник (SD)"),"")</f>
        <v>звезда-треугольник (SD)</v>
      </c>
      <c r="AC78" s="25" t="str">
        <f t="array" ref="AC78">IFERROR(INDEX(CRV!CA:CA, MATCH(B78, CRV!A:A, 0)), "")</f>
        <v>HQQE</v>
      </c>
      <c r="AD78" s="25">
        <f t="array" ref="AD78">IFERROR(AD77-W78*XLOOKUP($B77,CRV!$A:$A,CRV!$BY:$BY)+W78*XLOOKUP($B78,CRV!$A:$A,CRV!$BY:$BY),"ошибка")</f>
        <v>899</v>
      </c>
      <c r="AE78" s="25" t="s">
        <v>76</v>
      </c>
    </row>
    <row r="79" ht="12.0" customHeight="1">
      <c r="A79" s="30" t="s">
        <v>140</v>
      </c>
      <c r="B79" s="24" t="str">
        <f>IFERROR(__xludf.DUMMYFUNCTION("IFERROR(IF(REGEXMATCH(REGEXEXTRACT(A79,""\bCRV\s*\d+(?:-\d+)+(?:-(?:A?BI|AI|BI))?\b""),""-(?:A?BI|AI|BI)$""),REGEXREPLACE(REGEXEXTRACT(A79,""\bCRV\s*\d+(?:-\d+)+(?:-(?:A?BI|AI|BI))?\b""),""-(A?BI|AI|BI)$"",""C$1""),REGEXEXTRACT(A79,""\bCRV\s*\d+(?:-\d+)+("&amp;"?:-(?:A?BI|AI|BI))?\b"")&amp;""C""),"""")"),"CRV 45-8C")</f>
        <v>CRV 45-8C</v>
      </c>
      <c r="C79" s="24">
        <v>1650.0</v>
      </c>
      <c r="D79" s="28">
        <f t="array" ref="D79">IFERROR(D78-(INDEX(CRV!$BA:$BA,MATCH(B78,CRV!$A:$A,0))+INDEX(CRV!$BB:$BB,MATCH(B78,CRV!$A:$A,0)))+(INDEX(CRV!$BA:$BA,MATCH(B79,CRV!$A:$A,0))+INDEX(CRV!$BB:$BB,MATCH(B79,CRV!$A:$A,0))),"")</f>
        <v>2089</v>
      </c>
      <c r="E79" s="24">
        <v>370.0</v>
      </c>
      <c r="F79" s="24">
        <v>686.0</v>
      </c>
      <c r="G79" s="24">
        <v>621.0</v>
      </c>
      <c r="H79" s="24">
        <v>1888.0</v>
      </c>
      <c r="I79" s="24">
        <v>1307.0</v>
      </c>
      <c r="J79" s="24">
        <v>1921.0</v>
      </c>
      <c r="K79" s="24">
        <v>1684.0</v>
      </c>
      <c r="L79" s="24">
        <v>548.0</v>
      </c>
      <c r="M79" s="24">
        <v>588.0</v>
      </c>
      <c r="N79" s="24">
        <v>1644.0</v>
      </c>
      <c r="O79" s="24">
        <v>150.0</v>
      </c>
      <c r="P79" s="24"/>
      <c r="Q79" s="25" t="s">
        <v>35</v>
      </c>
      <c r="R79" s="24">
        <v>1000.0</v>
      </c>
      <c r="S79" s="24">
        <v>800.0</v>
      </c>
      <c r="T79" s="24">
        <v>821.0</v>
      </c>
      <c r="U79" s="24">
        <v>550.0</v>
      </c>
      <c r="V79" s="24" t="str">
        <f>IFERROR(__xludf.DUMMYFUNCTION("IFERROR(REGEXEXTRACT(A79,""G2-B-(\d+)""),"""")"),"100")</f>
        <v>100</v>
      </c>
      <c r="W79" s="24">
        <f t="shared" si="1"/>
        <v>2</v>
      </c>
      <c r="X79" s="24">
        <f>IFERROR(__xludf.DUMMYFUNCTION("IFERROR(VALUE(REGEXEXTRACT(A79,""\b(\d+)/\d+\b"")),"""")"),1.0)</f>
        <v>1</v>
      </c>
      <c r="Y79" s="24">
        <f>IFERROR(__xludf.DUMMYFUNCTION("IFERROR(VALUE(REGEXEXTRACT(A79,""\b\d+/(\d+)\b"")),"""")
"),1.0)</f>
        <v>1</v>
      </c>
      <c r="Z79" s="24">
        <f t="array" ref="Z79">IFERROR(INDEX(CRV!BU:BU, MATCH(B79, CRV!A:A, 0)), "")</f>
        <v>30</v>
      </c>
      <c r="AA79" s="24">
        <f t="array" ref="AA79">IFERROR(INDEX(CRV!BV:BV, MATCH(B79, CRV!A:A, 0))*X79+4.5*2+7, "")</f>
        <v>70.9</v>
      </c>
      <c r="AB79" s="24" t="str">
        <f t="array" ref="AB79">IFERROR(IF(VALUE(XLOOKUP($B79,CRV!$A:$A,CRV!$BU:$BU))&lt;=5.5,"прямой пуск (DOL)","звезда-треугольник (SD)"),"")</f>
        <v>звезда-треугольник (SD)</v>
      </c>
      <c r="AC79" s="25" t="str">
        <f t="array" ref="AC79">IFERROR(INDEX(CRV!CA:CA, MATCH(B79, CRV!A:A, 0)), "")</f>
        <v>HQQE</v>
      </c>
      <c r="AD79" s="25">
        <f t="array" ref="AD79">IFERROR(AD78-W79*XLOOKUP($B78,CRV!$A:$A,CRV!$BY:$BY)+W79*XLOOKUP($B79,CRV!$A:$A,CRV!$BY:$BY),"ошибка")</f>
        <v>899</v>
      </c>
      <c r="AE79" s="25" t="s">
        <v>76</v>
      </c>
    </row>
    <row r="80" ht="12.0" customHeight="1">
      <c r="A80" s="30" t="s">
        <v>141</v>
      </c>
      <c r="B80" s="24" t="str">
        <f>IFERROR(__xludf.DUMMYFUNCTION("IFERROR(IF(REGEXMATCH(REGEXEXTRACT(A80,""\bCRV\s*\d+(?:-\d+)+(?:-(?:A?BI|AI|BI))?\b""),""-(?:A?BI|AI|BI)$""),REGEXREPLACE(REGEXEXTRACT(A80,""\bCRV\s*\d+(?:-\d+)+(?:-(?:A?BI|AI|BI))?\b""),""-(A?BI|AI|BI)$"",""C$1""),REGEXEXTRACT(A80,""\bCRV\s*\d+(?:-\d+)+("&amp;"?:-(?:A?BI|AI|BI))?\b"")&amp;""C""),"""")"),"CRV 45-9-2C")</f>
        <v>CRV 45-9-2C</v>
      </c>
      <c r="C80" s="24">
        <v>1650.0</v>
      </c>
      <c r="D80" s="28">
        <f t="array" ref="D80">IFERROR(D79-(INDEX(CRV!$BA:$BA,MATCH(B79,CRV!$A:$A,0))+INDEX(CRV!$BB:$BB,MATCH(B79,CRV!$A:$A,0)))+(INDEX(CRV!$BA:$BA,MATCH(B80,CRV!$A:$A,0))+INDEX(CRV!$BB:$BB,MATCH(B80,CRV!$A:$A,0))),"")</f>
        <v>2169</v>
      </c>
      <c r="E80" s="24">
        <v>370.0</v>
      </c>
      <c r="F80" s="24">
        <v>686.0</v>
      </c>
      <c r="G80" s="24">
        <v>621.0</v>
      </c>
      <c r="H80" s="24">
        <v>1888.0</v>
      </c>
      <c r="I80" s="24">
        <v>1307.0</v>
      </c>
      <c r="J80" s="24">
        <v>1921.0</v>
      </c>
      <c r="K80" s="24">
        <v>1684.0</v>
      </c>
      <c r="L80" s="24">
        <v>548.0</v>
      </c>
      <c r="M80" s="24">
        <v>588.0</v>
      </c>
      <c r="N80" s="24">
        <v>1644.0</v>
      </c>
      <c r="O80" s="24">
        <v>150.0</v>
      </c>
      <c r="P80" s="24"/>
      <c r="Q80" s="25" t="s">
        <v>35</v>
      </c>
      <c r="R80" s="24">
        <v>1000.0</v>
      </c>
      <c r="S80" s="24">
        <v>800.0</v>
      </c>
      <c r="T80" s="24">
        <v>821.0</v>
      </c>
      <c r="U80" s="24">
        <v>550.0</v>
      </c>
      <c r="V80" s="24" t="str">
        <f>IFERROR(__xludf.DUMMYFUNCTION("IFERROR(REGEXEXTRACT(A80,""G2-B-(\d+)""),"""")"),"100")</f>
        <v>100</v>
      </c>
      <c r="W80" s="24">
        <f t="shared" si="1"/>
        <v>2</v>
      </c>
      <c r="X80" s="24">
        <f>IFERROR(__xludf.DUMMYFUNCTION("IFERROR(VALUE(REGEXEXTRACT(A80,""\b(\d+)/\d+\b"")),"""")"),1.0)</f>
        <v>1</v>
      </c>
      <c r="Y80" s="24">
        <f>IFERROR(__xludf.DUMMYFUNCTION("IFERROR(VALUE(REGEXEXTRACT(A80,""\b\d+/(\d+)\b"")),"""")
"),1.0)</f>
        <v>1</v>
      </c>
      <c r="Z80" s="24">
        <f t="array" ref="Z80">IFERROR(INDEX(CRV!BU:BU, MATCH(B80, CRV!A:A, 0)), "")</f>
        <v>30</v>
      </c>
      <c r="AA80" s="24">
        <f t="array" ref="AA80">IFERROR(INDEX(CRV!BV:BV, MATCH(B80, CRV!A:A, 0))*X80+4.5*2+7, "")</f>
        <v>70.9</v>
      </c>
      <c r="AB80" s="24" t="str">
        <f t="array" ref="AB80">IFERROR(IF(VALUE(XLOOKUP($B80,CRV!$A:$A,CRV!$BU:$BU))&lt;=5.5,"прямой пуск (DOL)","звезда-треугольник (SD)"),"")</f>
        <v>звезда-треугольник (SD)</v>
      </c>
      <c r="AC80" s="25" t="str">
        <f t="array" ref="AC80">IFERROR(INDEX(CRV!CA:CA, MATCH(B80, CRV!A:A, 0)), "")</f>
        <v>HQQE</v>
      </c>
      <c r="AD80" s="25">
        <f t="array" ref="AD80">IFERROR(AD79-W80*XLOOKUP($B79,CRV!$A:$A,CRV!$BY:$BY)+W80*XLOOKUP($B80,CRV!$A:$A,CRV!$BY:$BY),"ошибка")</f>
        <v>907</v>
      </c>
      <c r="AE80" s="25" t="s">
        <v>76</v>
      </c>
    </row>
    <row r="81" ht="12.0" customHeight="1">
      <c r="A81" s="30" t="s">
        <v>142</v>
      </c>
      <c r="B81" s="24" t="str">
        <f>IFERROR(__xludf.DUMMYFUNCTION("IFERROR(IF(REGEXMATCH(REGEXEXTRACT(A81,""\bCRV\s*\d+(?:-\d+)+(?:-(?:A?BI|AI|BI))?\b""),""-(?:A?BI|AI|BI)$""),REGEXREPLACE(REGEXEXTRACT(A81,""\bCRV\s*\d+(?:-\d+)+(?:-(?:A?BI|AI|BI))?\b""),""-(A?BI|AI|BI)$"",""C$1""),REGEXEXTRACT(A81,""\bCRV\s*\d+(?:-\d+)+("&amp;"?:-(?:A?BI|AI|BI))?\b"")&amp;""C""),"""")"),"CRV 45-9C")</f>
        <v>CRV 45-9C</v>
      </c>
      <c r="C81" s="24">
        <v>1650.0</v>
      </c>
      <c r="D81" s="28">
        <f t="array" ref="D81">IFERROR(D80-(INDEX(CRV!$BA:$BA,MATCH(B80,CRV!$A:$A,0))+INDEX(CRV!$BB:$BB,MATCH(B80,CRV!$A:$A,0)))+(INDEX(CRV!$BA:$BA,MATCH(B81,CRV!$A:$A,0))+INDEX(CRV!$BB:$BB,MATCH(B81,CRV!$A:$A,0))),"")</f>
        <v>2169</v>
      </c>
      <c r="E81" s="24">
        <v>370.0</v>
      </c>
      <c r="F81" s="24">
        <v>686.0</v>
      </c>
      <c r="G81" s="24">
        <v>621.0</v>
      </c>
      <c r="H81" s="24">
        <v>1888.0</v>
      </c>
      <c r="I81" s="24">
        <v>1307.0</v>
      </c>
      <c r="J81" s="24">
        <v>1921.0</v>
      </c>
      <c r="K81" s="24">
        <v>1684.0</v>
      </c>
      <c r="L81" s="24">
        <v>548.0</v>
      </c>
      <c r="M81" s="24">
        <v>588.0</v>
      </c>
      <c r="N81" s="24">
        <v>1644.0</v>
      </c>
      <c r="O81" s="24">
        <v>150.0</v>
      </c>
      <c r="P81" s="24"/>
      <c r="Q81" s="25" t="s">
        <v>35</v>
      </c>
      <c r="R81" s="24">
        <v>1000.0</v>
      </c>
      <c r="S81" s="24">
        <v>800.0</v>
      </c>
      <c r="T81" s="24">
        <v>821.0</v>
      </c>
      <c r="U81" s="24">
        <v>550.0</v>
      </c>
      <c r="V81" s="24" t="str">
        <f>IFERROR(__xludf.DUMMYFUNCTION("IFERROR(REGEXEXTRACT(A81,""G2-B-(\d+)""),"""")"),"100")</f>
        <v>100</v>
      </c>
      <c r="W81" s="24">
        <f t="shared" si="1"/>
        <v>2</v>
      </c>
      <c r="X81" s="24">
        <f>IFERROR(__xludf.DUMMYFUNCTION("IFERROR(VALUE(REGEXEXTRACT(A81,""\b(\d+)/\d+\b"")),"""")"),1.0)</f>
        <v>1</v>
      </c>
      <c r="Y81" s="24">
        <f>IFERROR(__xludf.DUMMYFUNCTION("IFERROR(VALUE(REGEXEXTRACT(A81,""\b\d+/(\d+)\b"")),"""")
"),1.0)</f>
        <v>1</v>
      </c>
      <c r="Z81" s="24">
        <f t="array" ref="Z81">IFERROR(INDEX(CRV!BU:BU, MATCH(B81, CRV!A:A, 0)), "")</f>
        <v>37</v>
      </c>
      <c r="AA81" s="24">
        <f t="array" ref="AA81">IFERROR(INDEX(CRV!BV:BV, MATCH(B81, CRV!A:A, 0))*X81+4.5*2+7, "")</f>
        <v>83.4</v>
      </c>
      <c r="AB81" s="24" t="str">
        <f t="array" ref="AB81">IFERROR(IF(VALUE(XLOOKUP($B81,CRV!$A:$A,CRV!$BU:$BU))&lt;=5.5,"прямой пуск (DOL)","звезда-треугольник (SD)"),"")</f>
        <v>звезда-треугольник (SD)</v>
      </c>
      <c r="AC81" s="25" t="str">
        <f t="array" ref="AC81">IFERROR(INDEX(CRV!CA:CA, MATCH(B81, CRV!A:A, 0)), "")</f>
        <v>HQQE</v>
      </c>
      <c r="AD81" s="25">
        <f t="array" ref="AD81">IFERROR(AD80-W81*XLOOKUP($B80,CRV!$A:$A,CRV!$BY:$BY)+W81*XLOOKUP($B81,CRV!$A:$A,CRV!$BY:$BY),"ошибка")</f>
        <v>947</v>
      </c>
      <c r="AE81" s="25" t="s">
        <v>76</v>
      </c>
    </row>
    <row r="82" ht="12.0" customHeight="1">
      <c r="A82" s="30" t="s">
        <v>143</v>
      </c>
      <c r="B82" s="24" t="str">
        <f>IFERROR(__xludf.DUMMYFUNCTION("IFERROR(IF(REGEXMATCH(REGEXEXTRACT(A82,""\bCRV\s*\d+(?:-\d+)+(?:-(?:A?BI|AI|BI))?\b""),""-(?:A?BI|AI|BI)$""),REGEXREPLACE(REGEXEXTRACT(A82,""\bCRV\s*\d+(?:-\d+)+(?:-(?:A?BI|AI|BI))?\b""),""-(A?BI|AI|BI)$"",""C$1""),REGEXEXTRACT(A82,""\bCRV\s*\d+(?:-\d+)+("&amp;"?:-(?:A?BI|AI|BI))?\b"")&amp;""C""),"""")"),"CRV 45-10-2C")</f>
        <v>CRV 45-10-2C</v>
      </c>
      <c r="C82" s="24">
        <v>1650.0</v>
      </c>
      <c r="D82" s="28">
        <f t="array" ref="D82">IFERROR(D81-(INDEX(CRV!$BA:$BA,MATCH(B81,CRV!$A:$A,0))+INDEX(CRV!$BB:$BB,MATCH(B81,CRV!$A:$A,0)))+(INDEX(CRV!$BA:$BA,MATCH(B82,CRV!$A:$A,0))+INDEX(CRV!$BB:$BB,MATCH(B82,CRV!$A:$A,0))),"")</f>
        <v>2249</v>
      </c>
      <c r="E82" s="24">
        <v>370.0</v>
      </c>
      <c r="F82" s="24">
        <v>686.0</v>
      </c>
      <c r="G82" s="24">
        <v>621.0</v>
      </c>
      <c r="H82" s="24">
        <v>1888.0</v>
      </c>
      <c r="I82" s="24">
        <v>1307.0</v>
      </c>
      <c r="J82" s="24">
        <v>1921.0</v>
      </c>
      <c r="K82" s="24">
        <v>1684.0</v>
      </c>
      <c r="L82" s="24">
        <v>548.0</v>
      </c>
      <c r="M82" s="24">
        <v>588.0</v>
      </c>
      <c r="N82" s="24">
        <v>1644.0</v>
      </c>
      <c r="O82" s="24">
        <v>150.0</v>
      </c>
      <c r="P82" s="24"/>
      <c r="Q82" s="25" t="s">
        <v>35</v>
      </c>
      <c r="R82" s="24">
        <v>1000.0</v>
      </c>
      <c r="S82" s="24">
        <v>800.0</v>
      </c>
      <c r="T82" s="24">
        <v>821.0</v>
      </c>
      <c r="U82" s="24">
        <v>550.0</v>
      </c>
      <c r="V82" s="24" t="str">
        <f>IFERROR(__xludf.DUMMYFUNCTION("IFERROR(REGEXEXTRACT(A82,""G2-B-(\d+)""),"""")"),"100")</f>
        <v>100</v>
      </c>
      <c r="W82" s="24">
        <f t="shared" si="1"/>
        <v>2</v>
      </c>
      <c r="X82" s="24">
        <f>IFERROR(__xludf.DUMMYFUNCTION("IFERROR(VALUE(REGEXEXTRACT(A82,""\b(\d+)/\d+\b"")),"""")"),1.0)</f>
        <v>1</v>
      </c>
      <c r="Y82" s="24">
        <f>IFERROR(__xludf.DUMMYFUNCTION("IFERROR(VALUE(REGEXEXTRACT(A82,""\b\d+/(\d+)\b"")),"""")
"),1.0)</f>
        <v>1</v>
      </c>
      <c r="Z82" s="24">
        <f t="array" ref="Z82">IFERROR(INDEX(CRV!BU:BU, MATCH(B82, CRV!A:A, 0)), "")</f>
        <v>37</v>
      </c>
      <c r="AA82" s="24">
        <f t="array" ref="AA82">IFERROR(INDEX(CRV!BV:BV, MATCH(B82, CRV!A:A, 0))*X82+4.5*2+7, "")</f>
        <v>83.4</v>
      </c>
      <c r="AB82" s="24" t="str">
        <f t="array" ref="AB82">IFERROR(IF(VALUE(XLOOKUP($B82,CRV!$A:$A,CRV!$BU:$BU))&lt;=5.5,"прямой пуск (DOL)","звезда-треугольник (SD)"),"")</f>
        <v>звезда-треугольник (SD)</v>
      </c>
      <c r="AC82" s="25" t="str">
        <f t="array" ref="AC82">IFERROR(INDEX(CRV!CA:CA, MATCH(B82, CRV!A:A, 0)), "")</f>
        <v>HQQE</v>
      </c>
      <c r="AD82" s="25">
        <f t="array" ref="AD82">IFERROR(AD81-W82*XLOOKUP($B81,CRV!$A:$A,CRV!$BY:$BY)+W82*XLOOKUP($B82,CRV!$A:$A,CRV!$BY:$BY),"ошибка")</f>
        <v>955</v>
      </c>
      <c r="AE82" s="25" t="s">
        <v>76</v>
      </c>
    </row>
    <row r="83" ht="12.0" customHeight="1">
      <c r="A83" s="30" t="s">
        <v>144</v>
      </c>
      <c r="B83" s="24" t="str">
        <f>IFERROR(__xludf.DUMMYFUNCTION("IFERROR(IF(REGEXMATCH(REGEXEXTRACT(A83,""\bCRV\s*\d+(?:-\d+)+(?:-(?:A?BI|AI|BI))?\b""),""-(?:A?BI|AI|BI)$""),REGEXREPLACE(REGEXEXTRACT(A83,""\bCRV\s*\d+(?:-\d+)+(?:-(?:A?BI|AI|BI))?\b""),""-(A?BI|AI|BI)$"",""C$1""),REGEXEXTRACT(A83,""\bCRV\s*\d+(?:-\d+)+("&amp;"?:-(?:A?BI|AI|BI))?\b"")&amp;""C""),"""")"),"CRV 45-10C")</f>
        <v>CRV 45-10C</v>
      </c>
      <c r="C83" s="24">
        <v>1650.0</v>
      </c>
      <c r="D83" s="28">
        <f t="array" ref="D83">IFERROR(D82-(INDEX(CRV!$BA:$BA,MATCH(B82,CRV!$A:$A,0))+INDEX(CRV!$BB:$BB,MATCH(B82,CRV!$A:$A,0)))+(INDEX(CRV!$BA:$BA,MATCH(B83,CRV!$A:$A,0))+INDEX(CRV!$BB:$BB,MATCH(B83,CRV!$A:$A,0))),"")</f>
        <v>2249</v>
      </c>
      <c r="E83" s="24">
        <v>370.0</v>
      </c>
      <c r="F83" s="24">
        <v>686.0</v>
      </c>
      <c r="G83" s="24">
        <v>621.0</v>
      </c>
      <c r="H83" s="24">
        <v>1888.0</v>
      </c>
      <c r="I83" s="24">
        <v>1307.0</v>
      </c>
      <c r="J83" s="24">
        <v>1921.0</v>
      </c>
      <c r="K83" s="24">
        <v>1684.0</v>
      </c>
      <c r="L83" s="24">
        <v>548.0</v>
      </c>
      <c r="M83" s="24">
        <v>588.0</v>
      </c>
      <c r="N83" s="24">
        <v>1644.0</v>
      </c>
      <c r="O83" s="24">
        <v>150.0</v>
      </c>
      <c r="P83" s="24"/>
      <c r="Q83" s="25" t="s">
        <v>35</v>
      </c>
      <c r="R83" s="24">
        <v>1000.0</v>
      </c>
      <c r="S83" s="24">
        <v>800.0</v>
      </c>
      <c r="T83" s="24">
        <v>821.0</v>
      </c>
      <c r="U83" s="24">
        <v>550.0</v>
      </c>
      <c r="V83" s="24" t="str">
        <f>IFERROR(__xludf.DUMMYFUNCTION("IFERROR(REGEXEXTRACT(A83,""G2-B-(\d+)""),"""")"),"100")</f>
        <v>100</v>
      </c>
      <c r="W83" s="24">
        <f t="shared" si="1"/>
        <v>2</v>
      </c>
      <c r="X83" s="24">
        <f>IFERROR(__xludf.DUMMYFUNCTION("IFERROR(VALUE(REGEXEXTRACT(A83,""\b(\d+)/\d+\b"")),"""")"),1.0)</f>
        <v>1</v>
      </c>
      <c r="Y83" s="24">
        <f>IFERROR(__xludf.DUMMYFUNCTION("IFERROR(VALUE(REGEXEXTRACT(A83,""\b\d+/(\d+)\b"")),"""")
"),1.0)</f>
        <v>1</v>
      </c>
      <c r="Z83" s="24">
        <f t="array" ref="Z83">IFERROR(INDEX(CRV!BU:BU, MATCH(B83, CRV!A:A, 0)), "")</f>
        <v>37</v>
      </c>
      <c r="AA83" s="24">
        <f t="array" ref="AA83">IFERROR(INDEX(CRV!BV:BV, MATCH(B83, CRV!A:A, 0))*X83+4.5*2+7, "")</f>
        <v>83.4</v>
      </c>
      <c r="AB83" s="24" t="str">
        <f t="array" ref="AB83">IFERROR(IF(VALUE(XLOOKUP($B83,CRV!$A:$A,CRV!$BU:$BU))&lt;=5.5,"прямой пуск (DOL)","звезда-треугольник (SD)"),"")</f>
        <v>звезда-треугольник (SD)</v>
      </c>
      <c r="AC83" s="25" t="str">
        <f t="array" ref="AC83">IFERROR(INDEX(CRV!CA:CA, MATCH(B83, CRV!A:A, 0)), "")</f>
        <v>HQQE</v>
      </c>
      <c r="AD83" s="25">
        <f t="array" ref="AD83">IFERROR(AD82-W83*XLOOKUP($B82,CRV!$A:$A,CRV!$BY:$BY)+W83*XLOOKUP($B83,CRV!$A:$A,CRV!$BY:$BY),"ошибка")</f>
        <v>955</v>
      </c>
      <c r="AE83" s="25" t="s">
        <v>76</v>
      </c>
    </row>
    <row r="84" ht="12.0" customHeight="1">
      <c r="A84" s="30" t="s">
        <v>145</v>
      </c>
      <c r="B84" s="24" t="str">
        <f>IFERROR(__xludf.DUMMYFUNCTION("IFERROR(IF(REGEXMATCH(REGEXEXTRACT(A84,""\bCRV\s*\d+(?:-\d+)+(?:-(?:A?BI|AI|BI))?\b""),""-(?:A?BI|AI|BI)$""),REGEXREPLACE(REGEXEXTRACT(A84,""\bCRV\s*\d+(?:-\d+)+(?:-(?:A?BI|AI|BI))?\b""),""-(A?BI|AI|BI)$"",""C$1""),REGEXEXTRACT(A84,""\bCRV\s*\d+(?:-\d+)+("&amp;"?:-(?:A?BI|AI|BI))?\b"")&amp;""C""),"""")"),"CRV 45-11-2C")</f>
        <v>CRV 45-11-2C</v>
      </c>
      <c r="C84" s="24">
        <v>1650.0</v>
      </c>
      <c r="D84" s="28">
        <f t="array" ref="D84">IFERROR(D83-(INDEX(CRV!$BA:$BA,MATCH(B83,CRV!$A:$A,0))+INDEX(CRV!$BB:$BB,MATCH(B83,CRV!$A:$A,0)))+(INDEX(CRV!$BA:$BA,MATCH(B84,CRV!$A:$A,0))+INDEX(CRV!$BB:$BB,MATCH(B84,CRV!$A:$A,0))),"")</f>
        <v>2376</v>
      </c>
      <c r="E84" s="24">
        <v>370.0</v>
      </c>
      <c r="F84" s="24">
        <v>686.0</v>
      </c>
      <c r="G84" s="24">
        <v>621.0</v>
      </c>
      <c r="H84" s="24">
        <v>1888.0</v>
      </c>
      <c r="I84" s="24">
        <v>1307.0</v>
      </c>
      <c r="J84" s="24">
        <v>1921.0</v>
      </c>
      <c r="K84" s="24">
        <v>1684.0</v>
      </c>
      <c r="L84" s="24">
        <v>548.0</v>
      </c>
      <c r="M84" s="24">
        <v>588.0</v>
      </c>
      <c r="N84" s="24">
        <v>1644.0</v>
      </c>
      <c r="O84" s="24">
        <v>150.0</v>
      </c>
      <c r="P84" s="24"/>
      <c r="Q84" s="25" t="s">
        <v>35</v>
      </c>
      <c r="R84" s="24">
        <v>1000.0</v>
      </c>
      <c r="S84" s="24">
        <v>800.0</v>
      </c>
      <c r="T84" s="24">
        <v>821.0</v>
      </c>
      <c r="U84" s="24">
        <v>550.0</v>
      </c>
      <c r="V84" s="24" t="str">
        <f>IFERROR(__xludf.DUMMYFUNCTION("IFERROR(REGEXEXTRACT(A84,""G2-B-(\d+)""),"""")"),"100")</f>
        <v>100</v>
      </c>
      <c r="W84" s="24">
        <f t="shared" si="1"/>
        <v>2</v>
      </c>
      <c r="X84" s="24">
        <f>IFERROR(__xludf.DUMMYFUNCTION("IFERROR(VALUE(REGEXEXTRACT(A84,""\b(\d+)/\d+\b"")),"""")"),1.0)</f>
        <v>1</v>
      </c>
      <c r="Y84" s="24">
        <f>IFERROR(__xludf.DUMMYFUNCTION("IFERROR(VALUE(REGEXEXTRACT(A84,""\b\d+/(\d+)\b"")),"""")
"),1.0)</f>
        <v>1</v>
      </c>
      <c r="Z84" s="24">
        <f t="array" ref="Z84">IFERROR(INDEX(CRV!BU:BU, MATCH(B84, CRV!A:A, 0)), "")</f>
        <v>45</v>
      </c>
      <c r="AA84" s="24">
        <f t="array" ref="AA84">IFERROR(INDEX(CRV!BV:BV, MATCH(B84, CRV!A:A, 0))*X84+4.5*2+7, "")</f>
        <v>96.8</v>
      </c>
      <c r="AB84" s="24" t="str">
        <f t="array" ref="AB84">IFERROR(IF(VALUE(XLOOKUP($B84,CRV!$A:$A,CRV!$BU:$BU))&lt;=5.5,"прямой пуск (DOL)","звезда-треугольник (SD)"),"")</f>
        <v>звезда-треугольник (SD)</v>
      </c>
      <c r="AC84" s="25" t="str">
        <f t="array" ref="AC84">IFERROR(INDEX(CRV!CA:CA, MATCH(B84, CRV!A:A, 0)), "")</f>
        <v>HQQE</v>
      </c>
      <c r="AD84" s="25">
        <f t="array" ref="AD84">IFERROR(AD83-W84*XLOOKUP($B83,CRV!$A:$A,CRV!$BY:$BY)+W84*XLOOKUP($B84,CRV!$A:$A,CRV!$BY:$BY),"ошибка")</f>
        <v>1087</v>
      </c>
      <c r="AE84" s="25" t="s">
        <v>76</v>
      </c>
    </row>
    <row r="85" ht="12.0" customHeight="1">
      <c r="A85" s="30" t="s">
        <v>146</v>
      </c>
      <c r="B85" s="24" t="str">
        <f>IFERROR(__xludf.DUMMYFUNCTION("IFERROR(IF(REGEXMATCH(REGEXEXTRACT(A85,""\bCRV\s*\d+(?:-\d+)+(?:-(?:A?BI|AI|BI))?\b""),""-(?:A?BI|AI|BI)$""),REGEXREPLACE(REGEXEXTRACT(A85,""\bCRV\s*\d+(?:-\d+)+(?:-(?:A?BI|AI|BI))?\b""),""-(A?BI|AI|BI)$"",""C$1""),REGEXEXTRACT(A85,""\bCRV\s*\d+(?:-\d+)+("&amp;"?:-(?:A?BI|AI|BI))?\b"")&amp;""C""),"""")"),"CRV 45-11C")</f>
        <v>CRV 45-11C</v>
      </c>
      <c r="C85" s="24">
        <v>1650.0</v>
      </c>
      <c r="D85" s="28">
        <f t="array" ref="D85">IFERROR(D84-(INDEX(CRV!$BA:$BA,MATCH(B84,CRV!$A:$A,0))+INDEX(CRV!$BB:$BB,MATCH(B84,CRV!$A:$A,0)))+(INDEX(CRV!$BA:$BA,MATCH(B85,CRV!$A:$A,0))+INDEX(CRV!$BB:$BB,MATCH(B85,CRV!$A:$A,0))),"")</f>
        <v>2376</v>
      </c>
      <c r="E85" s="24">
        <v>370.0</v>
      </c>
      <c r="F85" s="24">
        <v>686.0</v>
      </c>
      <c r="G85" s="24">
        <v>621.0</v>
      </c>
      <c r="H85" s="24">
        <v>1888.0</v>
      </c>
      <c r="I85" s="24">
        <v>1307.0</v>
      </c>
      <c r="J85" s="24">
        <v>1921.0</v>
      </c>
      <c r="K85" s="24">
        <v>1684.0</v>
      </c>
      <c r="L85" s="24">
        <v>548.0</v>
      </c>
      <c r="M85" s="24">
        <v>588.0</v>
      </c>
      <c r="N85" s="24">
        <v>1644.0</v>
      </c>
      <c r="O85" s="24">
        <v>150.0</v>
      </c>
      <c r="P85" s="24"/>
      <c r="Q85" s="25" t="s">
        <v>35</v>
      </c>
      <c r="R85" s="24">
        <v>1000.0</v>
      </c>
      <c r="S85" s="24">
        <v>800.0</v>
      </c>
      <c r="T85" s="24">
        <v>821.0</v>
      </c>
      <c r="U85" s="24">
        <v>550.0</v>
      </c>
      <c r="V85" s="24" t="str">
        <f>IFERROR(__xludf.DUMMYFUNCTION("IFERROR(REGEXEXTRACT(A85,""G2-B-(\d+)""),"""")"),"100")</f>
        <v>100</v>
      </c>
      <c r="W85" s="24">
        <f t="shared" si="1"/>
        <v>2</v>
      </c>
      <c r="X85" s="24">
        <f>IFERROR(__xludf.DUMMYFUNCTION("IFERROR(VALUE(REGEXEXTRACT(A85,""\b(\d+)/\d+\b"")),"""")"),1.0)</f>
        <v>1</v>
      </c>
      <c r="Y85" s="24">
        <f>IFERROR(__xludf.DUMMYFUNCTION("IFERROR(VALUE(REGEXEXTRACT(A85,""\b\d+/(\d+)\b"")),"""")
"),1.0)</f>
        <v>1</v>
      </c>
      <c r="Z85" s="24">
        <f t="array" ref="Z85">IFERROR(INDEX(CRV!BU:BU, MATCH(B85, CRV!A:A, 0)), "")</f>
        <v>45</v>
      </c>
      <c r="AA85" s="24">
        <f t="array" ref="AA85">IFERROR(INDEX(CRV!BV:BV, MATCH(B85, CRV!A:A, 0))*X85+4.5*2+7, "")</f>
        <v>96.8</v>
      </c>
      <c r="AB85" s="24" t="str">
        <f t="array" ref="AB85">IFERROR(IF(VALUE(XLOOKUP($B85,CRV!$A:$A,CRV!$BU:$BU))&lt;=5.5,"прямой пуск (DOL)","звезда-треугольник (SD)"),"")</f>
        <v>звезда-треугольник (SD)</v>
      </c>
      <c r="AC85" s="25" t="str">
        <f t="array" ref="AC85">IFERROR(INDEX(CRV!CA:CA, MATCH(B85, CRV!A:A, 0)), "")</f>
        <v>HQQE</v>
      </c>
      <c r="AD85" s="25">
        <f t="array" ref="AD85">IFERROR(AD84-W85*XLOOKUP($B84,CRV!$A:$A,CRV!$BY:$BY)+W85*XLOOKUP($B85,CRV!$A:$A,CRV!$BY:$BY),"ошибка")</f>
        <v>1087</v>
      </c>
      <c r="AE85" s="25" t="s">
        <v>76</v>
      </c>
    </row>
    <row r="86" ht="12.0" customHeight="1">
      <c r="A86" s="30" t="s">
        <v>147</v>
      </c>
      <c r="B86" s="24" t="str">
        <f>IFERROR(__xludf.DUMMYFUNCTION("IFERROR(IF(REGEXMATCH(REGEXEXTRACT(A86,""\bCRV\s*\d+(?:-\d+)+(?:-(?:A?BI|AI|BI))?\b""),""-(?:A?BI|AI|BI)$""),REGEXREPLACE(REGEXEXTRACT(A86,""\bCRV\s*\d+(?:-\d+)+(?:-(?:A?BI|AI|BI))?\b""),""-(A?BI|AI|BI)$"",""C$1""),REGEXEXTRACT(A86,""\bCRV\s*\d+(?:-\d+)+("&amp;"?:-(?:A?BI|AI|BI))?\b"")&amp;""C""),"""")"),"CRV 45-12-2C")</f>
        <v>CRV 45-12-2C</v>
      </c>
      <c r="C86" s="24">
        <v>1650.0</v>
      </c>
      <c r="D86" s="28">
        <f t="array" ref="D86">IFERROR(D85-(INDEX(CRV!$BA:$BA,MATCH(B85,CRV!$A:$A,0))+INDEX(CRV!$BB:$BB,MATCH(B85,CRV!$A:$A,0)))+(INDEX(CRV!$BA:$BA,MATCH(B86,CRV!$A:$A,0))+INDEX(CRV!$BB:$BB,MATCH(B86,CRV!$A:$A,0))),"")</f>
        <v>2456</v>
      </c>
      <c r="E86" s="24">
        <v>370.0</v>
      </c>
      <c r="F86" s="24">
        <v>686.0</v>
      </c>
      <c r="G86" s="24">
        <v>621.0</v>
      </c>
      <c r="H86" s="24">
        <v>1888.0</v>
      </c>
      <c r="I86" s="24">
        <v>1307.0</v>
      </c>
      <c r="J86" s="24">
        <v>1921.0</v>
      </c>
      <c r="K86" s="24">
        <v>1684.0</v>
      </c>
      <c r="L86" s="24">
        <v>548.0</v>
      </c>
      <c r="M86" s="24">
        <v>588.0</v>
      </c>
      <c r="N86" s="24">
        <v>1644.0</v>
      </c>
      <c r="O86" s="24">
        <v>150.0</v>
      </c>
      <c r="P86" s="24"/>
      <c r="Q86" s="25" t="s">
        <v>35</v>
      </c>
      <c r="R86" s="24">
        <v>1000.0</v>
      </c>
      <c r="S86" s="24">
        <v>800.0</v>
      </c>
      <c r="T86" s="24">
        <v>821.0</v>
      </c>
      <c r="U86" s="24">
        <v>550.0</v>
      </c>
      <c r="V86" s="24" t="str">
        <f>IFERROR(__xludf.DUMMYFUNCTION("IFERROR(REGEXEXTRACT(A86,""G2-B-(\d+)""),"""")"),"100")</f>
        <v>100</v>
      </c>
      <c r="W86" s="24">
        <f t="shared" si="1"/>
        <v>2</v>
      </c>
      <c r="X86" s="24">
        <f>IFERROR(__xludf.DUMMYFUNCTION("IFERROR(VALUE(REGEXEXTRACT(A86,""\b(\d+)/\d+\b"")),"""")"),1.0)</f>
        <v>1</v>
      </c>
      <c r="Y86" s="24">
        <f>IFERROR(__xludf.DUMMYFUNCTION("IFERROR(VALUE(REGEXEXTRACT(A86,""\b\d+/(\d+)\b"")),"""")
"),1.0)</f>
        <v>1</v>
      </c>
      <c r="Z86" s="24">
        <f t="array" ref="Z86">IFERROR(INDEX(CRV!BU:BU, MATCH(B86, CRV!A:A, 0)), "")</f>
        <v>45</v>
      </c>
      <c r="AA86" s="24">
        <f t="array" ref="AA86">IFERROR(INDEX(CRV!BV:BV, MATCH(B86, CRV!A:A, 0))*X86+4.5*2+7, "")</f>
        <v>96.8</v>
      </c>
      <c r="AB86" s="24" t="str">
        <f t="array" ref="AB86">IFERROR(IF(VALUE(XLOOKUP($B86,CRV!$A:$A,CRV!$BU:$BU))&lt;=5.5,"прямой пуск (DOL)","звезда-треугольник (SD)"),"")</f>
        <v>звезда-треугольник (SD)</v>
      </c>
      <c r="AC86" s="25" t="str">
        <f t="array" ref="AC86">IFERROR(INDEX(CRV!CA:CA, MATCH(B86, CRV!A:A, 0)), "")</f>
        <v>HQQE</v>
      </c>
      <c r="AD86" s="25">
        <f t="array" ref="AD86">IFERROR(AD85-W86*XLOOKUP($B85,CRV!$A:$A,CRV!$BY:$BY)+W86*XLOOKUP($B86,CRV!$A:$A,CRV!$BY:$BY),"ошибка")</f>
        <v>1095</v>
      </c>
      <c r="AE86" s="25" t="s">
        <v>76</v>
      </c>
    </row>
    <row r="87" ht="12.0" customHeight="1">
      <c r="A87" s="30" t="s">
        <v>148</v>
      </c>
      <c r="B87" s="24" t="str">
        <f>IFERROR(__xludf.DUMMYFUNCTION("IFERROR(IF(REGEXMATCH(REGEXEXTRACT(A87,""\bCRV\s*\d+(?:-\d+)+(?:-(?:A?BI|AI|BI))?\b""),""-(?:A?BI|AI|BI)$""),REGEXREPLACE(REGEXEXTRACT(A87,""\bCRV\s*\d+(?:-\d+)+(?:-(?:A?BI|AI|BI))?\b""),""-(A?BI|AI|BI)$"",""C$1""),REGEXEXTRACT(A87,""\bCRV\s*\d+(?:-\d+)+("&amp;"?:-(?:A?BI|AI|BI))?\b"")&amp;""C""),"""")"),"CRV 45-12C")</f>
        <v>CRV 45-12C</v>
      </c>
      <c r="C87" s="24">
        <v>1650.0</v>
      </c>
      <c r="D87" s="28">
        <f t="array" ref="D87">IFERROR(D86-(INDEX(CRV!$BA:$BA,MATCH(B86,CRV!$A:$A,0))+INDEX(CRV!$BB:$BB,MATCH(B86,CRV!$A:$A,0)))+(INDEX(CRV!$BA:$BA,MATCH(B87,CRV!$A:$A,0))+INDEX(CRV!$BB:$BB,MATCH(B87,CRV!$A:$A,0))),"")</f>
        <v>2456</v>
      </c>
      <c r="E87" s="24">
        <v>370.0</v>
      </c>
      <c r="F87" s="24">
        <v>686.0</v>
      </c>
      <c r="G87" s="24">
        <v>621.0</v>
      </c>
      <c r="H87" s="24">
        <v>1888.0</v>
      </c>
      <c r="I87" s="24">
        <v>1307.0</v>
      </c>
      <c r="J87" s="24">
        <v>1921.0</v>
      </c>
      <c r="K87" s="24">
        <v>1684.0</v>
      </c>
      <c r="L87" s="24">
        <v>548.0</v>
      </c>
      <c r="M87" s="24">
        <v>588.0</v>
      </c>
      <c r="N87" s="24">
        <v>1644.0</v>
      </c>
      <c r="O87" s="24">
        <v>150.0</v>
      </c>
      <c r="P87" s="24"/>
      <c r="Q87" s="25" t="s">
        <v>35</v>
      </c>
      <c r="R87" s="24">
        <v>1000.0</v>
      </c>
      <c r="S87" s="24">
        <v>800.0</v>
      </c>
      <c r="T87" s="24">
        <v>821.0</v>
      </c>
      <c r="U87" s="24">
        <v>550.0</v>
      </c>
      <c r="V87" s="24" t="str">
        <f>IFERROR(__xludf.DUMMYFUNCTION("IFERROR(REGEXEXTRACT(A87,""G2-B-(\d+)""),"""")"),"100")</f>
        <v>100</v>
      </c>
      <c r="W87" s="24">
        <f t="shared" si="1"/>
        <v>2</v>
      </c>
      <c r="X87" s="24">
        <f>IFERROR(__xludf.DUMMYFUNCTION("IFERROR(VALUE(REGEXEXTRACT(A87,""\b(\d+)/\d+\b"")),"""")"),1.0)</f>
        <v>1</v>
      </c>
      <c r="Y87" s="24">
        <f>IFERROR(__xludf.DUMMYFUNCTION("IFERROR(VALUE(REGEXEXTRACT(A87,""\b\d+/(\d+)\b"")),"""")
"),1.0)</f>
        <v>1</v>
      </c>
      <c r="Z87" s="24">
        <f t="array" ref="Z87">IFERROR(INDEX(CRV!BU:BU, MATCH(B87, CRV!A:A, 0)), "")</f>
        <v>45</v>
      </c>
      <c r="AA87" s="24">
        <f t="array" ref="AA87">IFERROR(INDEX(CRV!BV:BV, MATCH(B87, CRV!A:A, 0))*X87+4.5*2+7, "")</f>
        <v>96.8</v>
      </c>
      <c r="AB87" s="24" t="str">
        <f t="array" ref="AB87">IFERROR(IF(VALUE(XLOOKUP($B87,CRV!$A:$A,CRV!$BU:$BU))&lt;=5.5,"прямой пуск (DOL)","звезда-треугольник (SD)"),"")</f>
        <v>звезда-треугольник (SD)</v>
      </c>
      <c r="AC87" s="25" t="str">
        <f t="array" ref="AC87">IFERROR(INDEX(CRV!CA:CA, MATCH(B87, CRV!A:A, 0)), "")</f>
        <v>HQQE</v>
      </c>
      <c r="AD87" s="25">
        <f t="array" ref="AD87">IFERROR(AD86-W87*XLOOKUP($B86,CRV!$A:$A,CRV!$BY:$BY)+W87*XLOOKUP($B87,CRV!$A:$A,CRV!$BY:$BY),"ошибка")</f>
        <v>1095</v>
      </c>
      <c r="AE87" s="25" t="s">
        <v>76</v>
      </c>
    </row>
    <row r="88" ht="12.0" customHeight="1">
      <c r="A88" s="30" t="s">
        <v>149</v>
      </c>
      <c r="B88" s="24" t="str">
        <f>IFERROR(__xludf.DUMMYFUNCTION("IFERROR(IF(REGEXMATCH(REGEXEXTRACT(A88,""\bCRV\s*\d+(?:-\d+)+(?:-(?:A?BI|AI|BI))?\b""),""-(?:A?BI|AI|BI)$""),REGEXREPLACE(REGEXEXTRACT(A88,""\bCRV\s*\d+(?:-\d+)+(?:-(?:A?BI|AI|BI))?\b""),""-(A?BI|AI|BI)$"",""C$1""),REGEXEXTRACT(A88,""\bCRV\s*\d+(?:-\d+)+("&amp;"?:-(?:A?BI|AI|BI))?\b"")&amp;""C""),"""")"),"CRV 45-13-2C")</f>
        <v>CRV 45-13-2C</v>
      </c>
      <c r="C88" s="24">
        <v>1650.0</v>
      </c>
      <c r="D88" s="28">
        <f t="array" ref="D88">IFERROR(D87-(INDEX(CRV!$BA:$BA,MATCH(B87,CRV!$A:$A,0))+INDEX(CRV!$BB:$BB,MATCH(B87,CRV!$A:$A,0)))+(INDEX(CRV!$BA:$BA,MATCH(B88,CRV!$A:$A,0))+INDEX(CRV!$BB:$BB,MATCH(B88,CRV!$A:$A,0))),"")</f>
        <v>2536</v>
      </c>
      <c r="E88" s="24">
        <v>370.0</v>
      </c>
      <c r="F88" s="24">
        <v>686.0</v>
      </c>
      <c r="G88" s="24">
        <v>621.0</v>
      </c>
      <c r="H88" s="24">
        <v>1888.0</v>
      </c>
      <c r="I88" s="24">
        <v>1307.0</v>
      </c>
      <c r="J88" s="24">
        <v>1921.0</v>
      </c>
      <c r="K88" s="24">
        <v>1684.0</v>
      </c>
      <c r="L88" s="24">
        <v>548.0</v>
      </c>
      <c r="M88" s="24">
        <v>588.0</v>
      </c>
      <c r="N88" s="24">
        <v>1644.0</v>
      </c>
      <c r="O88" s="24">
        <v>150.0</v>
      </c>
      <c r="P88" s="24"/>
      <c r="Q88" s="25" t="s">
        <v>35</v>
      </c>
      <c r="R88" s="24">
        <v>1000.0</v>
      </c>
      <c r="S88" s="24">
        <v>800.0</v>
      </c>
      <c r="T88" s="24">
        <v>821.0</v>
      </c>
      <c r="U88" s="24">
        <v>550.0</v>
      </c>
      <c r="V88" s="24" t="str">
        <f>IFERROR(__xludf.DUMMYFUNCTION("IFERROR(REGEXEXTRACT(A88,""G2-B-(\d+)""),"""")"),"100")</f>
        <v>100</v>
      </c>
      <c r="W88" s="24">
        <f t="shared" si="1"/>
        <v>2</v>
      </c>
      <c r="X88" s="24">
        <f>IFERROR(__xludf.DUMMYFUNCTION("IFERROR(VALUE(REGEXEXTRACT(A88,""\b(\d+)/\d+\b"")),"""")"),1.0)</f>
        <v>1</v>
      </c>
      <c r="Y88" s="24">
        <f>IFERROR(__xludf.DUMMYFUNCTION("IFERROR(VALUE(REGEXEXTRACT(A88,""\b\d+/(\d+)\b"")),"""")
"),1.0)</f>
        <v>1</v>
      </c>
      <c r="Z88" s="24">
        <f t="array" ref="Z88">IFERROR(INDEX(CRV!BU:BU, MATCH(B88, CRV!A:A, 0)), "")</f>
        <v>45</v>
      </c>
      <c r="AA88" s="24">
        <f t="array" ref="AA88">IFERROR(INDEX(CRV!BV:BV, MATCH(B88, CRV!A:A, 0))*X88+4.5*2+7, "")</f>
        <v>96.8</v>
      </c>
      <c r="AB88" s="24" t="str">
        <f t="array" ref="AB88">IFERROR(IF(VALUE(XLOOKUP($B88,CRV!$A:$A,CRV!$BU:$BU))&lt;=5.5,"прямой пуск (DOL)","звезда-треугольник (SD)"),"")</f>
        <v>звезда-треугольник (SD)</v>
      </c>
      <c r="AC88" s="25" t="str">
        <f t="array" ref="AC88">IFERROR(INDEX(CRV!CA:CA, MATCH(B88, CRV!A:A, 0)), "")</f>
        <v>HQQE</v>
      </c>
      <c r="AD88" s="25">
        <f t="array" ref="AD88">IFERROR(AD87-W88*XLOOKUP($B87,CRV!$A:$A,CRV!$BY:$BY)+W88*XLOOKUP($B88,CRV!$A:$A,CRV!$BY:$BY),"ошибка")</f>
        <v>1103</v>
      </c>
      <c r="AE88" s="25" t="s">
        <v>76</v>
      </c>
    </row>
    <row r="89" ht="12.0" customHeight="1">
      <c r="A89" s="28"/>
      <c r="B89" s="24" t="str">
        <f>IFERROR(__xludf.DUMMYFUNCTION("IFERROR(IF(REGEXMATCH(REGEXEXTRACT(A89,""\bCRV\s*\d+(?:-\d+)+(?:-(?:A?BI|AI|BI))?\b""),""-(?:A?BI|AI|BI)$""),REGEXREPLACE(REGEXEXTRACT(A89,""\bCRV\s*\d+(?:-\d+)+(?:-(?:A?BI|AI|BI))?\b""),""-(A?BI|AI|BI)$"",""C$1""),REGEXEXTRACT(A89,""\bCRV\s*\d+(?:-\d+)+("&amp;"?:-(?:A?BI|AI|BI))?\b"")&amp;""C""),"""")"),"")</f>
        <v/>
      </c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4" t="str">
        <f>IFERROR(__xludf.DUMMYFUNCTION("IFERROR(REGEXEXTRACT(A89,""G2-B-(\d+)""),"""")"),"")</f>
        <v/>
      </c>
      <c r="W89" s="24" t="str">
        <f t="shared" si="1"/>
        <v/>
      </c>
      <c r="X89" s="24" t="str">
        <f>IFERROR(__xludf.DUMMYFUNCTION("IFERROR(VALUE(REGEXEXTRACT(A89,""\b(\d+)/\d+\b"")),"""")"),"")</f>
        <v/>
      </c>
      <c r="Y89" s="24" t="str">
        <f>IFERROR(__xludf.DUMMYFUNCTION("IFERROR(VALUE(REGEXEXTRACT(A89,""\b\d+/(\d+)\b"")),"""")
"),"")</f>
        <v/>
      </c>
      <c r="Z89" s="24" t="str">
        <f t="array" ref="Z89">IFERROR(INDEX(CRV!BU:BU, MATCH(B89, CRV!A:A, 0)), "")</f>
        <v/>
      </c>
      <c r="AA89" s="24" t="str">
        <f t="array" ref="AA89">IFERROR(INDEX(CRV!BV:BV, MATCH(B89, CRV!A:A, 0))*X89+4.5*2+7, "")</f>
        <v/>
      </c>
      <c r="AB89" s="24" t="str">
        <f t="array" ref="AB89">IFERROR(IF(VALUE(XLOOKUP($B89,CRV!$A:$A,CRV!$BU:$BU))&lt;=5.5,"прямой пуск (DOL)","звезда-треугольник (SD)"),"")</f>
        <v/>
      </c>
      <c r="AC89" s="25" t="str">
        <f t="array" ref="AC89">IFERROR(INDEX(CRV!CA:CA, MATCH(B89, CRV!A:A, 0)), "")</f>
        <v/>
      </c>
      <c r="AD89" s="29"/>
      <c r="AE89" s="28"/>
    </row>
    <row r="90" ht="12.0" customHeight="1">
      <c r="A90" s="28" t="s">
        <v>150</v>
      </c>
      <c r="B90" s="24" t="str">
        <f>IFERROR(__xludf.DUMMYFUNCTION("IFERROR(IF(REGEXMATCH(REGEXEXTRACT(A90,""\bCRV\s*\d+(?:-\d+)+(?:-(?:A?BI|AI|BI))?\b""),""-(?:A?BI|AI|BI)$""),REGEXREPLACE(REGEXEXTRACT(A90,""\bCRV\s*\d+(?:-\d+)+(?:-(?:A?BI|AI|BI))?\b""),""-(A?BI|AI|BI)$"",""C$1""),REGEXEXTRACT(A90,""\bCRV\s*\d+(?:-\d+)+("&amp;"?:-(?:A?BI|AI|BI))?\b"")&amp;""C""),"""")"),"CRV 64-1C")</f>
        <v>CRV 64-1C</v>
      </c>
      <c r="C90" s="28">
        <v>1700.0</v>
      </c>
      <c r="D90" s="28">
        <v>1109.0</v>
      </c>
      <c r="E90" s="28">
        <v>390.0</v>
      </c>
      <c r="F90" s="28">
        <v>722.0</v>
      </c>
      <c r="G90" s="28">
        <v>657.0</v>
      </c>
      <c r="H90" s="28">
        <v>1943.0</v>
      </c>
      <c r="I90" s="28">
        <v>1379.0</v>
      </c>
      <c r="J90" s="28">
        <v>2121.0</v>
      </c>
      <c r="K90" s="28">
        <v>1684.0</v>
      </c>
      <c r="L90" s="28">
        <v>548.0</v>
      </c>
      <c r="M90" s="28">
        <v>588.0</v>
      </c>
      <c r="N90" s="28">
        <v>1644.0</v>
      </c>
      <c r="O90" s="28">
        <v>150.0</v>
      </c>
      <c r="P90" s="28"/>
      <c r="Q90" s="29" t="s">
        <v>35</v>
      </c>
      <c r="R90" s="28">
        <v>1000.0</v>
      </c>
      <c r="S90" s="28">
        <v>800.0</v>
      </c>
      <c r="T90" s="28">
        <v>821.0</v>
      </c>
      <c r="U90" s="28">
        <v>650.0</v>
      </c>
      <c r="V90" s="24" t="str">
        <f>IFERROR(__xludf.DUMMYFUNCTION("IFERROR(REGEXEXTRACT(A90,""G2-B-(\d+)""),"""")"),"200")</f>
        <v>200</v>
      </c>
      <c r="W90" s="24">
        <f t="shared" si="1"/>
        <v>2</v>
      </c>
      <c r="X90" s="24">
        <f>IFERROR(__xludf.DUMMYFUNCTION("IFERROR(VALUE(REGEXEXTRACT(A90,""\b(\d+)/\d+\b"")),"""")"),1.0)</f>
        <v>1</v>
      </c>
      <c r="Y90" s="24">
        <f>IFERROR(__xludf.DUMMYFUNCTION("IFERROR(VALUE(REGEXEXTRACT(A90,""\b\d+/(\d+)\b"")),"""")
"),1.0)</f>
        <v>1</v>
      </c>
      <c r="Z90" s="24">
        <f t="array" ref="Z90">IFERROR(INDEX(CRV!BU:BU, MATCH(B90, CRV!A:A, 0)), "")</f>
        <v>5.5</v>
      </c>
      <c r="AA90" s="24">
        <f t="array" ref="AA90">IFERROR(INDEX(CRV!BV:BV, MATCH(B90, CRV!A:A, 0))*X90+4.5*2+7, "")</f>
        <v>26.6</v>
      </c>
      <c r="AB90" s="24" t="str">
        <f t="array" ref="AB90">IFERROR(IF(VALUE(XLOOKUP($B90,CRV!$A:$A,CRV!$BU:$BU))&lt;=5.5,"прямой пуск (DOL)","звезда-треугольник (SD)"),"")</f>
        <v>прямой пуск (DOL)</v>
      </c>
      <c r="AC90" s="25" t="str">
        <f t="array" ref="AC90">IFERROR(INDEX(CRV!CA:CA, MATCH(B90, CRV!A:A, 0)), "")</f>
        <v>HQQE</v>
      </c>
      <c r="AD90" s="29">
        <v>573.0</v>
      </c>
      <c r="AE90" s="28">
        <v>7.5211418E7</v>
      </c>
    </row>
    <row r="91" ht="12.0" customHeight="1">
      <c r="A91" s="28" t="s">
        <v>151</v>
      </c>
      <c r="B91" s="24" t="str">
        <f>IFERROR(__xludf.DUMMYFUNCTION("IFERROR(IF(REGEXMATCH(REGEXEXTRACT(A91,""\bCRV\s*\d+(?:-\d+)+(?:-(?:A?BI|AI|BI))?\b""),""-(?:A?BI|AI|BI)$""),REGEXREPLACE(REGEXEXTRACT(A91,""\bCRV\s*\d+(?:-\d+)+(?:-(?:A?BI|AI|BI))?\b""),""-(A?BI|AI|BI)$"",""C$1""),REGEXEXTRACT(A91,""\bCRV\s*\d+(?:-\d+)+("&amp;"?:-(?:A?BI|AI|BI))?\b"")&amp;""C""),"""")"),"CRV 64-2-2C")</f>
        <v>CRV 64-2-2C</v>
      </c>
      <c r="C91" s="28">
        <v>1700.0</v>
      </c>
      <c r="D91" s="28">
        <v>1335.0</v>
      </c>
      <c r="E91" s="28">
        <v>390.0</v>
      </c>
      <c r="F91" s="28">
        <v>722.0</v>
      </c>
      <c r="G91" s="28">
        <v>657.0</v>
      </c>
      <c r="H91" s="28">
        <v>1943.0</v>
      </c>
      <c r="I91" s="28">
        <v>1379.0</v>
      </c>
      <c r="J91" s="28">
        <v>2121.0</v>
      </c>
      <c r="K91" s="28">
        <v>1684.0</v>
      </c>
      <c r="L91" s="28">
        <v>548.0</v>
      </c>
      <c r="M91" s="28">
        <v>588.0</v>
      </c>
      <c r="N91" s="28">
        <v>1644.0</v>
      </c>
      <c r="O91" s="28">
        <v>150.0</v>
      </c>
      <c r="P91" s="28"/>
      <c r="Q91" s="29" t="s">
        <v>35</v>
      </c>
      <c r="R91" s="28">
        <v>1000.0</v>
      </c>
      <c r="S91" s="28">
        <v>800.0</v>
      </c>
      <c r="T91" s="28">
        <v>821.0</v>
      </c>
      <c r="U91" s="28">
        <v>650.0</v>
      </c>
      <c r="V91" s="24" t="str">
        <f>IFERROR(__xludf.DUMMYFUNCTION("IFERROR(REGEXEXTRACT(A91,""G2-B-(\d+)""),"""")"),"200")</f>
        <v>200</v>
      </c>
      <c r="W91" s="24">
        <f t="shared" si="1"/>
        <v>2</v>
      </c>
      <c r="X91" s="24">
        <f>IFERROR(__xludf.DUMMYFUNCTION("IFERROR(VALUE(REGEXEXTRACT(A91,""\b(\d+)/\d+\b"")),"""")"),1.0)</f>
        <v>1</v>
      </c>
      <c r="Y91" s="24">
        <f>IFERROR(__xludf.DUMMYFUNCTION("IFERROR(VALUE(REGEXEXTRACT(A91,""\b\d+/(\d+)\b"")),"""")
"),1.0)</f>
        <v>1</v>
      </c>
      <c r="Z91" s="24">
        <f t="array" ref="Z91">IFERROR(INDEX(CRV!BU:BU, MATCH(B91, CRV!A:A, 0)), "")</f>
        <v>7.5</v>
      </c>
      <c r="AA91" s="24">
        <f t="array" ref="AA91">IFERROR(INDEX(CRV!BV:BV, MATCH(B91, CRV!A:A, 0))*X91+4.5*2+7, "")</f>
        <v>30.4</v>
      </c>
      <c r="AB91" s="24" t="str">
        <f t="array" ref="AB91">IFERROR(IF(VALUE(XLOOKUP($B91,CRV!$A:$A,CRV!$BU:$BU))&lt;=5.5,"прямой пуск (DOL)","звезда-треугольник (SD)"),"")</f>
        <v>звезда-треугольник (SD)</v>
      </c>
      <c r="AC91" s="25" t="str">
        <f t="array" ref="AC91">IFERROR(INDEX(CRV!CA:CA, MATCH(B91, CRV!A:A, 0)), "")</f>
        <v>HQQE</v>
      </c>
      <c r="AD91" s="29">
        <v>593.0</v>
      </c>
      <c r="AE91" s="28">
        <v>7.5211419E7</v>
      </c>
    </row>
    <row r="92" ht="12.0" customHeight="1">
      <c r="A92" s="28" t="s">
        <v>152</v>
      </c>
      <c r="B92" s="24" t="str">
        <f>IFERROR(__xludf.DUMMYFUNCTION("IFERROR(IF(REGEXMATCH(REGEXEXTRACT(A92,""\bCRV\s*\d+(?:-\d+)+(?:-(?:A?BI|AI|BI))?\b""),""-(?:A?BI|AI|BI)$""),REGEXREPLACE(REGEXEXTRACT(A92,""\bCRV\s*\d+(?:-\d+)+(?:-(?:A?BI|AI|BI))?\b""),""-(A?BI|AI|BI)$"",""C$1""),REGEXEXTRACT(A92,""\bCRV\s*\d+(?:-\d+)+("&amp;"?:-(?:A?BI|AI|BI))?\b"")&amp;""C""),"""")"),"CRV 64-2C")</f>
        <v>CRV 64-2C</v>
      </c>
      <c r="C92" s="28">
        <v>1700.0</v>
      </c>
      <c r="D92" s="28">
        <v>1424.0</v>
      </c>
      <c r="E92" s="28">
        <v>390.0</v>
      </c>
      <c r="F92" s="28">
        <v>722.0</v>
      </c>
      <c r="G92" s="28">
        <v>657.0</v>
      </c>
      <c r="H92" s="28">
        <v>1943.0</v>
      </c>
      <c r="I92" s="28">
        <v>1379.0</v>
      </c>
      <c r="J92" s="28">
        <v>2121.0</v>
      </c>
      <c r="K92" s="28">
        <v>1684.0</v>
      </c>
      <c r="L92" s="28">
        <v>548.0</v>
      </c>
      <c r="M92" s="28">
        <v>588.0</v>
      </c>
      <c r="N92" s="28">
        <v>1644.0</v>
      </c>
      <c r="O92" s="28">
        <v>150.0</v>
      </c>
      <c r="P92" s="28"/>
      <c r="Q92" s="29" t="s">
        <v>35</v>
      </c>
      <c r="R92" s="28">
        <v>1000.0</v>
      </c>
      <c r="S92" s="28">
        <v>800.0</v>
      </c>
      <c r="T92" s="28">
        <v>821.0</v>
      </c>
      <c r="U92" s="28">
        <v>650.0</v>
      </c>
      <c r="V92" s="24" t="str">
        <f>IFERROR(__xludf.DUMMYFUNCTION("IFERROR(REGEXEXTRACT(A92,""G2-B-(\d+)""),"""")"),"200")</f>
        <v>200</v>
      </c>
      <c r="W92" s="24">
        <f t="shared" si="1"/>
        <v>2</v>
      </c>
      <c r="X92" s="24">
        <f>IFERROR(__xludf.DUMMYFUNCTION("IFERROR(VALUE(REGEXEXTRACT(A92,""\b(\d+)/\d+\b"")),"""")"),1.0)</f>
        <v>1</v>
      </c>
      <c r="Y92" s="24">
        <f>IFERROR(__xludf.DUMMYFUNCTION("IFERROR(VALUE(REGEXEXTRACT(A92,""\b\d+/(\d+)\b"")),"""")
"),1.0)</f>
        <v>1</v>
      </c>
      <c r="Z92" s="24">
        <f t="array" ref="Z92">IFERROR(INDEX(CRV!BU:BU, MATCH(B92, CRV!A:A, 0)), "")</f>
        <v>11</v>
      </c>
      <c r="AA92" s="24">
        <f t="array" ref="AA92">IFERROR(INDEX(CRV!BV:BV, MATCH(B92, CRV!A:A, 0))*X92+4.5*2+7, "")</f>
        <v>36.6</v>
      </c>
      <c r="AB92" s="24" t="str">
        <f t="array" ref="AB92">IFERROR(IF(VALUE(XLOOKUP($B92,CRV!$A:$A,CRV!$BU:$BU))&lt;=5.5,"прямой пуск (DOL)","звезда-треугольник (SD)"),"")</f>
        <v>звезда-треугольник (SD)</v>
      </c>
      <c r="AC92" s="25" t="str">
        <f t="array" ref="AC92">IFERROR(INDEX(CRV!CA:CA, MATCH(B92, CRV!A:A, 0)), "")</f>
        <v>HQQE</v>
      </c>
      <c r="AD92" s="29">
        <v>663.0</v>
      </c>
      <c r="AE92" s="28">
        <v>7.521142E7</v>
      </c>
    </row>
    <row r="93" ht="12.0" customHeight="1">
      <c r="A93" s="28" t="s">
        <v>153</v>
      </c>
      <c r="B93" s="24" t="str">
        <f>IFERROR(__xludf.DUMMYFUNCTION("IFERROR(IF(REGEXMATCH(REGEXEXTRACT(A93,""\bCRV\s*\d+(?:-\d+)+(?:-(?:A?BI|AI|BI))?\b""),""-(?:A?BI|AI|BI)$""),REGEXREPLACE(REGEXEXTRACT(A93,""\bCRV\s*\d+(?:-\d+)+(?:-(?:A?BI|AI|BI))?\b""),""-(A?BI|AI|BI)$"",""C$1""),REGEXEXTRACT(A93,""\bCRV\s*\d+(?:-\d+)+("&amp;"?:-(?:A?BI|AI|BI))?\b"")&amp;""C""),"""")"),"CRV 64-3C")</f>
        <v>CRV 64-3C</v>
      </c>
      <c r="C93" s="28">
        <v>1700.0</v>
      </c>
      <c r="D93" s="28">
        <v>1598.0</v>
      </c>
      <c r="E93" s="28">
        <v>390.0</v>
      </c>
      <c r="F93" s="28">
        <v>722.0</v>
      </c>
      <c r="G93" s="28">
        <v>657.0</v>
      </c>
      <c r="H93" s="28">
        <v>1943.0</v>
      </c>
      <c r="I93" s="28">
        <v>1379.0</v>
      </c>
      <c r="J93" s="28">
        <v>2121.0</v>
      </c>
      <c r="K93" s="28">
        <v>1684.0</v>
      </c>
      <c r="L93" s="28">
        <v>548.0</v>
      </c>
      <c r="M93" s="28">
        <v>588.0</v>
      </c>
      <c r="N93" s="28">
        <v>1644.0</v>
      </c>
      <c r="O93" s="28">
        <v>150.0</v>
      </c>
      <c r="P93" s="28"/>
      <c r="Q93" s="29" t="s">
        <v>35</v>
      </c>
      <c r="R93" s="28">
        <v>1000.0</v>
      </c>
      <c r="S93" s="28">
        <v>800.0</v>
      </c>
      <c r="T93" s="28">
        <v>821.0</v>
      </c>
      <c r="U93" s="28">
        <v>650.0</v>
      </c>
      <c r="V93" s="24" t="str">
        <f>IFERROR(__xludf.DUMMYFUNCTION("IFERROR(REGEXEXTRACT(A93,""G2-B-(\d+)""),"""")"),"200")</f>
        <v>200</v>
      </c>
      <c r="W93" s="24">
        <f t="shared" si="1"/>
        <v>2</v>
      </c>
      <c r="X93" s="24">
        <f>IFERROR(__xludf.DUMMYFUNCTION("IFERROR(VALUE(REGEXEXTRACT(A93,""\b(\d+)/\d+\b"")),"""")"),1.0)</f>
        <v>1</v>
      </c>
      <c r="Y93" s="24">
        <f>IFERROR(__xludf.DUMMYFUNCTION("IFERROR(VALUE(REGEXEXTRACT(A93,""\b\d+/(\d+)\b"")),"""")
"),1.0)</f>
        <v>1</v>
      </c>
      <c r="Z93" s="24">
        <f t="array" ref="Z93">IFERROR(INDEX(CRV!BU:BU, MATCH(B93, CRV!A:A, 0)), "")</f>
        <v>18.5</v>
      </c>
      <c r="AA93" s="24">
        <f t="array" ref="AA93">IFERROR(INDEX(CRV!BV:BV, MATCH(B93, CRV!A:A, 0))*X93+4.5*2+7, "")</f>
        <v>50.2</v>
      </c>
      <c r="AB93" s="24" t="str">
        <f t="array" ref="AB93">IFERROR(IF(VALUE(XLOOKUP($B93,CRV!$A:$A,CRV!$BU:$BU))&lt;=5.5,"прямой пуск (DOL)","звезда-треугольник (SD)"),"")</f>
        <v>звезда-треугольник (SD)</v>
      </c>
      <c r="AC93" s="25" t="str">
        <f t="array" ref="AC93">IFERROR(INDEX(CRV!CA:CA, MATCH(B93, CRV!A:A, 0)), "")</f>
        <v>HQQE</v>
      </c>
      <c r="AD93" s="29">
        <v>765.0</v>
      </c>
      <c r="AE93" s="28">
        <v>7.5211421E7</v>
      </c>
    </row>
    <row r="94" ht="12.0" customHeight="1">
      <c r="A94" s="28" t="s">
        <v>154</v>
      </c>
      <c r="B94" s="24" t="str">
        <f>IFERROR(__xludf.DUMMYFUNCTION("IFERROR(IF(REGEXMATCH(REGEXEXTRACT(A94,""\bCRV\s*\d+(?:-\d+)+(?:-(?:A?BI|AI|BI))?\b""),""-(?:A?BI|AI|BI)$""),REGEXREPLACE(REGEXEXTRACT(A94,""\bCRV\s*\d+(?:-\d+)+(?:-(?:A?BI|AI|BI))?\b""),""-(A?BI|AI|BI)$"",""C$1""),REGEXEXTRACT(A94,""\bCRV\s*\d+(?:-\d+)+("&amp;"?:-(?:A?BI|AI|BI))?\b"")&amp;""C""),"""")"),"CRV 64-4-2C")</f>
        <v>CRV 64-4-2C</v>
      </c>
      <c r="C94" s="28">
        <v>1700.0</v>
      </c>
      <c r="D94" s="28">
        <v>1678.0</v>
      </c>
      <c r="E94" s="28">
        <v>390.0</v>
      </c>
      <c r="F94" s="28">
        <v>722.0</v>
      </c>
      <c r="G94" s="28">
        <v>657.0</v>
      </c>
      <c r="H94" s="28">
        <v>1943.0</v>
      </c>
      <c r="I94" s="28">
        <v>1379.0</v>
      </c>
      <c r="J94" s="28">
        <v>2121.0</v>
      </c>
      <c r="K94" s="28">
        <v>1684.0</v>
      </c>
      <c r="L94" s="28">
        <v>548.0</v>
      </c>
      <c r="M94" s="28">
        <v>588.0</v>
      </c>
      <c r="N94" s="28">
        <v>1644.0</v>
      </c>
      <c r="O94" s="28">
        <v>150.0</v>
      </c>
      <c r="P94" s="28"/>
      <c r="Q94" s="29" t="s">
        <v>35</v>
      </c>
      <c r="R94" s="28">
        <v>1000.0</v>
      </c>
      <c r="S94" s="28">
        <v>800.0</v>
      </c>
      <c r="T94" s="28">
        <v>821.0</v>
      </c>
      <c r="U94" s="28">
        <v>650.0</v>
      </c>
      <c r="V94" s="24" t="str">
        <f>IFERROR(__xludf.DUMMYFUNCTION("IFERROR(REGEXEXTRACT(A94,""G2-B-(\d+)""),"""")"),"200")</f>
        <v>200</v>
      </c>
      <c r="W94" s="24">
        <f t="shared" si="1"/>
        <v>2</v>
      </c>
      <c r="X94" s="24">
        <f>IFERROR(__xludf.DUMMYFUNCTION("IFERROR(VALUE(REGEXEXTRACT(A94,""\b(\d+)/\d+\b"")),"""")"),1.0)</f>
        <v>1</v>
      </c>
      <c r="Y94" s="24">
        <f>IFERROR(__xludf.DUMMYFUNCTION("IFERROR(VALUE(REGEXEXTRACT(A94,""\b\d+/(\d+)\b"")),"""")
"),1.0)</f>
        <v>1</v>
      </c>
      <c r="Z94" s="24">
        <f t="array" ref="Z94">IFERROR(INDEX(CRV!BU:BU, MATCH(B94, CRV!A:A, 0)), "")</f>
        <v>18.5</v>
      </c>
      <c r="AA94" s="24">
        <f t="array" ref="AA94">IFERROR(INDEX(CRV!BV:BV, MATCH(B94, CRV!A:A, 0))*X94+4.5*2+7, "")</f>
        <v>50.2</v>
      </c>
      <c r="AB94" s="24" t="str">
        <f t="array" ref="AB94">IFERROR(IF(VALUE(XLOOKUP($B94,CRV!$A:$A,CRV!$BU:$BU))&lt;=5.5,"прямой пуск (DOL)","звезда-треугольник (SD)"),"")</f>
        <v>звезда-треугольник (SD)</v>
      </c>
      <c r="AC94" s="25" t="str">
        <f t="array" ref="AC94">IFERROR(INDEX(CRV!CA:CA, MATCH(B94, CRV!A:A, 0)), "")</f>
        <v>HQQE</v>
      </c>
      <c r="AD94" s="29">
        <v>862.0</v>
      </c>
      <c r="AE94" s="28">
        <v>7.5211381E7</v>
      </c>
    </row>
    <row r="95" ht="12.0" customHeight="1">
      <c r="A95" s="30" t="s">
        <v>155</v>
      </c>
      <c r="B95" s="24" t="str">
        <f>IFERROR(__xludf.DUMMYFUNCTION("IFERROR(IF(REGEXMATCH(REGEXEXTRACT(A95,""\bCRV\s*\d+(?:-\d+)+(?:-(?:A?BI|AI|BI))?\b""),""-(?:A?BI|AI|BI)$""),REGEXREPLACE(REGEXEXTRACT(A95,""\bCRV\s*\d+(?:-\d+)+(?:-(?:A?BI|AI|BI))?\b""),""-(A?BI|AI|BI)$"",""C$1""),REGEXEXTRACT(A95,""\bCRV\s*\d+(?:-\d+)+("&amp;"?:-(?:A?BI|AI|BI))?\b"")&amp;""C""),"""")"),"CRV 64-4-1C")</f>
        <v>CRV 64-4-1C</v>
      </c>
      <c r="C95" s="28">
        <v>1700.0</v>
      </c>
      <c r="D95" s="28">
        <f t="array" ref="D95">IFERROR(D94-(INDEX(CRV!$BA:$BA,MATCH(B94,CRV!$A:$A,0))+INDEX(CRV!$BB:$BB,MATCH(B94,CRV!$A:$A,0)))+(INDEX(CRV!$BA:$BA,MATCH(B95,CRV!$A:$A,0))+INDEX(CRV!$BB:$BB,MATCH(B95,CRV!$A:$A,0))),"")</f>
        <v>1716</v>
      </c>
      <c r="E95" s="28">
        <v>390.0</v>
      </c>
      <c r="F95" s="28">
        <v>722.0</v>
      </c>
      <c r="G95" s="28">
        <v>657.0</v>
      </c>
      <c r="H95" s="28">
        <v>1943.0</v>
      </c>
      <c r="I95" s="28">
        <v>1379.0</v>
      </c>
      <c r="J95" s="28">
        <v>2121.0</v>
      </c>
      <c r="K95" s="28">
        <v>1684.0</v>
      </c>
      <c r="L95" s="28">
        <v>548.0</v>
      </c>
      <c r="M95" s="28">
        <v>588.0</v>
      </c>
      <c r="N95" s="28">
        <v>1644.0</v>
      </c>
      <c r="O95" s="28">
        <v>150.0</v>
      </c>
      <c r="P95" s="28"/>
      <c r="Q95" s="29" t="s">
        <v>35</v>
      </c>
      <c r="R95" s="28">
        <v>1000.0</v>
      </c>
      <c r="S95" s="28">
        <v>800.0</v>
      </c>
      <c r="T95" s="28">
        <v>821.0</v>
      </c>
      <c r="U95" s="28">
        <v>650.0</v>
      </c>
      <c r="V95" s="24" t="str">
        <f>IFERROR(__xludf.DUMMYFUNCTION("IFERROR(REGEXEXTRACT(A95,""G2-B-(\d+)""),"""")"),"200")</f>
        <v>200</v>
      </c>
      <c r="W95" s="24">
        <f t="shared" si="1"/>
        <v>2</v>
      </c>
      <c r="X95" s="24">
        <f>IFERROR(__xludf.DUMMYFUNCTION("IFERROR(VALUE(REGEXEXTRACT(A95,""\b(\d+)/\d+\b"")),"""")"),1.0)</f>
        <v>1</v>
      </c>
      <c r="Y95" s="24">
        <f>IFERROR(__xludf.DUMMYFUNCTION("IFERROR(VALUE(REGEXEXTRACT(A95,""\b\d+/(\d+)\b"")),"""")
"),1.0)</f>
        <v>1</v>
      </c>
      <c r="Z95" s="24">
        <f t="array" ref="Z95">IFERROR(INDEX(CRV!BU:BU, MATCH(B95, CRV!A:A, 0)), "")</f>
        <v>22</v>
      </c>
      <c r="AA95" s="24">
        <f t="array" ref="AA95">IFERROR(INDEX(CRV!BV:BV, MATCH(B95, CRV!A:A, 0))*X95+4.5*2+7, "")</f>
        <v>56.5</v>
      </c>
      <c r="AB95" s="24" t="str">
        <f t="array" ref="AB95">IFERROR(IF(VALUE(XLOOKUP($B95,CRV!$A:$A,CRV!$BU:$BU))&lt;=5.5,"прямой пуск (DOL)","звезда-треугольник (SD)"),"")</f>
        <v>звезда-треугольник (SD)</v>
      </c>
      <c r="AC95" s="25" t="str">
        <f t="array" ref="AC95">IFERROR(INDEX(CRV!CA:CA, MATCH(B95, CRV!A:A, 0)), "")</f>
        <v>HQQE</v>
      </c>
      <c r="AD95" s="25">
        <f t="array" ref="AD95">IFERROR(AD94-W95*XLOOKUP($B94,CRV!$A:$A,CRV!$BY:$BY)+W95*XLOOKUP($B95,CRV!$A:$A,CRV!$BY:$BY),"ошибка")</f>
        <v>964</v>
      </c>
      <c r="AE95" s="25" t="s">
        <v>76</v>
      </c>
    </row>
    <row r="96" ht="12.0" customHeight="1">
      <c r="A96" s="30" t="s">
        <v>156</v>
      </c>
      <c r="B96" s="24" t="str">
        <f>IFERROR(__xludf.DUMMYFUNCTION("IFERROR(IF(REGEXMATCH(REGEXEXTRACT(A96,""\bCRV\s*\d+(?:-\d+)+(?:-(?:A?BI|AI|BI))?\b""),""-(?:A?BI|AI|BI)$""),REGEXREPLACE(REGEXEXTRACT(A96,""\bCRV\s*\d+(?:-\d+)+(?:-(?:A?BI|AI|BI))?\b""),""-(A?BI|AI|BI)$"",""C$1""),REGEXEXTRACT(A96,""\bCRV\s*\d+(?:-\d+)+("&amp;"?:-(?:A?BI|AI|BI))?\b"")&amp;""C""),"""")"),"CRV 64-4C")</f>
        <v>CRV 64-4C</v>
      </c>
      <c r="C96" s="28">
        <v>1700.0</v>
      </c>
      <c r="D96" s="28">
        <f t="array" ref="D96">IFERROR(D95-(INDEX(CRV!$BA:$BA,MATCH(B95,CRV!$A:$A,0))+INDEX(CRV!$BB:$BB,MATCH(B95,CRV!$A:$A,0)))+(INDEX(CRV!$BA:$BA,MATCH(B96,CRV!$A:$A,0))+INDEX(CRV!$BB:$BB,MATCH(B96,CRV!$A:$A,0))),"")</f>
        <v>1716</v>
      </c>
      <c r="E96" s="28">
        <v>390.0</v>
      </c>
      <c r="F96" s="28">
        <v>722.0</v>
      </c>
      <c r="G96" s="28">
        <v>657.0</v>
      </c>
      <c r="H96" s="28">
        <v>1943.0</v>
      </c>
      <c r="I96" s="28">
        <v>1379.0</v>
      </c>
      <c r="J96" s="28">
        <v>2121.0</v>
      </c>
      <c r="K96" s="28">
        <v>1684.0</v>
      </c>
      <c r="L96" s="28">
        <v>548.0</v>
      </c>
      <c r="M96" s="28">
        <v>588.0</v>
      </c>
      <c r="N96" s="28">
        <v>1644.0</v>
      </c>
      <c r="O96" s="28">
        <v>150.0</v>
      </c>
      <c r="P96" s="28"/>
      <c r="Q96" s="29" t="s">
        <v>35</v>
      </c>
      <c r="R96" s="28">
        <v>1000.0</v>
      </c>
      <c r="S96" s="28">
        <v>800.0</v>
      </c>
      <c r="T96" s="28">
        <v>821.0</v>
      </c>
      <c r="U96" s="28">
        <v>650.0</v>
      </c>
      <c r="V96" s="24" t="str">
        <f>IFERROR(__xludf.DUMMYFUNCTION("IFERROR(REGEXEXTRACT(A96,""G2-B-(\d+)""),"""")"),"200")</f>
        <v>200</v>
      </c>
      <c r="W96" s="24">
        <f t="shared" si="1"/>
        <v>2</v>
      </c>
      <c r="X96" s="24">
        <f>IFERROR(__xludf.DUMMYFUNCTION("IFERROR(VALUE(REGEXEXTRACT(A96,""\b(\d+)/\d+\b"")),"""")"),1.0)</f>
        <v>1</v>
      </c>
      <c r="Y96" s="24">
        <f>IFERROR(__xludf.DUMMYFUNCTION("IFERROR(VALUE(REGEXEXTRACT(A96,""\b\d+/(\d+)\b"")),"""")
"),1.0)</f>
        <v>1</v>
      </c>
      <c r="Z96" s="24">
        <f t="array" ref="Z96">IFERROR(INDEX(CRV!BU:BU, MATCH(B96, CRV!A:A, 0)), "")</f>
        <v>22</v>
      </c>
      <c r="AA96" s="24">
        <f t="array" ref="AA96">IFERROR(INDEX(CRV!BV:BV, MATCH(B96, CRV!A:A, 0))*X96+4.5*2+7, "")</f>
        <v>56.5</v>
      </c>
      <c r="AB96" s="24" t="str">
        <f t="array" ref="AB96">IFERROR(IF(VALUE(XLOOKUP($B96,CRV!$A:$A,CRV!$BU:$BU))&lt;=5.5,"прямой пуск (DOL)","звезда-треугольник (SD)"),"")</f>
        <v>звезда-треугольник (SD)</v>
      </c>
      <c r="AC96" s="25" t="str">
        <f t="array" ref="AC96">IFERROR(INDEX(CRV!CA:CA, MATCH(B96, CRV!A:A, 0)), "")</f>
        <v>HQQE</v>
      </c>
      <c r="AD96" s="25">
        <f t="array" ref="AD96">IFERROR(AD95-W96*XLOOKUP($B95,CRV!$A:$A,CRV!$BY:$BY)+W96*XLOOKUP($B96,CRV!$A:$A,CRV!$BY:$BY),"ошибка")</f>
        <v>964</v>
      </c>
      <c r="AE96" s="25" t="s">
        <v>76</v>
      </c>
    </row>
    <row r="97" ht="12.0" customHeight="1">
      <c r="A97" s="30" t="s">
        <v>157</v>
      </c>
      <c r="B97" s="24" t="str">
        <f>IFERROR(__xludf.DUMMYFUNCTION("IFERROR(IF(REGEXMATCH(REGEXEXTRACT(A97,""\bCRV\s*\d+(?:-\d+)+(?:-(?:A?BI|AI|BI))?\b""),""-(?:A?BI|AI|BI)$""),REGEXREPLACE(REGEXEXTRACT(A97,""\bCRV\s*\d+(?:-\d+)+(?:-(?:A?BI|AI|BI))?\b""),""-(A?BI|AI|BI)$"",""C$1""),REGEXEXTRACT(A97,""\bCRV\s*\d+(?:-\d+)+("&amp;"?:-(?:A?BI|AI|BI))?\b"")&amp;""C""),"""")"),"CRV 64-5-2C")</f>
        <v>CRV 64-5-2C</v>
      </c>
      <c r="C97" s="28">
        <v>1700.0</v>
      </c>
      <c r="D97" s="28">
        <f t="array" ref="D97">IFERROR(D96-(INDEX(CRV!$BA:$BA,MATCH(B96,CRV!$A:$A,0))+INDEX(CRV!$BB:$BB,MATCH(B96,CRV!$A:$A,0)))+(INDEX(CRV!$BA:$BA,MATCH(B97,CRV!$A:$A,0))+INDEX(CRV!$BB:$BB,MATCH(B97,CRV!$A:$A,0))),"")</f>
        <v>1869</v>
      </c>
      <c r="E97" s="28">
        <v>390.0</v>
      </c>
      <c r="F97" s="28">
        <v>722.0</v>
      </c>
      <c r="G97" s="28">
        <v>657.0</v>
      </c>
      <c r="H97" s="28">
        <v>1943.0</v>
      </c>
      <c r="I97" s="28">
        <v>1379.0</v>
      </c>
      <c r="J97" s="28">
        <v>2121.0</v>
      </c>
      <c r="K97" s="28">
        <v>1684.0</v>
      </c>
      <c r="L97" s="28">
        <v>548.0</v>
      </c>
      <c r="M97" s="28">
        <v>588.0</v>
      </c>
      <c r="N97" s="28">
        <v>1644.0</v>
      </c>
      <c r="O97" s="28">
        <v>150.0</v>
      </c>
      <c r="P97" s="28"/>
      <c r="Q97" s="29" t="s">
        <v>35</v>
      </c>
      <c r="R97" s="28">
        <v>1000.0</v>
      </c>
      <c r="S97" s="28">
        <v>800.0</v>
      </c>
      <c r="T97" s="28">
        <v>821.0</v>
      </c>
      <c r="U97" s="28">
        <v>650.0</v>
      </c>
      <c r="V97" s="24" t="str">
        <f>IFERROR(__xludf.DUMMYFUNCTION("IFERROR(REGEXEXTRACT(A97,""G2-B-(\d+)""),"""")"),"200")</f>
        <v>200</v>
      </c>
      <c r="W97" s="24">
        <f t="shared" si="1"/>
        <v>2</v>
      </c>
      <c r="X97" s="24">
        <f>IFERROR(__xludf.DUMMYFUNCTION("IFERROR(VALUE(REGEXEXTRACT(A97,""\b(\d+)/\d+\b"")),"""")"),1.0)</f>
        <v>1</v>
      </c>
      <c r="Y97" s="24">
        <f>IFERROR(__xludf.DUMMYFUNCTION("IFERROR(VALUE(REGEXEXTRACT(A97,""\b\d+/(\d+)\b"")),"""")
"),1.0)</f>
        <v>1</v>
      </c>
      <c r="Z97" s="24">
        <f t="array" ref="Z97">IFERROR(INDEX(CRV!BU:BU, MATCH(B97, CRV!A:A, 0)), "")</f>
        <v>30</v>
      </c>
      <c r="AA97" s="24">
        <f t="array" ref="AA97">IFERROR(INDEX(CRV!BV:BV, MATCH(B97, CRV!A:A, 0))*X97+4.5*2+7, "")</f>
        <v>70.9</v>
      </c>
      <c r="AB97" s="24" t="str">
        <f t="array" ref="AB97">IFERROR(IF(VALUE(XLOOKUP($B97,CRV!$A:$A,CRV!$BU:$BU))&lt;=5.5,"прямой пуск (DOL)","звезда-треугольник (SD)"),"")</f>
        <v>звезда-треугольник (SD)</v>
      </c>
      <c r="AC97" s="25" t="str">
        <f t="array" ref="AC97">IFERROR(INDEX(CRV!CA:CA, MATCH(B97, CRV!A:A, 0)), "")</f>
        <v>HQQE</v>
      </c>
      <c r="AD97" s="25">
        <f t="array" ref="AD97">IFERROR(AD96-W97*XLOOKUP($B96,CRV!$A:$A,CRV!$BY:$BY)+W97*XLOOKUP($B97,CRV!$A:$A,CRV!$BY:$BY),"ошибка")</f>
        <v>1134</v>
      </c>
      <c r="AE97" s="25" t="s">
        <v>76</v>
      </c>
    </row>
    <row r="98" ht="12.0" customHeight="1">
      <c r="A98" s="30" t="s">
        <v>158</v>
      </c>
      <c r="B98" s="24" t="str">
        <f>IFERROR(__xludf.DUMMYFUNCTION("IFERROR(IF(REGEXMATCH(REGEXEXTRACT(A98,""\bCRV\s*\d+(?:-\d+)+(?:-(?:A?BI|AI|BI))?\b""),""-(?:A?BI|AI|BI)$""),REGEXREPLACE(REGEXEXTRACT(A98,""\bCRV\s*\d+(?:-\d+)+(?:-(?:A?BI|AI|BI))?\b""),""-(A?BI|AI|BI)$"",""C$1""),REGEXEXTRACT(A98,""\bCRV\s*\d+(?:-\d+)+("&amp;"?:-(?:A?BI|AI|BI))?\b"")&amp;""C""),"""")"),"CRV 64-5-1C")</f>
        <v>CRV 64-5-1C</v>
      </c>
      <c r="C98" s="28">
        <v>1700.0</v>
      </c>
      <c r="D98" s="28">
        <f t="array" ref="D98">IFERROR(D97-(INDEX(CRV!$BA:$BA,MATCH(B97,CRV!$A:$A,0))+INDEX(CRV!$BB:$BB,MATCH(B97,CRV!$A:$A,0)))+(INDEX(CRV!$BA:$BA,MATCH(B98,CRV!$A:$A,0))+INDEX(CRV!$BB:$BB,MATCH(B98,CRV!$A:$A,0))),"")</f>
        <v>1869</v>
      </c>
      <c r="E98" s="28">
        <v>390.0</v>
      </c>
      <c r="F98" s="28">
        <v>722.0</v>
      </c>
      <c r="G98" s="28">
        <v>657.0</v>
      </c>
      <c r="H98" s="28">
        <v>1943.0</v>
      </c>
      <c r="I98" s="28">
        <v>1379.0</v>
      </c>
      <c r="J98" s="28">
        <v>2121.0</v>
      </c>
      <c r="K98" s="28">
        <v>1684.0</v>
      </c>
      <c r="L98" s="28">
        <v>548.0</v>
      </c>
      <c r="M98" s="28">
        <v>588.0</v>
      </c>
      <c r="N98" s="28">
        <v>1644.0</v>
      </c>
      <c r="O98" s="28">
        <v>150.0</v>
      </c>
      <c r="P98" s="28"/>
      <c r="Q98" s="29" t="s">
        <v>35</v>
      </c>
      <c r="R98" s="28">
        <v>1000.0</v>
      </c>
      <c r="S98" s="28">
        <v>800.0</v>
      </c>
      <c r="T98" s="28">
        <v>821.0</v>
      </c>
      <c r="U98" s="28">
        <v>650.0</v>
      </c>
      <c r="V98" s="24" t="str">
        <f>IFERROR(__xludf.DUMMYFUNCTION("IFERROR(REGEXEXTRACT(A98,""G2-B-(\d+)""),"""")"),"200")</f>
        <v>200</v>
      </c>
      <c r="W98" s="24">
        <f t="shared" si="1"/>
        <v>2</v>
      </c>
      <c r="X98" s="24">
        <f>IFERROR(__xludf.DUMMYFUNCTION("IFERROR(VALUE(REGEXEXTRACT(A98,""\b(\d+)/\d+\b"")),"""")"),1.0)</f>
        <v>1</v>
      </c>
      <c r="Y98" s="24">
        <f>IFERROR(__xludf.DUMMYFUNCTION("IFERROR(VALUE(REGEXEXTRACT(A98,""\b\d+/(\d+)\b"")),"""")
"),1.0)</f>
        <v>1</v>
      </c>
      <c r="Z98" s="24">
        <f t="array" ref="Z98">IFERROR(INDEX(CRV!BU:BU, MATCH(B98, CRV!A:A, 0)), "")</f>
        <v>30</v>
      </c>
      <c r="AA98" s="24">
        <f t="array" ref="AA98">IFERROR(INDEX(CRV!BV:BV, MATCH(B98, CRV!A:A, 0))*X98+4.5*2+7, "")</f>
        <v>70.9</v>
      </c>
      <c r="AB98" s="24" t="str">
        <f t="array" ref="AB98">IFERROR(IF(VALUE(XLOOKUP($B98,CRV!$A:$A,CRV!$BU:$BU))&lt;=5.5,"прямой пуск (DOL)","звезда-треугольник (SD)"),"")</f>
        <v>звезда-треугольник (SD)</v>
      </c>
      <c r="AC98" s="25" t="str">
        <f t="array" ref="AC98">IFERROR(INDEX(CRV!CA:CA, MATCH(B98, CRV!A:A, 0)), "")</f>
        <v>HQQE</v>
      </c>
      <c r="AD98" s="25">
        <f t="array" ref="AD98">IFERROR(AD97-W98*XLOOKUP($B97,CRV!$A:$A,CRV!$BY:$BY)+W98*XLOOKUP($B98,CRV!$A:$A,CRV!$BY:$BY),"ошибка")</f>
        <v>1134</v>
      </c>
      <c r="AE98" s="25" t="s">
        <v>76</v>
      </c>
    </row>
    <row r="99" ht="12.0" customHeight="1">
      <c r="A99" s="30" t="s">
        <v>159</v>
      </c>
      <c r="B99" s="24" t="str">
        <f>IFERROR(__xludf.DUMMYFUNCTION("IFERROR(IF(REGEXMATCH(REGEXEXTRACT(A99,""\bCRV\s*\d+(?:-\d+)+(?:-(?:A?BI|AI|BI))?\b""),""-(?:A?BI|AI|BI)$""),REGEXREPLACE(REGEXEXTRACT(A99,""\bCRV\s*\d+(?:-\d+)+(?:-(?:A?BI|AI|BI))?\b""),""-(A?BI|AI|BI)$"",""C$1""),REGEXEXTRACT(A99,""\bCRV\s*\d+(?:-\d+)+("&amp;"?:-(?:A?BI|AI|BI))?\b"")&amp;""C""),"""")"),"CRV 64-5C")</f>
        <v>CRV 64-5C</v>
      </c>
      <c r="C99" s="28">
        <v>1700.0</v>
      </c>
      <c r="D99" s="28">
        <f t="array" ref="D99">IFERROR(D98-(INDEX(CRV!$BA:$BA,MATCH(B98,CRV!$A:$A,0))+INDEX(CRV!$BB:$BB,MATCH(B98,CRV!$A:$A,0)))+(INDEX(CRV!$BA:$BA,MATCH(B99,CRV!$A:$A,0))+INDEX(CRV!$BB:$BB,MATCH(B99,CRV!$A:$A,0))),"")</f>
        <v>1869</v>
      </c>
      <c r="E99" s="28">
        <v>390.0</v>
      </c>
      <c r="F99" s="28">
        <v>722.0</v>
      </c>
      <c r="G99" s="28">
        <v>657.0</v>
      </c>
      <c r="H99" s="28">
        <v>1943.0</v>
      </c>
      <c r="I99" s="28">
        <v>1379.0</v>
      </c>
      <c r="J99" s="28">
        <v>2121.0</v>
      </c>
      <c r="K99" s="28">
        <v>1684.0</v>
      </c>
      <c r="L99" s="28">
        <v>548.0</v>
      </c>
      <c r="M99" s="28">
        <v>588.0</v>
      </c>
      <c r="N99" s="28">
        <v>1644.0</v>
      </c>
      <c r="O99" s="28">
        <v>150.0</v>
      </c>
      <c r="P99" s="28"/>
      <c r="Q99" s="29" t="s">
        <v>35</v>
      </c>
      <c r="R99" s="28">
        <v>1000.0</v>
      </c>
      <c r="S99" s="28">
        <v>800.0</v>
      </c>
      <c r="T99" s="28">
        <v>821.0</v>
      </c>
      <c r="U99" s="28">
        <v>650.0</v>
      </c>
      <c r="V99" s="24" t="str">
        <f>IFERROR(__xludf.DUMMYFUNCTION("IFERROR(REGEXEXTRACT(A99,""G2-B-(\d+)""),"""")"),"200")</f>
        <v>200</v>
      </c>
      <c r="W99" s="24">
        <f t="shared" si="1"/>
        <v>2</v>
      </c>
      <c r="X99" s="24">
        <f>IFERROR(__xludf.DUMMYFUNCTION("IFERROR(VALUE(REGEXEXTRACT(A99,""\b(\d+)/\d+\b"")),"""")"),1.0)</f>
        <v>1</v>
      </c>
      <c r="Y99" s="24">
        <f>IFERROR(__xludf.DUMMYFUNCTION("IFERROR(VALUE(REGEXEXTRACT(A99,""\b\d+/(\d+)\b"")),"""")
"),1.0)</f>
        <v>1</v>
      </c>
      <c r="Z99" s="24">
        <f t="array" ref="Z99">IFERROR(INDEX(CRV!BU:BU, MATCH(B99, CRV!A:A, 0)), "")</f>
        <v>30</v>
      </c>
      <c r="AA99" s="24">
        <f t="array" ref="AA99">IFERROR(INDEX(CRV!BV:BV, MATCH(B99, CRV!A:A, 0))*X99+4.5*2+7, "")</f>
        <v>70.9</v>
      </c>
      <c r="AB99" s="24" t="str">
        <f t="array" ref="AB99">IFERROR(IF(VALUE(XLOOKUP($B99,CRV!$A:$A,CRV!$BU:$BU))&lt;=5.5,"прямой пуск (DOL)","звезда-треугольник (SD)"),"")</f>
        <v>звезда-треугольник (SD)</v>
      </c>
      <c r="AC99" s="25" t="str">
        <f t="array" ref="AC99">IFERROR(INDEX(CRV!CA:CA, MATCH(B99, CRV!A:A, 0)), "")</f>
        <v>HQQE</v>
      </c>
      <c r="AD99" s="25">
        <f t="array" ref="AD99">IFERROR(AD98-W99*XLOOKUP($B98,CRV!$A:$A,CRV!$BY:$BY)+W99*XLOOKUP($B99,CRV!$A:$A,CRV!$BY:$BY),"ошибка")</f>
        <v>1134</v>
      </c>
      <c r="AE99" s="25" t="s">
        <v>76</v>
      </c>
    </row>
    <row r="100" ht="12.0" customHeight="1">
      <c r="A100" s="30" t="s">
        <v>160</v>
      </c>
      <c r="B100" s="24" t="str">
        <f>IFERROR(__xludf.DUMMYFUNCTION("IFERROR(IF(REGEXMATCH(REGEXEXTRACT(A100,""\bCRV\s*\d+(?:-\d+)+(?:-(?:A?BI|AI|BI))?\b""),""-(?:A?BI|AI|BI)$""),REGEXREPLACE(REGEXEXTRACT(A100,""\bCRV\s*\d+(?:-\d+)+(?:-(?:A?BI|AI|BI))?\b""),""-(A?BI|AI|BI)$"",""C$1""),REGEXEXTRACT(A100,""\bCRV\s*\d+(?:-\d+"&amp;")+(?:-(?:A?BI|AI|BI))?\b"")&amp;""C""),"""")"),"CRV 64-6-2C")</f>
        <v>CRV 64-6-2C</v>
      </c>
      <c r="C100" s="28">
        <v>1700.0</v>
      </c>
      <c r="D100" s="28">
        <f t="array" ref="D100">IFERROR(D99-(INDEX(CRV!$BA:$BA,MATCH(B99,CRV!$A:$A,0))+INDEX(CRV!$BB:$BB,MATCH(B99,CRV!$A:$A,0)))+(INDEX(CRV!$BA:$BA,MATCH(B100,CRV!$A:$A,0))+INDEX(CRV!$BB:$BB,MATCH(B100,CRV!$A:$A,0))),"")</f>
        <v>1949</v>
      </c>
      <c r="E100" s="28">
        <v>390.0</v>
      </c>
      <c r="F100" s="28">
        <v>722.0</v>
      </c>
      <c r="G100" s="28">
        <v>657.0</v>
      </c>
      <c r="H100" s="28">
        <v>1943.0</v>
      </c>
      <c r="I100" s="28">
        <v>1379.0</v>
      </c>
      <c r="J100" s="28">
        <v>2121.0</v>
      </c>
      <c r="K100" s="28">
        <v>1684.0</v>
      </c>
      <c r="L100" s="28">
        <v>548.0</v>
      </c>
      <c r="M100" s="28">
        <v>588.0</v>
      </c>
      <c r="N100" s="28">
        <v>1644.0</v>
      </c>
      <c r="O100" s="28">
        <v>150.0</v>
      </c>
      <c r="P100" s="28"/>
      <c r="Q100" s="29" t="s">
        <v>35</v>
      </c>
      <c r="R100" s="28">
        <v>1000.0</v>
      </c>
      <c r="S100" s="28">
        <v>800.0</v>
      </c>
      <c r="T100" s="28">
        <v>821.0</v>
      </c>
      <c r="U100" s="28">
        <v>650.0</v>
      </c>
      <c r="V100" s="24" t="str">
        <f>IFERROR(__xludf.DUMMYFUNCTION("IFERROR(REGEXEXTRACT(A100,""G2-B-(\d+)""),"""")"),"200")</f>
        <v>200</v>
      </c>
      <c r="W100" s="24">
        <f t="shared" si="1"/>
        <v>2</v>
      </c>
      <c r="X100" s="24">
        <f>IFERROR(__xludf.DUMMYFUNCTION("IFERROR(VALUE(REGEXEXTRACT(A100,""\b(\d+)/\d+\b"")),"""")"),1.0)</f>
        <v>1</v>
      </c>
      <c r="Y100" s="24">
        <f>IFERROR(__xludf.DUMMYFUNCTION("IFERROR(VALUE(REGEXEXTRACT(A100,""\b\d+/(\d+)\b"")),"""")
"),1.0)</f>
        <v>1</v>
      </c>
      <c r="Z100" s="24">
        <f t="array" ref="Z100">IFERROR(INDEX(CRV!BU:BU, MATCH(B100, CRV!A:A, 0)), "")</f>
        <v>30</v>
      </c>
      <c r="AA100" s="24">
        <f t="array" ref="AA100">IFERROR(INDEX(CRV!BV:BV, MATCH(B100, CRV!A:A, 0))*X100+4.5*2+7, "")</f>
        <v>70.9</v>
      </c>
      <c r="AB100" s="24" t="str">
        <f t="array" ref="AB100">IFERROR(IF(VALUE(XLOOKUP($B100,CRV!$A:$A,CRV!$BU:$BU))&lt;=5.5,"прямой пуск (DOL)","звезда-треугольник (SD)"),"")</f>
        <v>звезда-треугольник (SD)</v>
      </c>
      <c r="AC100" s="25" t="str">
        <f t="array" ref="AC100">IFERROR(INDEX(CRV!CA:CA, MATCH(B100, CRV!A:A, 0)), "")</f>
        <v>HQQE</v>
      </c>
      <c r="AD100" s="25">
        <f t="array" ref="AD100">IFERROR(AD99-W100*XLOOKUP($B99,CRV!$A:$A,CRV!$BY:$BY)+W100*XLOOKUP($B100,CRV!$A:$A,CRV!$BY:$BY),"ошибка")</f>
        <v>1144</v>
      </c>
      <c r="AE100" s="25" t="s">
        <v>76</v>
      </c>
    </row>
    <row r="101" ht="12.0" customHeight="1">
      <c r="A101" s="30" t="s">
        <v>161</v>
      </c>
      <c r="B101" s="24" t="str">
        <f>IFERROR(__xludf.DUMMYFUNCTION("IFERROR(IF(REGEXMATCH(REGEXEXTRACT(A101,""\bCRV\s*\d+(?:-\d+)+(?:-(?:A?BI|AI|BI))?\b""),""-(?:A?BI|AI|BI)$""),REGEXREPLACE(REGEXEXTRACT(A101,""\bCRV\s*\d+(?:-\d+)+(?:-(?:A?BI|AI|BI))?\b""),""-(A?BI|AI|BI)$"",""C$1""),REGEXEXTRACT(A101,""\bCRV\s*\d+(?:-\d+"&amp;")+(?:-(?:A?BI|AI|BI))?\b"")&amp;""C""),"""")"),"CRV 64-6-1C")</f>
        <v>CRV 64-6-1C</v>
      </c>
      <c r="C101" s="28">
        <v>1700.0</v>
      </c>
      <c r="D101" s="28">
        <f t="array" ref="D101">IFERROR(D100-(INDEX(CRV!$BA:$BA,MATCH(B100,CRV!$A:$A,0))+INDEX(CRV!$BB:$BB,MATCH(B100,CRV!$A:$A,0)))+(INDEX(CRV!$BA:$BA,MATCH(B101,CRV!$A:$A,0))+INDEX(CRV!$BB:$BB,MATCH(B101,CRV!$A:$A,0))),"")</f>
        <v>1949</v>
      </c>
      <c r="E101" s="28">
        <v>390.0</v>
      </c>
      <c r="F101" s="28">
        <v>722.0</v>
      </c>
      <c r="G101" s="28">
        <v>657.0</v>
      </c>
      <c r="H101" s="28">
        <v>1943.0</v>
      </c>
      <c r="I101" s="28">
        <v>1379.0</v>
      </c>
      <c r="J101" s="28">
        <v>2121.0</v>
      </c>
      <c r="K101" s="28">
        <v>1684.0</v>
      </c>
      <c r="L101" s="28">
        <v>548.0</v>
      </c>
      <c r="M101" s="28">
        <v>588.0</v>
      </c>
      <c r="N101" s="28">
        <v>1644.0</v>
      </c>
      <c r="O101" s="28">
        <v>150.0</v>
      </c>
      <c r="P101" s="28"/>
      <c r="Q101" s="29" t="s">
        <v>35</v>
      </c>
      <c r="R101" s="28">
        <v>1000.0</v>
      </c>
      <c r="S101" s="28">
        <v>800.0</v>
      </c>
      <c r="T101" s="28">
        <v>821.0</v>
      </c>
      <c r="U101" s="28">
        <v>650.0</v>
      </c>
      <c r="V101" s="24" t="str">
        <f>IFERROR(__xludf.DUMMYFUNCTION("IFERROR(REGEXEXTRACT(A101,""G2-B-(\d+)""),"""")"),"200")</f>
        <v>200</v>
      </c>
      <c r="W101" s="24">
        <f t="shared" si="1"/>
        <v>2</v>
      </c>
      <c r="X101" s="24">
        <f>IFERROR(__xludf.DUMMYFUNCTION("IFERROR(VALUE(REGEXEXTRACT(A101,""\b(\d+)/\d+\b"")),"""")"),1.0)</f>
        <v>1</v>
      </c>
      <c r="Y101" s="24">
        <f>IFERROR(__xludf.DUMMYFUNCTION("IFERROR(VALUE(REGEXEXTRACT(A101,""\b\d+/(\d+)\b"")),"""")
"),1.0)</f>
        <v>1</v>
      </c>
      <c r="Z101" s="24">
        <f t="array" ref="Z101">IFERROR(INDEX(CRV!BU:BU, MATCH(B101, CRV!A:A, 0)), "")</f>
        <v>37</v>
      </c>
      <c r="AA101" s="24">
        <f t="array" ref="AA101">IFERROR(INDEX(CRV!BV:BV, MATCH(B101, CRV!A:A, 0))*X101+4.5*2+7, "")</f>
        <v>83.4</v>
      </c>
      <c r="AB101" s="24" t="str">
        <f t="array" ref="AB101">IFERROR(IF(VALUE(XLOOKUP($B101,CRV!$A:$A,CRV!$BU:$BU))&lt;=5.5,"прямой пуск (DOL)","звезда-треугольник (SD)"),"")</f>
        <v>звезда-треугольник (SD)</v>
      </c>
      <c r="AC101" s="25" t="str">
        <f t="array" ref="AC101">IFERROR(INDEX(CRV!CA:CA, MATCH(B101, CRV!A:A, 0)), "")</f>
        <v>HQQE</v>
      </c>
      <c r="AD101" s="25">
        <f t="array" ref="AD101">IFERROR(AD100-W101*XLOOKUP($B100,CRV!$A:$A,CRV!$BY:$BY)+W101*XLOOKUP($B101,CRV!$A:$A,CRV!$BY:$BY),"ошибка")</f>
        <v>1184</v>
      </c>
      <c r="AE101" s="25" t="s">
        <v>76</v>
      </c>
    </row>
    <row r="102" ht="12.0" customHeight="1">
      <c r="A102" s="30" t="s">
        <v>162</v>
      </c>
      <c r="B102" s="24" t="str">
        <f>IFERROR(__xludf.DUMMYFUNCTION("IFERROR(IF(REGEXMATCH(REGEXEXTRACT(A102,""\bCRV\s*\d+(?:-\d+)+(?:-(?:A?BI|AI|BI))?\b""),""-(?:A?BI|AI|BI)$""),REGEXREPLACE(REGEXEXTRACT(A102,""\bCRV\s*\d+(?:-\d+)+(?:-(?:A?BI|AI|BI))?\b""),""-(A?BI|AI|BI)$"",""C$1""),REGEXEXTRACT(A102,""\bCRV\s*\d+(?:-\d+"&amp;")+(?:-(?:A?BI|AI|BI))?\b"")&amp;""C""),"""")"),"CRV 64-6C")</f>
        <v>CRV 64-6C</v>
      </c>
      <c r="C102" s="28">
        <v>1700.0</v>
      </c>
      <c r="D102" s="28">
        <f t="array" ref="D102">IFERROR(D101-(INDEX(CRV!$BA:$BA,MATCH(B101,CRV!$A:$A,0))+INDEX(CRV!$BB:$BB,MATCH(B101,CRV!$A:$A,0)))+(INDEX(CRV!$BA:$BA,MATCH(B102,CRV!$A:$A,0))+INDEX(CRV!$BB:$BB,MATCH(B102,CRV!$A:$A,0))),"")</f>
        <v>1949</v>
      </c>
      <c r="E102" s="28">
        <v>390.0</v>
      </c>
      <c r="F102" s="28">
        <v>722.0</v>
      </c>
      <c r="G102" s="28">
        <v>657.0</v>
      </c>
      <c r="H102" s="28">
        <v>1943.0</v>
      </c>
      <c r="I102" s="28">
        <v>1379.0</v>
      </c>
      <c r="J102" s="28">
        <v>2121.0</v>
      </c>
      <c r="K102" s="28">
        <v>1684.0</v>
      </c>
      <c r="L102" s="28">
        <v>548.0</v>
      </c>
      <c r="M102" s="28">
        <v>588.0</v>
      </c>
      <c r="N102" s="28">
        <v>1644.0</v>
      </c>
      <c r="O102" s="28">
        <v>150.0</v>
      </c>
      <c r="P102" s="28"/>
      <c r="Q102" s="29" t="s">
        <v>35</v>
      </c>
      <c r="R102" s="28">
        <v>1000.0</v>
      </c>
      <c r="S102" s="28">
        <v>800.0</v>
      </c>
      <c r="T102" s="28">
        <v>821.0</v>
      </c>
      <c r="U102" s="28">
        <v>650.0</v>
      </c>
      <c r="V102" s="24" t="str">
        <f>IFERROR(__xludf.DUMMYFUNCTION("IFERROR(REGEXEXTRACT(A102,""G2-B-(\d+)""),"""")"),"200")</f>
        <v>200</v>
      </c>
      <c r="W102" s="24">
        <f t="shared" si="1"/>
        <v>2</v>
      </c>
      <c r="X102" s="24">
        <f>IFERROR(__xludf.DUMMYFUNCTION("IFERROR(VALUE(REGEXEXTRACT(A102,""\b(\d+)/\d+\b"")),"""")"),1.0)</f>
        <v>1</v>
      </c>
      <c r="Y102" s="24">
        <f>IFERROR(__xludf.DUMMYFUNCTION("IFERROR(VALUE(REGEXEXTRACT(A102,""\b\d+/(\d+)\b"")),"""")
"),1.0)</f>
        <v>1</v>
      </c>
      <c r="Z102" s="24">
        <f t="array" ref="Z102">IFERROR(INDEX(CRV!BU:BU, MATCH(B102, CRV!A:A, 0)), "")</f>
        <v>37</v>
      </c>
      <c r="AA102" s="24">
        <f t="array" ref="AA102">IFERROR(INDEX(CRV!BV:BV, MATCH(B102, CRV!A:A, 0))*X102+4.5*2+7, "")</f>
        <v>83.4</v>
      </c>
      <c r="AB102" s="24" t="str">
        <f t="array" ref="AB102">IFERROR(IF(VALUE(XLOOKUP($B102,CRV!$A:$A,CRV!$BU:$BU))&lt;=5.5,"прямой пуск (DOL)","звезда-треугольник (SD)"),"")</f>
        <v>звезда-треугольник (SD)</v>
      </c>
      <c r="AC102" s="25" t="str">
        <f t="array" ref="AC102">IFERROR(INDEX(CRV!CA:CA, MATCH(B102, CRV!A:A, 0)), "")</f>
        <v>HQQE</v>
      </c>
      <c r="AD102" s="25">
        <f t="array" ref="AD102">IFERROR(AD101-W102*XLOOKUP($B101,CRV!$A:$A,CRV!$BY:$BY)+W102*XLOOKUP($B102,CRV!$A:$A,CRV!$BY:$BY),"ошибка")</f>
        <v>1184</v>
      </c>
      <c r="AE102" s="25" t="s">
        <v>76</v>
      </c>
    </row>
    <row r="103" ht="12.0" customHeight="1">
      <c r="A103" s="30" t="s">
        <v>163</v>
      </c>
      <c r="B103" s="24" t="str">
        <f>IFERROR(__xludf.DUMMYFUNCTION("IFERROR(IF(REGEXMATCH(REGEXEXTRACT(A103,""\bCRV\s*\d+(?:-\d+)+(?:-(?:A?BI|AI|BI))?\b""),""-(?:A?BI|AI|BI)$""),REGEXREPLACE(REGEXEXTRACT(A103,""\bCRV\s*\d+(?:-\d+)+(?:-(?:A?BI|AI|BI))?\b""),""-(A?BI|AI|BI)$"",""C$1""),REGEXEXTRACT(A103,""\bCRV\s*\d+(?:-\d+"&amp;")+(?:-(?:A?BI|AI|BI))?\b"")&amp;""C""),"""")"),"CRV 64-7-2C")</f>
        <v>CRV 64-7-2C</v>
      </c>
      <c r="C103" s="28">
        <v>1700.0</v>
      </c>
      <c r="D103" s="28">
        <f t="array" ref="D103">IFERROR(D102-(INDEX(CRV!$BA:$BA,MATCH(B102,CRV!$A:$A,0))+INDEX(CRV!$BB:$BB,MATCH(B102,CRV!$A:$A,0)))+(INDEX(CRV!$BA:$BA,MATCH(B103,CRV!$A:$A,0))+INDEX(CRV!$BB:$BB,MATCH(B103,CRV!$A:$A,0))),"")</f>
        <v>2029</v>
      </c>
      <c r="E103" s="28">
        <v>390.0</v>
      </c>
      <c r="F103" s="28">
        <v>722.0</v>
      </c>
      <c r="G103" s="28">
        <v>657.0</v>
      </c>
      <c r="H103" s="28">
        <v>1943.0</v>
      </c>
      <c r="I103" s="28">
        <v>1379.0</v>
      </c>
      <c r="J103" s="28">
        <v>2121.0</v>
      </c>
      <c r="K103" s="28">
        <v>1684.0</v>
      </c>
      <c r="L103" s="28">
        <v>548.0</v>
      </c>
      <c r="M103" s="28">
        <v>588.0</v>
      </c>
      <c r="N103" s="28">
        <v>1644.0</v>
      </c>
      <c r="O103" s="28">
        <v>150.0</v>
      </c>
      <c r="P103" s="28"/>
      <c r="Q103" s="29" t="s">
        <v>35</v>
      </c>
      <c r="R103" s="28">
        <v>1000.0</v>
      </c>
      <c r="S103" s="28">
        <v>800.0</v>
      </c>
      <c r="T103" s="28">
        <v>821.0</v>
      </c>
      <c r="U103" s="28">
        <v>650.0</v>
      </c>
      <c r="V103" s="24" t="str">
        <f>IFERROR(__xludf.DUMMYFUNCTION("IFERROR(REGEXEXTRACT(A103,""G2-B-(\d+)""),"""")"),"200")</f>
        <v>200</v>
      </c>
      <c r="W103" s="24">
        <f t="shared" si="1"/>
        <v>2</v>
      </c>
      <c r="X103" s="24">
        <f>IFERROR(__xludf.DUMMYFUNCTION("IFERROR(VALUE(REGEXEXTRACT(A103,""\b(\d+)/\d+\b"")),"""")"),1.0)</f>
        <v>1</v>
      </c>
      <c r="Y103" s="24">
        <f>IFERROR(__xludf.DUMMYFUNCTION("IFERROR(VALUE(REGEXEXTRACT(A103,""\b\d+/(\d+)\b"")),"""")
"),1.0)</f>
        <v>1</v>
      </c>
      <c r="Z103" s="24">
        <f t="array" ref="Z103">IFERROR(INDEX(CRV!BU:BU, MATCH(B103, CRV!A:A, 0)), "")</f>
        <v>37</v>
      </c>
      <c r="AA103" s="24">
        <f t="array" ref="AA103">IFERROR(INDEX(CRV!BV:BV, MATCH(B103, CRV!A:A, 0))*X103+4.5*2+7, "")</f>
        <v>83.4</v>
      </c>
      <c r="AB103" s="24" t="str">
        <f t="array" ref="AB103">IFERROR(IF(VALUE(XLOOKUP($B103,CRV!$A:$A,CRV!$BU:$BU))&lt;=5.5,"прямой пуск (DOL)","звезда-треугольник (SD)"),"")</f>
        <v>звезда-треугольник (SD)</v>
      </c>
      <c r="AC103" s="25" t="str">
        <f t="array" ref="AC103">IFERROR(INDEX(CRV!CA:CA, MATCH(B103, CRV!A:A, 0)), "")</f>
        <v>HQQE</v>
      </c>
      <c r="AD103" s="25">
        <f t="array" ref="AD103">IFERROR(AD102-W103*XLOOKUP($B102,CRV!$A:$A,CRV!$BY:$BY)+W103*XLOOKUP($B103,CRV!$A:$A,CRV!$BY:$BY),"ошибка")</f>
        <v>1194</v>
      </c>
      <c r="AE103" s="25" t="s">
        <v>76</v>
      </c>
    </row>
    <row r="104" ht="12.0" customHeight="1">
      <c r="A104" s="30" t="s">
        <v>164</v>
      </c>
      <c r="B104" s="24" t="str">
        <f>IFERROR(__xludf.DUMMYFUNCTION("IFERROR(IF(REGEXMATCH(REGEXEXTRACT(A104,""\bCRV\s*\d+(?:-\d+)+(?:-(?:A?BI|AI|BI))?\b""),""-(?:A?BI|AI|BI)$""),REGEXREPLACE(REGEXEXTRACT(A104,""\bCRV\s*\d+(?:-\d+)+(?:-(?:A?BI|AI|BI))?\b""),""-(A?BI|AI|BI)$"",""C$1""),REGEXEXTRACT(A104,""\bCRV\s*\d+(?:-\d+"&amp;")+(?:-(?:A?BI|AI|BI))?\b"")&amp;""C""),"""")"),"CRV 64-7-1C")</f>
        <v>CRV 64-7-1C</v>
      </c>
      <c r="C104" s="28">
        <v>1700.0</v>
      </c>
      <c r="D104" s="28">
        <f t="array" ref="D104">IFERROR(D103-(INDEX(CRV!$BA:$BA,MATCH(B103,CRV!$A:$A,0))+INDEX(CRV!$BB:$BB,MATCH(B103,CRV!$A:$A,0)))+(INDEX(CRV!$BA:$BA,MATCH(B104,CRV!$A:$A,0))+INDEX(CRV!$BB:$BB,MATCH(B104,CRV!$A:$A,0))),"")</f>
        <v>2029</v>
      </c>
      <c r="E104" s="28">
        <v>390.0</v>
      </c>
      <c r="F104" s="28">
        <v>722.0</v>
      </c>
      <c r="G104" s="28">
        <v>657.0</v>
      </c>
      <c r="H104" s="28">
        <v>1943.0</v>
      </c>
      <c r="I104" s="28">
        <v>1379.0</v>
      </c>
      <c r="J104" s="28">
        <v>2121.0</v>
      </c>
      <c r="K104" s="28">
        <v>1684.0</v>
      </c>
      <c r="L104" s="28">
        <v>548.0</v>
      </c>
      <c r="M104" s="28">
        <v>588.0</v>
      </c>
      <c r="N104" s="28">
        <v>1644.0</v>
      </c>
      <c r="O104" s="28">
        <v>150.0</v>
      </c>
      <c r="P104" s="28"/>
      <c r="Q104" s="29" t="s">
        <v>35</v>
      </c>
      <c r="R104" s="28">
        <v>1000.0</v>
      </c>
      <c r="S104" s="28">
        <v>800.0</v>
      </c>
      <c r="T104" s="28">
        <v>821.0</v>
      </c>
      <c r="U104" s="28">
        <v>650.0</v>
      </c>
      <c r="V104" s="24" t="str">
        <f>IFERROR(__xludf.DUMMYFUNCTION("IFERROR(REGEXEXTRACT(A104,""G2-B-(\d+)""),"""")"),"200")</f>
        <v>200</v>
      </c>
      <c r="W104" s="24">
        <f t="shared" si="1"/>
        <v>2</v>
      </c>
      <c r="X104" s="24">
        <f>IFERROR(__xludf.DUMMYFUNCTION("IFERROR(VALUE(REGEXEXTRACT(A104,""\b(\d+)/\d+\b"")),"""")"),1.0)</f>
        <v>1</v>
      </c>
      <c r="Y104" s="24">
        <f>IFERROR(__xludf.DUMMYFUNCTION("IFERROR(VALUE(REGEXEXTRACT(A104,""\b\d+/(\d+)\b"")),"""")
"),1.0)</f>
        <v>1</v>
      </c>
      <c r="Z104" s="24">
        <f t="array" ref="Z104">IFERROR(INDEX(CRV!BU:BU, MATCH(B104, CRV!A:A, 0)), "")</f>
        <v>37</v>
      </c>
      <c r="AA104" s="24">
        <f t="array" ref="AA104">IFERROR(INDEX(CRV!BV:BV, MATCH(B104, CRV!A:A, 0))*X104+4.5*2+7, "")</f>
        <v>83.4</v>
      </c>
      <c r="AB104" s="24" t="str">
        <f t="array" ref="AB104">IFERROR(IF(VALUE(XLOOKUP($B104,CRV!$A:$A,CRV!$BU:$BU))&lt;=5.5,"прямой пуск (DOL)","звезда-треугольник (SD)"),"")</f>
        <v>звезда-треугольник (SD)</v>
      </c>
      <c r="AC104" s="25" t="str">
        <f t="array" ref="AC104">IFERROR(INDEX(CRV!CA:CA, MATCH(B104, CRV!A:A, 0)), "")</f>
        <v>HQQE</v>
      </c>
      <c r="AD104" s="25">
        <f t="array" ref="AD104">IFERROR(AD103-W104*XLOOKUP($B103,CRV!$A:$A,CRV!$BY:$BY)+W104*XLOOKUP($B104,CRV!$A:$A,CRV!$BY:$BY),"ошибка")</f>
        <v>1194</v>
      </c>
      <c r="AE104" s="25" t="s">
        <v>76</v>
      </c>
    </row>
    <row r="105" ht="12.0" customHeight="1">
      <c r="A105" s="30" t="s">
        <v>165</v>
      </c>
      <c r="B105" s="24" t="str">
        <f>IFERROR(__xludf.DUMMYFUNCTION("IFERROR(IF(REGEXMATCH(REGEXEXTRACT(A105,""\bCRV\s*\d+(?:-\d+)+(?:-(?:A?BI|AI|BI))?\b""),""-(?:A?BI|AI|BI)$""),REGEXREPLACE(REGEXEXTRACT(A105,""\bCRV\s*\d+(?:-\d+)+(?:-(?:A?BI|AI|BI))?\b""),""-(A?BI|AI|BI)$"",""C$1""),REGEXEXTRACT(A105,""\bCRV\s*\d+(?:-\d+"&amp;")+(?:-(?:A?BI|AI|BI))?\b"")&amp;""C""),"""")"),"CRV 64-7C")</f>
        <v>CRV 64-7C</v>
      </c>
      <c r="C105" s="28">
        <v>1700.0</v>
      </c>
      <c r="D105" s="28">
        <f t="array" ref="D105">IFERROR(D104-(INDEX(CRV!$BA:$BA,MATCH(B104,CRV!$A:$A,0))+INDEX(CRV!$BB:$BB,MATCH(B104,CRV!$A:$A,0)))+(INDEX(CRV!$BA:$BA,MATCH(B105,CRV!$A:$A,0))+INDEX(CRV!$BB:$BB,MATCH(B105,CRV!$A:$A,0))),"")</f>
        <v>2076</v>
      </c>
      <c r="E105" s="28">
        <v>390.0</v>
      </c>
      <c r="F105" s="28">
        <v>722.0</v>
      </c>
      <c r="G105" s="28">
        <v>657.0</v>
      </c>
      <c r="H105" s="28">
        <v>1943.0</v>
      </c>
      <c r="I105" s="28">
        <v>1379.0</v>
      </c>
      <c r="J105" s="28">
        <v>2121.0</v>
      </c>
      <c r="K105" s="28">
        <v>1684.0</v>
      </c>
      <c r="L105" s="28">
        <v>548.0</v>
      </c>
      <c r="M105" s="28">
        <v>588.0</v>
      </c>
      <c r="N105" s="28">
        <v>1644.0</v>
      </c>
      <c r="O105" s="28">
        <v>150.0</v>
      </c>
      <c r="P105" s="28"/>
      <c r="Q105" s="29" t="s">
        <v>35</v>
      </c>
      <c r="R105" s="28">
        <v>1000.0</v>
      </c>
      <c r="S105" s="28">
        <v>800.0</v>
      </c>
      <c r="T105" s="28">
        <v>821.0</v>
      </c>
      <c r="U105" s="28">
        <v>650.0</v>
      </c>
      <c r="V105" s="24" t="str">
        <f>IFERROR(__xludf.DUMMYFUNCTION("IFERROR(REGEXEXTRACT(A105,""G2-B-(\d+)""),"""")"),"200")</f>
        <v>200</v>
      </c>
      <c r="W105" s="24">
        <f t="shared" si="1"/>
        <v>2</v>
      </c>
      <c r="X105" s="24">
        <f>IFERROR(__xludf.DUMMYFUNCTION("IFERROR(VALUE(REGEXEXTRACT(A105,""\b(\d+)/\d+\b"")),"""")"),1.0)</f>
        <v>1</v>
      </c>
      <c r="Y105" s="24">
        <f>IFERROR(__xludf.DUMMYFUNCTION("IFERROR(VALUE(REGEXEXTRACT(A105,""\b\d+/(\d+)\b"")),"""")
"),1.0)</f>
        <v>1</v>
      </c>
      <c r="Z105" s="24">
        <f t="array" ref="Z105">IFERROR(INDEX(CRV!BU:BU, MATCH(B105, CRV!A:A, 0)), "")</f>
        <v>45</v>
      </c>
      <c r="AA105" s="24">
        <f t="array" ref="AA105">IFERROR(INDEX(CRV!BV:BV, MATCH(B105, CRV!A:A, 0))*X105+4.5*2+7, "")</f>
        <v>96.8</v>
      </c>
      <c r="AB105" s="24" t="str">
        <f t="array" ref="AB105">IFERROR(IF(VALUE(XLOOKUP($B105,CRV!$A:$A,CRV!$BU:$BU))&lt;=5.5,"прямой пуск (DOL)","звезда-треугольник (SD)"),"")</f>
        <v>звезда-треугольник (SD)</v>
      </c>
      <c r="AC105" s="25" t="str">
        <f t="array" ref="AC105">IFERROR(INDEX(CRV!CA:CA, MATCH(B105, CRV!A:A, 0)), "")</f>
        <v>HQQE</v>
      </c>
      <c r="AD105" s="25">
        <f t="array" ref="AD105">IFERROR(AD104-W105*XLOOKUP($B104,CRV!$A:$A,CRV!$BY:$BY)+W105*XLOOKUP($B105,CRV!$A:$A,CRV!$BY:$BY),"ошибка")</f>
        <v>1316</v>
      </c>
      <c r="AE105" s="25" t="s">
        <v>76</v>
      </c>
    </row>
    <row r="106" ht="12.0" customHeight="1">
      <c r="A106" s="30" t="s">
        <v>166</v>
      </c>
      <c r="B106" s="24" t="str">
        <f>IFERROR(__xludf.DUMMYFUNCTION("IFERROR(IF(REGEXMATCH(REGEXEXTRACT(A106,""\bCRV\s*\d+(?:-\d+)+(?:-(?:A?BI|AI|BI))?\b""),""-(?:A?BI|AI|BI)$""),REGEXREPLACE(REGEXEXTRACT(A106,""\bCRV\s*\d+(?:-\d+)+(?:-(?:A?BI|AI|BI))?\b""),""-(A?BI|AI|BI)$"",""C$1""),REGEXEXTRACT(A106,""\bCRV\s*\d+(?:-\d+"&amp;")+(?:-(?:A?BI|AI|BI))?\b"")&amp;""C""),"""")"),"CRV 64-8-2C")</f>
        <v>CRV 64-8-2C</v>
      </c>
      <c r="C106" s="28">
        <v>1700.0</v>
      </c>
      <c r="D106" s="28">
        <f t="array" ref="D106">IFERROR(D105-(INDEX(CRV!$BA:$BA,MATCH(B105,CRV!$A:$A,0))+INDEX(CRV!$BB:$BB,MATCH(B105,CRV!$A:$A,0)))+(INDEX(CRV!$BA:$BA,MATCH(B106,CRV!$A:$A,0))+INDEX(CRV!$BB:$BB,MATCH(B106,CRV!$A:$A,0))),"")</f>
        <v>2156</v>
      </c>
      <c r="E106" s="28">
        <v>390.0</v>
      </c>
      <c r="F106" s="28">
        <v>722.0</v>
      </c>
      <c r="G106" s="28">
        <v>657.0</v>
      </c>
      <c r="H106" s="28">
        <v>1943.0</v>
      </c>
      <c r="I106" s="28">
        <v>1379.0</v>
      </c>
      <c r="J106" s="28">
        <v>2121.0</v>
      </c>
      <c r="K106" s="28">
        <v>1684.0</v>
      </c>
      <c r="L106" s="28">
        <v>548.0</v>
      </c>
      <c r="M106" s="28">
        <v>588.0</v>
      </c>
      <c r="N106" s="28">
        <v>1644.0</v>
      </c>
      <c r="O106" s="28">
        <v>150.0</v>
      </c>
      <c r="P106" s="28"/>
      <c r="Q106" s="29" t="s">
        <v>35</v>
      </c>
      <c r="R106" s="28">
        <v>1000.0</v>
      </c>
      <c r="S106" s="28">
        <v>800.0</v>
      </c>
      <c r="T106" s="28">
        <v>821.0</v>
      </c>
      <c r="U106" s="28">
        <v>650.0</v>
      </c>
      <c r="V106" s="24" t="str">
        <f>IFERROR(__xludf.DUMMYFUNCTION("IFERROR(REGEXEXTRACT(A106,""G2-B-(\d+)""),"""")"),"200")</f>
        <v>200</v>
      </c>
      <c r="W106" s="24">
        <f t="shared" si="1"/>
        <v>2</v>
      </c>
      <c r="X106" s="24">
        <f>IFERROR(__xludf.DUMMYFUNCTION("IFERROR(VALUE(REGEXEXTRACT(A106,""\b(\d+)/\d+\b"")),"""")"),1.0)</f>
        <v>1</v>
      </c>
      <c r="Y106" s="24">
        <f>IFERROR(__xludf.DUMMYFUNCTION("IFERROR(VALUE(REGEXEXTRACT(A106,""\b\d+/(\d+)\b"")),"""")
"),1.0)</f>
        <v>1</v>
      </c>
      <c r="Z106" s="24">
        <f t="array" ref="Z106">IFERROR(INDEX(CRV!BU:BU, MATCH(B106, CRV!A:A, 0)), "")</f>
        <v>45</v>
      </c>
      <c r="AA106" s="24">
        <f t="array" ref="AA106">IFERROR(INDEX(CRV!BV:BV, MATCH(B106, CRV!A:A, 0))*X106+4.5*2+7, "")</f>
        <v>96.8</v>
      </c>
      <c r="AB106" s="24" t="str">
        <f t="array" ref="AB106">IFERROR(IF(VALUE(XLOOKUP($B106,CRV!$A:$A,CRV!$BU:$BU))&lt;=5.5,"прямой пуск (DOL)","звезда-треугольник (SD)"),"")</f>
        <v>звезда-треугольник (SD)</v>
      </c>
      <c r="AC106" s="25" t="str">
        <f t="array" ref="AC106">IFERROR(INDEX(CRV!CA:CA, MATCH(B106, CRV!A:A, 0)), "")</f>
        <v>HQQE</v>
      </c>
      <c r="AD106" s="25">
        <f t="array" ref="AD106">IFERROR(AD105-W106*XLOOKUP($B105,CRV!$A:$A,CRV!$BY:$BY)+W106*XLOOKUP($B106,CRV!$A:$A,CRV!$BY:$BY),"ошибка")</f>
        <v>1328</v>
      </c>
      <c r="AE106" s="25" t="s">
        <v>76</v>
      </c>
    </row>
    <row r="107" ht="12.0" customHeight="1">
      <c r="A107" s="30" t="s">
        <v>167</v>
      </c>
      <c r="B107" s="24" t="str">
        <f>IFERROR(__xludf.DUMMYFUNCTION("IFERROR(IF(REGEXMATCH(REGEXEXTRACT(A107,""\bCRV\s*\d+(?:-\d+)+(?:-(?:A?BI|AI|BI))?\b""),""-(?:A?BI|AI|BI)$""),REGEXREPLACE(REGEXEXTRACT(A107,""\bCRV\s*\d+(?:-\d+)+(?:-(?:A?BI|AI|BI))?\b""),""-(A?BI|AI|BI)$"",""C$1""),REGEXEXTRACT(A107,""\bCRV\s*\d+(?:-\d+"&amp;")+(?:-(?:A?BI|AI|BI))?\b"")&amp;""C""),"""")"),"CRV 64-8-1C")</f>
        <v>CRV 64-8-1C</v>
      </c>
      <c r="C107" s="28">
        <v>1700.0</v>
      </c>
      <c r="D107" s="28">
        <f t="array" ref="D107">IFERROR(D106-(INDEX(CRV!$BA:$BA,MATCH(B106,CRV!$A:$A,0))+INDEX(CRV!$BB:$BB,MATCH(B106,CRV!$A:$A,0)))+(INDEX(CRV!$BA:$BA,MATCH(B107,CRV!$A:$A,0))+INDEX(CRV!$BB:$BB,MATCH(B107,CRV!$A:$A,0))),"")</f>
        <v>2156</v>
      </c>
      <c r="E107" s="28">
        <v>390.0</v>
      </c>
      <c r="F107" s="28">
        <v>722.0</v>
      </c>
      <c r="G107" s="28">
        <v>657.0</v>
      </c>
      <c r="H107" s="28">
        <v>1943.0</v>
      </c>
      <c r="I107" s="28">
        <v>1379.0</v>
      </c>
      <c r="J107" s="28">
        <v>2121.0</v>
      </c>
      <c r="K107" s="28">
        <v>1684.0</v>
      </c>
      <c r="L107" s="28">
        <v>548.0</v>
      </c>
      <c r="M107" s="28">
        <v>588.0</v>
      </c>
      <c r="N107" s="28">
        <v>1644.0</v>
      </c>
      <c r="O107" s="28">
        <v>150.0</v>
      </c>
      <c r="P107" s="28"/>
      <c r="Q107" s="29" t="s">
        <v>35</v>
      </c>
      <c r="R107" s="28">
        <v>1000.0</v>
      </c>
      <c r="S107" s="28">
        <v>800.0</v>
      </c>
      <c r="T107" s="28">
        <v>821.0</v>
      </c>
      <c r="U107" s="28">
        <v>650.0</v>
      </c>
      <c r="V107" s="24" t="str">
        <f>IFERROR(__xludf.DUMMYFUNCTION("IFERROR(REGEXEXTRACT(A107,""G2-B-(\d+)""),"""")"),"200")</f>
        <v>200</v>
      </c>
      <c r="W107" s="24">
        <f t="shared" si="1"/>
        <v>2</v>
      </c>
      <c r="X107" s="24">
        <f>IFERROR(__xludf.DUMMYFUNCTION("IFERROR(VALUE(REGEXEXTRACT(A107,""\b(\d+)/\d+\b"")),"""")"),1.0)</f>
        <v>1</v>
      </c>
      <c r="Y107" s="24">
        <f>IFERROR(__xludf.DUMMYFUNCTION("IFERROR(VALUE(REGEXEXTRACT(A107,""\b\d+/(\d+)\b"")),"""")
"),1.0)</f>
        <v>1</v>
      </c>
      <c r="Z107" s="24">
        <f t="array" ref="Z107">IFERROR(INDEX(CRV!BU:BU, MATCH(B107, CRV!A:A, 0)), "")</f>
        <v>45</v>
      </c>
      <c r="AA107" s="24">
        <f t="array" ref="AA107">IFERROR(INDEX(CRV!BV:BV, MATCH(B107, CRV!A:A, 0))*X107+4.5*2+7, "")</f>
        <v>96.8</v>
      </c>
      <c r="AB107" s="24" t="str">
        <f t="array" ref="AB107">IFERROR(IF(VALUE(XLOOKUP($B107,CRV!$A:$A,CRV!$BU:$BU))&lt;=5.5,"прямой пуск (DOL)","звезда-треугольник (SD)"),"")</f>
        <v>звезда-треугольник (SD)</v>
      </c>
      <c r="AC107" s="25" t="str">
        <f t="array" ref="AC107">IFERROR(INDEX(CRV!CA:CA, MATCH(B107, CRV!A:A, 0)), "")</f>
        <v>HQQE</v>
      </c>
      <c r="AD107" s="25">
        <f t="array" ref="AD107">IFERROR(AD106-W107*XLOOKUP($B106,CRV!$A:$A,CRV!$BY:$BY)+W107*XLOOKUP($B107,CRV!$A:$A,CRV!$BY:$BY),"ошибка")</f>
        <v>1328</v>
      </c>
      <c r="AE107" s="25" t="s">
        <v>76</v>
      </c>
    </row>
    <row r="108" ht="12.0" customHeight="1">
      <c r="A108" s="28"/>
      <c r="B108" s="24" t="str">
        <f>IFERROR(__xludf.DUMMYFUNCTION("IFERROR(IF(REGEXMATCH(REGEXEXTRACT(A108,""\bCRV\s*\d+(?:-\d+)+(?:-(?:A?BI|AI|BI))?\b""),""-(?:A?BI|AI|BI)$""),REGEXREPLACE(REGEXEXTRACT(A108,""\bCRV\s*\d+(?:-\d+)+(?:-(?:A?BI|AI|BI))?\b""),""-(A?BI|AI|BI)$"",""C$1""),REGEXEXTRACT(A108,""\bCRV\s*\d+(?:-\d+"&amp;")+(?:-(?:A?BI|AI|BI))?\b"")&amp;""C""),"""")"),"")</f>
        <v/>
      </c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4" t="str">
        <f>IFERROR(__xludf.DUMMYFUNCTION("IFERROR(REGEXEXTRACT(A108,""G2-B-(\d+)""),"""")"),"")</f>
        <v/>
      </c>
      <c r="W108" s="24" t="str">
        <f t="shared" si="1"/>
        <v/>
      </c>
      <c r="X108" s="24" t="str">
        <f>IFERROR(__xludf.DUMMYFUNCTION("IFERROR(VALUE(REGEXEXTRACT(A108,""\b(\d+)/\d+\b"")),"""")"),"")</f>
        <v/>
      </c>
      <c r="Y108" s="24" t="str">
        <f>IFERROR(__xludf.DUMMYFUNCTION("IFERROR(VALUE(REGEXEXTRACT(A108,""\b\d+/(\d+)\b"")),"""")
"),"")</f>
        <v/>
      </c>
      <c r="Z108" s="24" t="str">
        <f t="array" ref="Z108">IFERROR(INDEX(CRV!BU:BU, MATCH(B108, CRV!A:A, 0)), "")</f>
        <v/>
      </c>
      <c r="AA108" s="24" t="str">
        <f t="array" ref="AA108">IFERROR(INDEX(CRV!BV:BV, MATCH(B108, CRV!A:A, 0))*X108+4.5*2+7, "")</f>
        <v/>
      </c>
      <c r="AB108" s="24" t="str">
        <f t="array" ref="AB108">IFERROR(IF(VALUE(XLOOKUP($B108,CRV!$A:$A,CRV!$BU:$BU))&lt;=5.5,"прямой пуск (DOL)","звезда-треугольник (SD)"),"")</f>
        <v/>
      </c>
      <c r="AC108" s="25" t="str">
        <f t="array" ref="AC108">IFERROR(INDEX(CRV!CA:CA, MATCH(B108, CRV!A:A, 0)), "")</f>
        <v/>
      </c>
      <c r="AD108" s="28"/>
      <c r="AE108" s="28"/>
    </row>
    <row r="109" ht="12.0" customHeight="1">
      <c r="A109" s="32" t="s">
        <v>168</v>
      </c>
      <c r="B109" s="27" t="str">
        <f>IFERROR(__xludf.DUMMYFUNCTION("IFERROR(IF(REGEXMATCH(REGEXEXTRACT(A109,""\bCRV\s*\d+(?:-\d+)+(?:-(?:A?BI|AI|BI))?\b""),""-(?:A?BI|AI|BI)$""),REGEXREPLACE(REGEXEXTRACT(A109,""\bCRV\s*\d+(?:-\d+)+(?:-(?:A?BI|AI|BI))?\b""),""-(A?BI|AI|BI)$"",""C$1""),REGEXEXTRACT(A109,""\bCRV\s*\d+(?:-\d+"&amp;")+(?:-(?:A?BI|AI|BI))?\b"")&amp;""C""),"""")"),"CRV 90-1-1C")</f>
        <v>CRV 90-1-1C</v>
      </c>
      <c r="C109" s="27">
        <v>1700.0</v>
      </c>
      <c r="D109" s="26">
        <v>1256.0</v>
      </c>
      <c r="E109" s="26">
        <v>378.0</v>
      </c>
      <c r="F109" s="26">
        <v>664.0</v>
      </c>
      <c r="G109" s="26">
        <v>730.0</v>
      </c>
      <c r="H109" s="26">
        <v>1958.0</v>
      </c>
      <c r="I109" s="27">
        <f t="shared" ref="I109:I120" si="2">F109+G109</f>
        <v>1394</v>
      </c>
      <c r="J109" s="26">
        <v>2121.0</v>
      </c>
      <c r="K109" s="26">
        <v>1810.0</v>
      </c>
      <c r="L109" s="27">
        <v>548.0</v>
      </c>
      <c r="M109" s="27">
        <v>588.0</v>
      </c>
      <c r="N109" s="26">
        <v>1750.0</v>
      </c>
      <c r="O109" s="26">
        <v>148.0</v>
      </c>
      <c r="P109" s="26" t="s">
        <v>169</v>
      </c>
      <c r="Q109" s="26" t="s">
        <v>170</v>
      </c>
      <c r="R109" s="27">
        <v>1000.0</v>
      </c>
      <c r="S109" s="27">
        <v>800.0</v>
      </c>
      <c r="T109" s="27">
        <v>821.0</v>
      </c>
      <c r="U109" s="26">
        <v>660.0</v>
      </c>
      <c r="V109" s="24" t="str">
        <f>IFERROR(__xludf.DUMMYFUNCTION("IFERROR(REGEXEXTRACT(A109,""G2-B-(\d+)""),"""")"),"200")</f>
        <v>200</v>
      </c>
      <c r="W109" s="24">
        <f t="shared" si="1"/>
        <v>2</v>
      </c>
      <c r="X109" s="24">
        <f>IFERROR(__xludf.DUMMYFUNCTION("IFERROR(VALUE(REGEXEXTRACT(A109,""\b(\d+)/\d+\b"")),"""")"),1.0)</f>
        <v>1</v>
      </c>
      <c r="Y109" s="27">
        <f>IFERROR(__xludf.DUMMYFUNCTION("IFERROR(VALUE(REGEXEXTRACT(A109,""\b\d+/(\d+)\b"")),"""")
"),1.0)</f>
        <v>1</v>
      </c>
      <c r="Z109" s="24">
        <f t="array" ref="Z109">IFERROR(INDEX(CRV!BU:BU, MATCH(B109, CRV!A:A, 0)), "")</f>
        <v>5.5</v>
      </c>
      <c r="AA109" s="24">
        <f t="array" ref="AA109">IFERROR(INDEX(CRV!BV:BV, MATCH(B109, CRV!A:A, 0))*X109+4.5*2+7, "")</f>
        <v>26.6</v>
      </c>
      <c r="AB109" s="27" t="str">
        <f t="array" ref="AB109">IFERROR(IF(VALUE(XLOOKUP($B109,CRV!$A:$A,CRV!$BU:$BU))&lt;=5.5,"прямой пуск (DOL)","звезда-треугольник (SD)"),"")</f>
        <v>прямой пуск (DOL)</v>
      </c>
      <c r="AC109" s="25" t="str">
        <f t="array" ref="AC109">IFERROR(INDEX(CRV!CA:CA, MATCH(B109, CRV!A:A, 0)), "")</f>
        <v>HQQE</v>
      </c>
      <c r="AD109" s="26">
        <v>645.0</v>
      </c>
      <c r="AE109" s="26" t="s">
        <v>76</v>
      </c>
    </row>
    <row r="110" ht="12.0" customHeight="1">
      <c r="A110" s="30" t="s">
        <v>171</v>
      </c>
      <c r="B110" s="24" t="str">
        <f>IFERROR(__xludf.DUMMYFUNCTION("IFERROR(IF(REGEXMATCH(REGEXEXTRACT(A110,""\bCRV\s*\d+(?:-\d+)+(?:-(?:A?BI|AI|BI))?\b""),""-(?:A?BI|AI|BI)$""),REGEXREPLACE(REGEXEXTRACT(A110,""\bCRV\s*\d+(?:-\d+)+(?:-(?:A?BI|AI|BI))?\b""),""-(A?BI|AI|BI)$"",""C$1""),REGEXEXTRACT(A110,""\bCRV\s*\d+(?:-\d+"&amp;")+(?:-(?:A?BI|AI|BI))?\b"")&amp;""C""),"""")"),"CRV 90-1C")</f>
        <v>CRV 90-1C</v>
      </c>
      <c r="C110" s="28">
        <v>1700.0</v>
      </c>
      <c r="D110" s="28">
        <f t="array" ref="D110">IFERROR(D109-(INDEX(CRV!$BA:$BA,MATCH(B109,CRV!$A:$A,0))+INDEX(CRV!$BB:$BB,MATCH(B109,CRV!$A:$A,0)))+(INDEX(CRV!$BA:$BA,MATCH(B110,CRV!$A:$A,0))+INDEX(CRV!$BB:$BB,MATCH(B110,CRV!$A:$A,0))),"")</f>
        <v>1294</v>
      </c>
      <c r="E110" s="29">
        <v>378.0</v>
      </c>
      <c r="F110" s="29">
        <v>664.0</v>
      </c>
      <c r="G110" s="29">
        <v>730.0</v>
      </c>
      <c r="H110" s="29">
        <v>1958.0</v>
      </c>
      <c r="I110" s="28">
        <f t="shared" si="2"/>
        <v>1394</v>
      </c>
      <c r="J110" s="29">
        <v>2121.0</v>
      </c>
      <c r="K110" s="29">
        <v>1810.0</v>
      </c>
      <c r="L110" s="28">
        <v>548.0</v>
      </c>
      <c r="M110" s="28">
        <v>588.0</v>
      </c>
      <c r="N110" s="29">
        <v>1750.0</v>
      </c>
      <c r="O110" s="29">
        <v>148.0</v>
      </c>
      <c r="P110" s="29" t="s">
        <v>169</v>
      </c>
      <c r="Q110" s="29" t="s">
        <v>170</v>
      </c>
      <c r="R110" s="28">
        <v>1000.0</v>
      </c>
      <c r="S110" s="28">
        <v>800.0</v>
      </c>
      <c r="T110" s="28">
        <v>821.0</v>
      </c>
      <c r="U110" s="29">
        <v>660.0</v>
      </c>
      <c r="V110" s="24" t="str">
        <f>IFERROR(__xludf.DUMMYFUNCTION("IFERROR(REGEXEXTRACT(A110,""G2-B-(\d+)""),"""")"),"200")</f>
        <v>200</v>
      </c>
      <c r="W110" s="24">
        <f t="shared" si="1"/>
        <v>2</v>
      </c>
      <c r="X110" s="24">
        <f>IFERROR(__xludf.DUMMYFUNCTION("IFERROR(VALUE(REGEXEXTRACT(A110,""\b(\d+)/\d+\b"")),"""")"),1.0)</f>
        <v>1</v>
      </c>
      <c r="Y110" s="24">
        <f>IFERROR(__xludf.DUMMYFUNCTION("IFERROR(VALUE(REGEXEXTRACT(A110,""\b\d+/(\d+)\b"")),"""")
"),1.0)</f>
        <v>1</v>
      </c>
      <c r="Z110" s="24">
        <f t="array" ref="Z110">IFERROR(INDEX(CRV!BU:BU, MATCH(B110, CRV!A:A, 0)), "")</f>
        <v>7.5</v>
      </c>
      <c r="AA110" s="24">
        <f t="array" ref="AA110">IFERROR(INDEX(CRV!BV:BV, MATCH(B110, CRV!A:A, 0))*X110+4.5*2+7, "")</f>
        <v>30.4</v>
      </c>
      <c r="AB110" s="24" t="str">
        <f t="array" ref="AB110">IFERROR(IF(VALUE(XLOOKUP($B110,CRV!$A:$A,CRV!$BU:$BU))&lt;=5.5,"прямой пуск (DOL)","звезда-треугольник (SD)"),"")</f>
        <v>звезда-треугольник (SD)</v>
      </c>
      <c r="AC110" s="25" t="str">
        <f t="array" ref="AC110">IFERROR(INDEX(CRV!CA:CA, MATCH(B110, CRV!A:A, 0)), "")</f>
        <v>HQQE</v>
      </c>
      <c r="AD110" s="25">
        <f t="array" ref="AD110">IFERROR(AD109-W110*XLOOKUP($B109,CRV!$A:$A,CRV!$BY:$BY)+W110*XLOOKUP($B110,CRV!$A:$A,CRV!$BY:$BY),"ошибка")</f>
        <v>649</v>
      </c>
      <c r="AE110" s="25" t="s">
        <v>76</v>
      </c>
    </row>
    <row r="111" ht="12.0" customHeight="1">
      <c r="A111" s="30" t="s">
        <v>172</v>
      </c>
      <c r="B111" s="24" t="str">
        <f>IFERROR(__xludf.DUMMYFUNCTION("IFERROR(IF(REGEXMATCH(REGEXEXTRACT(A111,""\bCRV\s*\d+(?:-\d+)+(?:-(?:A?BI|AI|BI))?\b""),""-(?:A?BI|AI|BI)$""),REGEXREPLACE(REGEXEXTRACT(A111,""\bCRV\s*\d+(?:-\d+)+(?:-(?:A?BI|AI|BI))?\b""),""-(A?BI|AI|BI)$"",""C$1""),REGEXEXTRACT(A111,""\bCRV\s*\d+(?:-\d+"&amp;")+(?:-(?:A?BI|AI|BI))?\b"")&amp;""C""),"""")"),"CRV 90-2-2C")</f>
        <v>CRV 90-2-2C</v>
      </c>
      <c r="C111" s="28">
        <v>1700.0</v>
      </c>
      <c r="D111" s="28">
        <f t="array" ref="D111">IFERROR(D110-(INDEX(CRV!$BA:$BA,MATCH(B110,CRV!$A:$A,0))+INDEX(CRV!$BB:$BB,MATCH(B110,CRV!$A:$A,0)))+(INDEX(CRV!$BA:$BA,MATCH(B111,CRV!$A:$A,0))+INDEX(CRV!$BB:$BB,MATCH(B111,CRV!$A:$A,0))),"")</f>
        <v>1447</v>
      </c>
      <c r="E111" s="29">
        <v>378.0</v>
      </c>
      <c r="F111" s="29">
        <v>664.0</v>
      </c>
      <c r="G111" s="29">
        <v>730.0</v>
      </c>
      <c r="H111" s="29">
        <v>1958.0</v>
      </c>
      <c r="I111" s="28">
        <f t="shared" si="2"/>
        <v>1394</v>
      </c>
      <c r="J111" s="29">
        <v>2121.0</v>
      </c>
      <c r="K111" s="29">
        <v>1810.0</v>
      </c>
      <c r="L111" s="28">
        <v>548.0</v>
      </c>
      <c r="M111" s="28">
        <v>588.0</v>
      </c>
      <c r="N111" s="29">
        <v>1750.0</v>
      </c>
      <c r="O111" s="29">
        <v>148.0</v>
      </c>
      <c r="P111" s="29" t="s">
        <v>169</v>
      </c>
      <c r="Q111" s="29" t="s">
        <v>170</v>
      </c>
      <c r="R111" s="28">
        <v>1000.0</v>
      </c>
      <c r="S111" s="28">
        <v>800.0</v>
      </c>
      <c r="T111" s="28">
        <v>821.0</v>
      </c>
      <c r="U111" s="29">
        <v>660.0</v>
      </c>
      <c r="V111" s="24" t="str">
        <f>IFERROR(__xludf.DUMMYFUNCTION("IFERROR(REGEXEXTRACT(A111,""G2-B-(\d+)""),"""")"),"200")</f>
        <v>200</v>
      </c>
      <c r="W111" s="24">
        <f t="shared" si="1"/>
        <v>2</v>
      </c>
      <c r="X111" s="24">
        <f>IFERROR(__xludf.DUMMYFUNCTION("IFERROR(VALUE(REGEXEXTRACT(A111,""\b(\d+)/\d+\b"")),"""")"),1.0)</f>
        <v>1</v>
      </c>
      <c r="Y111" s="24">
        <f>IFERROR(__xludf.DUMMYFUNCTION("IFERROR(VALUE(REGEXEXTRACT(A111,""\b\d+/(\d+)\b"")),"""")
"),1.0)</f>
        <v>1</v>
      </c>
      <c r="Z111" s="24">
        <f t="array" ref="Z111">IFERROR(INDEX(CRV!BU:BU, MATCH(B111, CRV!A:A, 0)), "")</f>
        <v>11</v>
      </c>
      <c r="AA111" s="24">
        <f t="array" ref="AA111">IFERROR(INDEX(CRV!BV:BV, MATCH(B111, CRV!A:A, 0))*X111+4.5*2+7, "")</f>
        <v>36.6</v>
      </c>
      <c r="AB111" s="24" t="str">
        <f t="array" ref="AB111">IFERROR(IF(VALUE(XLOOKUP($B111,CRV!$A:$A,CRV!$BU:$BU))&lt;=5.5,"прямой пуск (DOL)","звезда-треугольник (SD)"),"")</f>
        <v>звезда-треугольник (SD)</v>
      </c>
      <c r="AC111" s="25" t="str">
        <f t="array" ref="AC111">IFERROR(INDEX(CRV!CA:CA, MATCH(B111, CRV!A:A, 0)), "")</f>
        <v>HQQE</v>
      </c>
      <c r="AD111" s="25">
        <f t="array" ref="AD111">IFERROR(AD110-W111*XLOOKUP($B110,CRV!$A:$A,CRV!$BY:$BY)+W111*XLOOKUP($B111,CRV!$A:$A,CRV!$BY:$BY),"ошибка")</f>
        <v>735</v>
      </c>
      <c r="AE111" s="25" t="s">
        <v>76</v>
      </c>
    </row>
    <row r="112" ht="12.0" customHeight="1">
      <c r="A112" s="30" t="s">
        <v>173</v>
      </c>
      <c r="B112" s="24" t="str">
        <f>IFERROR(__xludf.DUMMYFUNCTION("IFERROR(IF(REGEXMATCH(REGEXEXTRACT(A112,""\bCRV\s*\d+(?:-\d+)+(?:-(?:A?BI|AI|BI))?\b""),""-(?:A?BI|AI|BI)$""),REGEXREPLACE(REGEXEXTRACT(A112,""\bCRV\s*\d+(?:-\d+)+(?:-(?:A?BI|AI|BI))?\b""),""-(A?BI|AI|BI)$"",""C$1""),REGEXEXTRACT(A112,""\bCRV\s*\d+(?:-\d+"&amp;")+(?:-(?:A?BI|AI|BI))?\b"")&amp;""C""),"""")"),"CRV 90-2C")</f>
        <v>CRV 90-2C</v>
      </c>
      <c r="C112" s="28">
        <v>1700.0</v>
      </c>
      <c r="D112" s="28">
        <f t="array" ref="D112">IFERROR(D111-(INDEX(CRV!$BA:$BA,MATCH(B111,CRV!$A:$A,0))+INDEX(CRV!$BB:$BB,MATCH(B111,CRV!$A:$A,0)))+(INDEX(CRV!$BA:$BA,MATCH(B112,CRV!$A:$A,0))+INDEX(CRV!$BB:$BB,MATCH(B112,CRV!$A:$A,0))),"")</f>
        <v>1488</v>
      </c>
      <c r="E112" s="29">
        <v>378.0</v>
      </c>
      <c r="F112" s="29">
        <v>664.0</v>
      </c>
      <c r="G112" s="29">
        <v>730.0</v>
      </c>
      <c r="H112" s="29">
        <v>1958.0</v>
      </c>
      <c r="I112" s="28">
        <f t="shared" si="2"/>
        <v>1394</v>
      </c>
      <c r="J112" s="29">
        <v>2121.0</v>
      </c>
      <c r="K112" s="29">
        <v>1810.0</v>
      </c>
      <c r="L112" s="28">
        <v>548.0</v>
      </c>
      <c r="M112" s="28">
        <v>588.0</v>
      </c>
      <c r="N112" s="29">
        <v>1750.0</v>
      </c>
      <c r="O112" s="29">
        <v>148.0</v>
      </c>
      <c r="P112" s="29" t="s">
        <v>169</v>
      </c>
      <c r="Q112" s="29" t="s">
        <v>170</v>
      </c>
      <c r="R112" s="28">
        <v>1000.0</v>
      </c>
      <c r="S112" s="28">
        <v>800.0</v>
      </c>
      <c r="T112" s="28">
        <v>821.0</v>
      </c>
      <c r="U112" s="29">
        <v>660.0</v>
      </c>
      <c r="V112" s="24" t="str">
        <f>IFERROR(__xludf.DUMMYFUNCTION("IFERROR(REGEXEXTRACT(A112,""G2-B-(\d+)""),"""")"),"200")</f>
        <v>200</v>
      </c>
      <c r="W112" s="24">
        <f t="shared" si="1"/>
        <v>2</v>
      </c>
      <c r="X112" s="24">
        <f>IFERROR(__xludf.DUMMYFUNCTION("IFERROR(VALUE(REGEXEXTRACT(A112,""\b(\d+)/\d+\b"")),"""")"),1.0)</f>
        <v>1</v>
      </c>
      <c r="Y112" s="24">
        <f>IFERROR(__xludf.DUMMYFUNCTION("IFERROR(VALUE(REGEXEXTRACT(A112,""\b\d+/(\d+)\b"")),"""")
"),1.0)</f>
        <v>1</v>
      </c>
      <c r="Z112" s="24">
        <f t="array" ref="Z112">IFERROR(INDEX(CRV!BU:BU, MATCH(B112, CRV!A:A, 0)), "")</f>
        <v>15</v>
      </c>
      <c r="AA112" s="24">
        <f t="array" ref="AA112">IFERROR(INDEX(CRV!BV:BV, MATCH(B112, CRV!A:A, 0))*X112+4.5*2+7, "")</f>
        <v>43.9</v>
      </c>
      <c r="AB112" s="24" t="str">
        <f t="array" ref="AB112">IFERROR(IF(VALUE(XLOOKUP($B112,CRV!$A:$A,CRV!$BU:$BU))&lt;=5.5,"прямой пуск (DOL)","звезда-треугольник (SD)"),"")</f>
        <v>звезда-треугольник (SD)</v>
      </c>
      <c r="AC112" s="25" t="str">
        <f t="array" ref="AC112">IFERROR(INDEX(CRV!CA:CA, MATCH(B112, CRV!A:A, 0)), "")</f>
        <v>HQQE</v>
      </c>
      <c r="AD112" s="25">
        <f t="array" ref="AD112">IFERROR(AD111-W112*XLOOKUP($B111,CRV!$A:$A,CRV!$BY:$BY)+W112*XLOOKUP($B112,CRV!$A:$A,CRV!$BY:$BY),"ошибка")</f>
        <v>801</v>
      </c>
      <c r="AE112" s="25" t="s">
        <v>76</v>
      </c>
    </row>
    <row r="113" ht="12.0" customHeight="1">
      <c r="A113" s="30" t="s">
        <v>174</v>
      </c>
      <c r="B113" s="24" t="str">
        <f>IFERROR(__xludf.DUMMYFUNCTION("IFERROR(IF(REGEXMATCH(REGEXEXTRACT(A113,""\bCRV\s*\d+(?:-\d+)+(?:-(?:A?BI|AI|BI))?\b""),""-(?:A?BI|AI|BI)$""),REGEXREPLACE(REGEXEXTRACT(A113,""\bCRV\s*\d+(?:-\d+)+(?:-(?:A?BI|AI|BI))?\b""),""-(A?BI|AI|BI)$"",""C$1""),REGEXEXTRACT(A113,""\bCRV\s*\d+(?:-\d+"&amp;")+(?:-(?:A?BI|AI|BI))?\b"")&amp;""C""),"""")"),"CRV 90-3-2C")</f>
        <v>CRV 90-3-2C</v>
      </c>
      <c r="C113" s="28">
        <v>1700.0</v>
      </c>
      <c r="D113" s="28">
        <f t="array" ref="D113">IFERROR(D112-(INDEX(CRV!$BA:$BA,MATCH(B112,CRV!$A:$A,0))+INDEX(CRV!$BB:$BB,MATCH(B112,CRV!$A:$A,0)))+(INDEX(CRV!$BA:$BA,MATCH(B113,CRV!$A:$A,0))+INDEX(CRV!$BB:$BB,MATCH(B113,CRV!$A:$A,0))),"")</f>
        <v>1633</v>
      </c>
      <c r="E113" s="29">
        <v>378.0</v>
      </c>
      <c r="F113" s="29">
        <v>664.0</v>
      </c>
      <c r="G113" s="29">
        <v>730.0</v>
      </c>
      <c r="H113" s="29">
        <v>1958.0</v>
      </c>
      <c r="I113" s="28">
        <f t="shared" si="2"/>
        <v>1394</v>
      </c>
      <c r="J113" s="29">
        <v>2121.0</v>
      </c>
      <c r="K113" s="29">
        <v>1810.0</v>
      </c>
      <c r="L113" s="28">
        <v>548.0</v>
      </c>
      <c r="M113" s="28">
        <v>588.0</v>
      </c>
      <c r="N113" s="29">
        <v>1750.0</v>
      </c>
      <c r="O113" s="29">
        <v>148.0</v>
      </c>
      <c r="P113" s="29" t="s">
        <v>169</v>
      </c>
      <c r="Q113" s="29" t="s">
        <v>170</v>
      </c>
      <c r="R113" s="28">
        <v>1000.0</v>
      </c>
      <c r="S113" s="28">
        <v>800.0</v>
      </c>
      <c r="T113" s="28">
        <v>821.0</v>
      </c>
      <c r="U113" s="29">
        <v>660.0</v>
      </c>
      <c r="V113" s="24" t="str">
        <f>IFERROR(__xludf.DUMMYFUNCTION("IFERROR(REGEXEXTRACT(A113,""G2-B-(\d+)""),"""")"),"200")</f>
        <v>200</v>
      </c>
      <c r="W113" s="24">
        <f t="shared" si="1"/>
        <v>2</v>
      </c>
      <c r="X113" s="24">
        <f>IFERROR(__xludf.DUMMYFUNCTION("IFERROR(VALUE(REGEXEXTRACT(A113,""\b(\d+)/\d+\b"")),"""")"),1.0)</f>
        <v>1</v>
      </c>
      <c r="Y113" s="24">
        <f>IFERROR(__xludf.DUMMYFUNCTION("IFERROR(VALUE(REGEXEXTRACT(A113,""\b\d+/(\d+)\b"")),"""")
"),1.0)</f>
        <v>1</v>
      </c>
      <c r="Z113" s="24">
        <f t="array" ref="Z113">IFERROR(INDEX(CRV!BU:BU, MATCH(B113, CRV!A:A, 0)), "")</f>
        <v>18.5</v>
      </c>
      <c r="AA113" s="24">
        <f t="array" ref="AA113">IFERROR(INDEX(CRV!BV:BV, MATCH(B113, CRV!A:A, 0))*X113+4.5*2+7, "")</f>
        <v>50.2</v>
      </c>
      <c r="AB113" s="24" t="str">
        <f t="array" ref="AB113">IFERROR(IF(VALUE(XLOOKUP($B113,CRV!$A:$A,CRV!$BU:$BU))&lt;=5.5,"прямой пуск (DOL)","звезда-треугольник (SD)"),"")</f>
        <v>звезда-треугольник (SD)</v>
      </c>
      <c r="AC113" s="25" t="str">
        <f t="array" ref="AC113">IFERROR(INDEX(CRV!CA:CA, MATCH(B113, CRV!A:A, 0)), "")</f>
        <v>HQQE</v>
      </c>
      <c r="AD113" s="25">
        <f t="array" ref="AD113">IFERROR(AD112-W113*XLOOKUP($B112,CRV!$A:$A,CRV!$BY:$BY)+W113*XLOOKUP($B113,CRV!$A:$A,CRV!$BY:$BY),"ошибка")</f>
        <v>829</v>
      </c>
      <c r="AE113" s="25" t="s">
        <v>76</v>
      </c>
    </row>
    <row r="114" ht="12.0" customHeight="1">
      <c r="A114" s="30" t="s">
        <v>175</v>
      </c>
      <c r="B114" s="24" t="str">
        <f>IFERROR(__xludf.DUMMYFUNCTION("IFERROR(IF(REGEXMATCH(REGEXEXTRACT(A114,""\bCRV\s*\d+(?:-\d+)+(?:-(?:A?BI|AI|BI))?\b""),""-(?:A?BI|AI|BI)$""),REGEXREPLACE(REGEXEXTRACT(A114,""\bCRV\s*\d+(?:-\d+)+(?:-(?:A?BI|AI|BI))?\b""),""-(A?BI|AI|BI)$"",""C$1""),REGEXEXTRACT(A114,""\bCRV\s*\d+(?:-\d+"&amp;")+(?:-(?:A?BI|AI|BI))?\b"")&amp;""C""),"""")"),"CRV 90-3C")</f>
        <v>CRV 90-3C</v>
      </c>
      <c r="C114" s="28">
        <v>1700.0</v>
      </c>
      <c r="D114" s="28">
        <f t="array" ref="D114">IFERROR(D113-(INDEX(CRV!$BA:$BA,MATCH(B113,CRV!$A:$A,0))+INDEX(CRV!$BB:$BB,MATCH(B113,CRV!$A:$A,0)))+(INDEX(CRV!$BA:$BA,MATCH(B114,CRV!$A:$A,0))+INDEX(CRV!$BB:$BB,MATCH(B114,CRV!$A:$A,0))),"")</f>
        <v>1671</v>
      </c>
      <c r="E114" s="29">
        <v>378.0</v>
      </c>
      <c r="F114" s="29">
        <v>664.0</v>
      </c>
      <c r="G114" s="29">
        <v>730.0</v>
      </c>
      <c r="H114" s="29">
        <v>1958.0</v>
      </c>
      <c r="I114" s="28">
        <f t="shared" si="2"/>
        <v>1394</v>
      </c>
      <c r="J114" s="29">
        <v>2121.0</v>
      </c>
      <c r="K114" s="29">
        <v>1810.0</v>
      </c>
      <c r="L114" s="28">
        <v>548.0</v>
      </c>
      <c r="M114" s="28">
        <v>588.0</v>
      </c>
      <c r="N114" s="29">
        <v>1750.0</v>
      </c>
      <c r="O114" s="29">
        <v>148.0</v>
      </c>
      <c r="P114" s="29" t="s">
        <v>169</v>
      </c>
      <c r="Q114" s="29" t="s">
        <v>170</v>
      </c>
      <c r="R114" s="28">
        <v>1000.0</v>
      </c>
      <c r="S114" s="28">
        <v>800.0</v>
      </c>
      <c r="T114" s="28">
        <v>821.0</v>
      </c>
      <c r="U114" s="29">
        <v>660.0</v>
      </c>
      <c r="V114" s="24" t="str">
        <f>IFERROR(__xludf.DUMMYFUNCTION("IFERROR(REGEXEXTRACT(A114,""G2-B-(\d+)""),"""")"),"200")</f>
        <v>200</v>
      </c>
      <c r="W114" s="24">
        <f t="shared" si="1"/>
        <v>2</v>
      </c>
      <c r="X114" s="24">
        <f>IFERROR(__xludf.DUMMYFUNCTION("IFERROR(VALUE(REGEXEXTRACT(A114,""\b(\d+)/\d+\b"")),"""")"),1.0)</f>
        <v>1</v>
      </c>
      <c r="Y114" s="24">
        <f>IFERROR(__xludf.DUMMYFUNCTION("IFERROR(VALUE(REGEXEXTRACT(A114,""\b\d+/(\d+)\b"")),"""")
"),1.0)</f>
        <v>1</v>
      </c>
      <c r="Z114" s="24">
        <f t="array" ref="Z114">IFERROR(INDEX(CRV!BU:BU, MATCH(B114, CRV!A:A, 0)), "")</f>
        <v>22</v>
      </c>
      <c r="AA114" s="24">
        <f t="array" ref="AA114">IFERROR(INDEX(CRV!BV:BV, MATCH(B114, CRV!A:A, 0))*X114+4.5*2+7, "")</f>
        <v>56.5</v>
      </c>
      <c r="AB114" s="24" t="str">
        <f t="array" ref="AB114">IFERROR(IF(VALUE(XLOOKUP($B114,CRV!$A:$A,CRV!$BU:$BU))&lt;=5.5,"прямой пуск (DOL)","звезда-треугольник (SD)"),"")</f>
        <v>звезда-треугольник (SD)</v>
      </c>
      <c r="AC114" s="25" t="str">
        <f t="array" ref="AC114">IFERROR(INDEX(CRV!CA:CA, MATCH(B114, CRV!A:A, 0)), "")</f>
        <v>HQQE</v>
      </c>
      <c r="AD114" s="25">
        <f t="array" ref="AD114">IFERROR(AD113-W114*XLOOKUP($B113,CRV!$A:$A,CRV!$BY:$BY)+W114*XLOOKUP($B114,CRV!$A:$A,CRV!$BY:$BY),"ошибка")</f>
        <v>937</v>
      </c>
      <c r="AE114" s="25" t="s">
        <v>76</v>
      </c>
    </row>
    <row r="115" ht="12.0" customHeight="1">
      <c r="A115" s="30" t="s">
        <v>176</v>
      </c>
      <c r="B115" s="24" t="str">
        <f>IFERROR(__xludf.DUMMYFUNCTION("IFERROR(IF(REGEXMATCH(REGEXEXTRACT(A115,""\bCRV\s*\d+(?:-\d+)+(?:-(?:A?BI|AI|BI))?\b""),""-(?:A?BI|AI|BI)$""),REGEXREPLACE(REGEXEXTRACT(A115,""\bCRV\s*\d+(?:-\d+)+(?:-(?:A?BI|AI|BI))?\b""),""-(A?BI|AI|BI)$"",""C$1""),REGEXEXTRACT(A115,""\bCRV\s*\d+(?:-\d+"&amp;")+(?:-(?:A?BI|AI|BI))?\b"")&amp;""C""),"""")"),"CRV 90-4-2C")</f>
        <v>CRV 90-4-2C</v>
      </c>
      <c r="C115" s="28">
        <v>1700.0</v>
      </c>
      <c r="D115" s="28">
        <f t="array" ref="D115">IFERROR(D114-(INDEX(CRV!$BA:$BA,MATCH(B114,CRV!$A:$A,0))+INDEX(CRV!$BB:$BB,MATCH(B114,CRV!$A:$A,0)))+(INDEX(CRV!$BA:$BA,MATCH(B115,CRV!$A:$A,0))+INDEX(CRV!$BB:$BB,MATCH(B115,CRV!$A:$A,0))),"")</f>
        <v>1836</v>
      </c>
      <c r="E115" s="29">
        <v>378.0</v>
      </c>
      <c r="F115" s="29">
        <v>664.0</v>
      </c>
      <c r="G115" s="29">
        <v>730.0</v>
      </c>
      <c r="H115" s="29">
        <v>1958.0</v>
      </c>
      <c r="I115" s="28">
        <f t="shared" si="2"/>
        <v>1394</v>
      </c>
      <c r="J115" s="29">
        <v>2121.0</v>
      </c>
      <c r="K115" s="29">
        <v>1810.0</v>
      </c>
      <c r="L115" s="28">
        <v>548.0</v>
      </c>
      <c r="M115" s="28">
        <v>588.0</v>
      </c>
      <c r="N115" s="29">
        <v>1750.0</v>
      </c>
      <c r="O115" s="29">
        <v>148.0</v>
      </c>
      <c r="P115" s="29" t="s">
        <v>169</v>
      </c>
      <c r="Q115" s="29" t="s">
        <v>170</v>
      </c>
      <c r="R115" s="28">
        <v>1000.0</v>
      </c>
      <c r="S115" s="28">
        <v>800.0</v>
      </c>
      <c r="T115" s="28">
        <v>821.0</v>
      </c>
      <c r="U115" s="29">
        <v>660.0</v>
      </c>
      <c r="V115" s="24" t="str">
        <f>IFERROR(__xludf.DUMMYFUNCTION("IFERROR(REGEXEXTRACT(A115,""G2-B-(\d+)""),"""")"),"200")</f>
        <v>200</v>
      </c>
      <c r="W115" s="24">
        <f t="shared" si="1"/>
        <v>2</v>
      </c>
      <c r="X115" s="24">
        <f>IFERROR(__xludf.DUMMYFUNCTION("IFERROR(VALUE(REGEXEXTRACT(A115,""\b(\d+)/\d+\b"")),"""")"),1.0)</f>
        <v>1</v>
      </c>
      <c r="Y115" s="24">
        <f>IFERROR(__xludf.DUMMYFUNCTION("IFERROR(VALUE(REGEXEXTRACT(A115,""\b\d+/(\d+)\b"")),"""")
"),1.0)</f>
        <v>1</v>
      </c>
      <c r="Z115" s="24">
        <f t="array" ref="Z115">IFERROR(INDEX(CRV!BU:BU, MATCH(B115, CRV!A:A, 0)), "")</f>
        <v>30</v>
      </c>
      <c r="AA115" s="24">
        <f t="array" ref="AA115">IFERROR(INDEX(CRV!BV:BV, MATCH(B115, CRV!A:A, 0))*X115+4.5*2+7, "")</f>
        <v>70.9</v>
      </c>
      <c r="AB115" s="24" t="str">
        <f t="array" ref="AB115">IFERROR(IF(VALUE(XLOOKUP($B115,CRV!$A:$A,CRV!$BU:$BU))&lt;=5.5,"прямой пуск (DOL)","звезда-треугольник (SD)"),"")</f>
        <v>звезда-треугольник (SD)</v>
      </c>
      <c r="AC115" s="25" t="str">
        <f t="array" ref="AC115">IFERROR(INDEX(CRV!CA:CA, MATCH(B115, CRV!A:A, 0)), "")</f>
        <v>HQQE</v>
      </c>
      <c r="AD115" s="25">
        <f t="array" ref="AD115">IFERROR(AD114-W115*XLOOKUP($B114,CRV!$A:$A,CRV!$BY:$BY)+W115*XLOOKUP($B115,CRV!$A:$A,CRV!$BY:$BY),"ошибка")</f>
        <v>1101</v>
      </c>
      <c r="AE115" s="25" t="s">
        <v>76</v>
      </c>
    </row>
    <row r="116" ht="12.0" customHeight="1">
      <c r="A116" s="30" t="s">
        <v>177</v>
      </c>
      <c r="B116" s="24" t="str">
        <f>IFERROR(__xludf.DUMMYFUNCTION("IFERROR(IF(REGEXMATCH(REGEXEXTRACT(A116,""\bCRV\s*\d+(?:-\d+)+(?:-(?:A?BI|AI|BI))?\b""),""-(?:A?BI|AI|BI)$""),REGEXREPLACE(REGEXEXTRACT(A116,""\bCRV\s*\d+(?:-\d+)+(?:-(?:A?BI|AI|BI))?\b""),""-(A?BI|AI|BI)$"",""C$1""),REGEXEXTRACT(A116,""\bCRV\s*\d+(?:-\d+"&amp;")+(?:-(?:A?BI|AI|BI))?\b"")&amp;""C""),"""")"),"CRV 90-4C")</f>
        <v>CRV 90-4C</v>
      </c>
      <c r="C116" s="28">
        <v>1700.0</v>
      </c>
      <c r="D116" s="28">
        <f t="array" ref="D116">IFERROR(D115-(INDEX(CRV!$BA:$BA,MATCH(B115,CRV!$A:$A,0))+INDEX(CRV!$BB:$BB,MATCH(B115,CRV!$A:$A,0)))+(INDEX(CRV!$BA:$BA,MATCH(B116,CRV!$A:$A,0))+INDEX(CRV!$BB:$BB,MATCH(B116,CRV!$A:$A,0))),"")</f>
        <v>1836</v>
      </c>
      <c r="E116" s="29">
        <v>378.0</v>
      </c>
      <c r="F116" s="29">
        <v>664.0</v>
      </c>
      <c r="G116" s="29">
        <v>730.0</v>
      </c>
      <c r="H116" s="29">
        <v>1958.0</v>
      </c>
      <c r="I116" s="28">
        <f t="shared" si="2"/>
        <v>1394</v>
      </c>
      <c r="J116" s="29">
        <v>2121.0</v>
      </c>
      <c r="K116" s="29">
        <v>1810.0</v>
      </c>
      <c r="L116" s="28">
        <v>548.0</v>
      </c>
      <c r="M116" s="28">
        <v>588.0</v>
      </c>
      <c r="N116" s="29">
        <v>1750.0</v>
      </c>
      <c r="O116" s="29">
        <v>148.0</v>
      </c>
      <c r="P116" s="29" t="s">
        <v>169</v>
      </c>
      <c r="Q116" s="29" t="s">
        <v>170</v>
      </c>
      <c r="R116" s="28">
        <v>1000.0</v>
      </c>
      <c r="S116" s="28">
        <v>800.0</v>
      </c>
      <c r="T116" s="28">
        <v>821.0</v>
      </c>
      <c r="U116" s="29">
        <v>660.0</v>
      </c>
      <c r="V116" s="24" t="str">
        <f>IFERROR(__xludf.DUMMYFUNCTION("IFERROR(REGEXEXTRACT(A116,""G2-B-(\d+)""),"""")"),"200")</f>
        <v>200</v>
      </c>
      <c r="W116" s="24">
        <f t="shared" si="1"/>
        <v>2</v>
      </c>
      <c r="X116" s="24">
        <f>IFERROR(__xludf.DUMMYFUNCTION("IFERROR(VALUE(REGEXEXTRACT(A116,""\b(\d+)/\d+\b"")),"""")"),1.0)</f>
        <v>1</v>
      </c>
      <c r="Y116" s="24">
        <f>IFERROR(__xludf.DUMMYFUNCTION("IFERROR(VALUE(REGEXEXTRACT(A116,""\b\d+/(\d+)\b"")),"""")
"),1.0)</f>
        <v>1</v>
      </c>
      <c r="Z116" s="24">
        <f t="array" ref="Z116">IFERROR(INDEX(CRV!BU:BU, MATCH(B116, CRV!A:A, 0)), "")</f>
        <v>30</v>
      </c>
      <c r="AA116" s="24">
        <f t="array" ref="AA116">IFERROR(INDEX(CRV!BV:BV, MATCH(B116, CRV!A:A, 0))*X116+4.5*2+7, "")</f>
        <v>70.9</v>
      </c>
      <c r="AB116" s="24" t="str">
        <f t="array" ref="AB116">IFERROR(IF(VALUE(XLOOKUP($B116,CRV!$A:$A,CRV!$BU:$BU))&lt;=5.5,"прямой пуск (DOL)","звезда-треугольник (SD)"),"")</f>
        <v>звезда-треугольник (SD)</v>
      </c>
      <c r="AC116" s="25" t="str">
        <f t="array" ref="AC116">IFERROR(INDEX(CRV!CA:CA, MATCH(B116, CRV!A:A, 0)), "")</f>
        <v>HQQE</v>
      </c>
      <c r="AD116" s="25">
        <f t="array" ref="AD116">IFERROR(AD115-W116*XLOOKUP($B115,CRV!$A:$A,CRV!$BY:$BY)+W116*XLOOKUP($B116,CRV!$A:$A,CRV!$BY:$BY),"ошибка")</f>
        <v>1101</v>
      </c>
      <c r="AE116" s="25" t="s">
        <v>76</v>
      </c>
    </row>
    <row r="117" ht="12.0" customHeight="1">
      <c r="A117" s="30" t="s">
        <v>178</v>
      </c>
      <c r="B117" s="24" t="str">
        <f>IFERROR(__xludf.DUMMYFUNCTION("IFERROR(IF(REGEXMATCH(REGEXEXTRACT(A117,""\bCRV\s*\d+(?:-\d+)+(?:-(?:A?BI|AI|BI))?\b""),""-(?:A?BI|AI|BI)$""),REGEXREPLACE(REGEXEXTRACT(A117,""\bCRV\s*\d+(?:-\d+)+(?:-(?:A?BI|AI|BI))?\b""),""-(A?BI|AI|BI)$"",""C$1""),REGEXEXTRACT(A117,""\bCRV\s*\d+(?:-\d+"&amp;")+(?:-(?:A?BI|AI|BI))?\b"")&amp;""C""),"""")"),"CRV 90-5-2C")</f>
        <v>CRV 90-5-2C</v>
      </c>
      <c r="C117" s="28">
        <v>1700.0</v>
      </c>
      <c r="D117" s="28">
        <f t="array" ref="D117">IFERROR(D116-(INDEX(CRV!$BA:$BA,MATCH(B116,CRV!$A:$A,0))+INDEX(CRV!$BB:$BB,MATCH(B116,CRV!$A:$A,0)))+(INDEX(CRV!$BA:$BA,MATCH(B117,CRV!$A:$A,0))+INDEX(CRV!$BB:$BB,MATCH(B117,CRV!$A:$A,0))),"")</f>
        <v>1928</v>
      </c>
      <c r="E117" s="29">
        <v>378.0</v>
      </c>
      <c r="F117" s="29">
        <v>664.0</v>
      </c>
      <c r="G117" s="29">
        <v>730.0</v>
      </c>
      <c r="H117" s="29">
        <v>1958.0</v>
      </c>
      <c r="I117" s="28">
        <f t="shared" si="2"/>
        <v>1394</v>
      </c>
      <c r="J117" s="29">
        <v>2121.0</v>
      </c>
      <c r="K117" s="29">
        <v>1810.0</v>
      </c>
      <c r="L117" s="28">
        <v>548.0</v>
      </c>
      <c r="M117" s="28">
        <v>588.0</v>
      </c>
      <c r="N117" s="29">
        <v>1750.0</v>
      </c>
      <c r="O117" s="29">
        <v>148.0</v>
      </c>
      <c r="P117" s="29" t="s">
        <v>169</v>
      </c>
      <c r="Q117" s="29" t="s">
        <v>170</v>
      </c>
      <c r="R117" s="28">
        <v>1000.0</v>
      </c>
      <c r="S117" s="28">
        <v>800.0</v>
      </c>
      <c r="T117" s="28">
        <v>821.0</v>
      </c>
      <c r="U117" s="29">
        <v>660.0</v>
      </c>
      <c r="V117" s="24" t="str">
        <f>IFERROR(__xludf.DUMMYFUNCTION("IFERROR(REGEXEXTRACT(A117,""G2-B-(\d+)""),"""")"),"200")</f>
        <v>200</v>
      </c>
      <c r="W117" s="24">
        <f t="shared" si="1"/>
        <v>2</v>
      </c>
      <c r="X117" s="24">
        <f>IFERROR(__xludf.DUMMYFUNCTION("IFERROR(VALUE(REGEXEXTRACT(A117,""\b(\d+)/\d+\b"")),"""")"),1.0)</f>
        <v>1</v>
      </c>
      <c r="Y117" s="24">
        <f>IFERROR(__xludf.DUMMYFUNCTION("IFERROR(VALUE(REGEXEXTRACT(A117,""\b\d+/(\d+)\b"")),"""")
"),1.0)</f>
        <v>1</v>
      </c>
      <c r="Z117" s="24">
        <f t="array" ref="Z117">IFERROR(INDEX(CRV!BU:BU, MATCH(B117, CRV!A:A, 0)), "")</f>
        <v>37</v>
      </c>
      <c r="AA117" s="24">
        <f t="array" ref="AA117">IFERROR(INDEX(CRV!BV:BV, MATCH(B117, CRV!A:A, 0))*X117+4.5*2+7, "")</f>
        <v>83.4</v>
      </c>
      <c r="AB117" s="24" t="str">
        <f t="array" ref="AB117">IFERROR(IF(VALUE(XLOOKUP($B117,CRV!$A:$A,CRV!$BU:$BU))&lt;=5.5,"прямой пуск (DOL)","звезда-треугольник (SD)"),"")</f>
        <v>звезда-треугольник (SD)</v>
      </c>
      <c r="AC117" s="25" t="str">
        <f t="array" ref="AC117">IFERROR(INDEX(CRV!CA:CA, MATCH(B117, CRV!A:A, 0)), "")</f>
        <v>HQQE</v>
      </c>
      <c r="AD117" s="25">
        <f t="array" ref="AD117">IFERROR(AD116-W117*XLOOKUP($B116,CRV!$A:$A,CRV!$BY:$BY)+W117*XLOOKUP($B117,CRV!$A:$A,CRV!$BY:$BY),"ошибка")</f>
        <v>1155</v>
      </c>
      <c r="AE117" s="25" t="s">
        <v>76</v>
      </c>
    </row>
    <row r="118" ht="12.0" customHeight="1">
      <c r="A118" s="32" t="s">
        <v>179</v>
      </c>
      <c r="B118" s="27" t="str">
        <f>IFERROR(__xludf.DUMMYFUNCTION("IFERROR(IF(REGEXMATCH(REGEXEXTRACT(A118,""\bCRV\s*\d+(?:-\d+)+(?:-(?:A?BI|AI|BI))?\b""),""-(?:A?BI|AI|BI)$""),REGEXREPLACE(REGEXEXTRACT(A118,""\bCRV\s*\d+(?:-\d+)+(?:-(?:A?BI|AI|BI))?\b""),""-(A?BI|AI|BI)$"",""C$1""),REGEXEXTRACT(A118,""\bCRV\s*\d+(?:-\d+"&amp;")+(?:-(?:A?BI|AI|BI))?\b"")&amp;""C""),"""")"),"CRV 90-5C")</f>
        <v>CRV 90-5C</v>
      </c>
      <c r="C118" s="27">
        <v>1700.0</v>
      </c>
      <c r="D118" s="27">
        <f t="array" ref="D118">IFERROR(D117-(INDEX(CRV!$BA:$BA,MATCH(B117,CRV!$A:$A,0))+INDEX(CRV!$BB:$BB,MATCH(B117,CRV!$A:$A,0)))+(INDEX(CRV!$BA:$BA,MATCH(B118,CRV!$A:$A,0))+INDEX(CRV!$BB:$BB,MATCH(B118,CRV!$A:$A,0))),"")</f>
        <v>1928</v>
      </c>
      <c r="E118" s="26">
        <v>378.0</v>
      </c>
      <c r="F118" s="26">
        <v>664.0</v>
      </c>
      <c r="G118" s="26">
        <v>730.0</v>
      </c>
      <c r="H118" s="26">
        <v>1958.0</v>
      </c>
      <c r="I118" s="27">
        <f t="shared" si="2"/>
        <v>1394</v>
      </c>
      <c r="J118" s="26">
        <v>2121.0</v>
      </c>
      <c r="K118" s="26">
        <v>1810.0</v>
      </c>
      <c r="L118" s="27">
        <v>548.0</v>
      </c>
      <c r="M118" s="27">
        <v>588.0</v>
      </c>
      <c r="N118" s="26">
        <v>1750.0</v>
      </c>
      <c r="O118" s="26">
        <v>148.0</v>
      </c>
      <c r="P118" s="26" t="s">
        <v>169</v>
      </c>
      <c r="Q118" s="26" t="s">
        <v>170</v>
      </c>
      <c r="R118" s="27">
        <v>1000.0</v>
      </c>
      <c r="S118" s="27">
        <v>800.0</v>
      </c>
      <c r="T118" s="27">
        <v>821.0</v>
      </c>
      <c r="U118" s="26">
        <v>660.0</v>
      </c>
      <c r="V118" s="24" t="str">
        <f>IFERROR(__xludf.DUMMYFUNCTION("IFERROR(REGEXEXTRACT(A118,""G2-B-(\d+)""),"""")"),"200")</f>
        <v>200</v>
      </c>
      <c r="W118" s="24">
        <f t="shared" si="1"/>
        <v>2</v>
      </c>
      <c r="X118" s="24">
        <f>IFERROR(__xludf.DUMMYFUNCTION("IFERROR(VALUE(REGEXEXTRACT(A118,""\b(\d+)/\d+\b"")),"""")"),1.0)</f>
        <v>1</v>
      </c>
      <c r="Y118" s="27">
        <f>IFERROR(__xludf.DUMMYFUNCTION("IFERROR(VALUE(REGEXEXTRACT(A118,""\b\d+/(\d+)\b"")),"""")
"),1.0)</f>
        <v>1</v>
      </c>
      <c r="Z118" s="24">
        <f t="array" ref="Z118">IFERROR(INDEX(CRV!BU:BU, MATCH(B118, CRV!A:A, 0)), "")</f>
        <v>37</v>
      </c>
      <c r="AA118" s="24">
        <f t="array" ref="AA118">IFERROR(INDEX(CRV!BV:BV, MATCH(B118, CRV!A:A, 0))*X118+4.5*2+7, "")</f>
        <v>83.4</v>
      </c>
      <c r="AB118" s="27" t="str">
        <f t="array" ref="AB118">IFERROR(IF(VALUE(XLOOKUP($B118,CRV!$A:$A,CRV!$BU:$BU))&lt;=5.5,"прямой пуск (DOL)","звезда-треугольник (SD)"),"")</f>
        <v>звезда-треугольник (SD)</v>
      </c>
      <c r="AC118" s="25" t="str">
        <f t="array" ref="AC118">IFERROR(INDEX(CRV!CA:CA, MATCH(B118, CRV!A:A, 0)), "")</f>
        <v>HQQE</v>
      </c>
      <c r="AD118" s="26">
        <f t="array" ref="AD118">IFERROR(AD117-W118*XLOOKUP($B117,CRV!$A:$A,CRV!$BY:$BY)+W118*XLOOKUP($B118,CRV!$A:$A,CRV!$BY:$BY),"ошибка")</f>
        <v>1155</v>
      </c>
      <c r="AE118" s="26" t="s">
        <v>76</v>
      </c>
    </row>
    <row r="119" ht="12.0" customHeight="1">
      <c r="A119" s="30" t="s">
        <v>180</v>
      </c>
      <c r="B119" s="24" t="str">
        <f>IFERROR(__xludf.DUMMYFUNCTION("IFERROR(IF(REGEXMATCH(REGEXEXTRACT(A119,""\bCRV\s*\d+(?:-\d+)+(?:-(?:A?BI|AI|BI))?\b""),""-(?:A?BI|AI|BI)$""),REGEXREPLACE(REGEXEXTRACT(A119,""\bCRV\s*\d+(?:-\d+)+(?:-(?:A?BI|AI|BI))?\b""),""-(A?BI|AI|BI)$"",""C$1""),REGEXEXTRACT(A119,""\bCRV\s*\d+(?:-\d+"&amp;")+(?:-(?:A?BI|AI|BI))?\b"")&amp;""C""),"""")"),"CRV 90-6-2C")</f>
        <v>CRV 90-6-2C</v>
      </c>
      <c r="C119" s="28">
        <v>1700.0</v>
      </c>
      <c r="D119" s="28">
        <f t="array" ref="D119">IFERROR(D118-(INDEX(CRV!$BA:$BA,MATCH(B118,CRV!$A:$A,0))+INDEX(CRV!$BB:$BB,MATCH(B118,CRV!$A:$A,0)))+(INDEX(CRV!$BA:$BA,MATCH(B119,CRV!$A:$A,0))+INDEX(CRV!$BB:$BB,MATCH(B119,CRV!$A:$A,0))),"")</f>
        <v>2067</v>
      </c>
      <c r="E119" s="29">
        <v>378.0</v>
      </c>
      <c r="F119" s="29">
        <v>664.0</v>
      </c>
      <c r="G119" s="29">
        <v>730.0</v>
      </c>
      <c r="H119" s="29">
        <v>1958.0</v>
      </c>
      <c r="I119" s="28">
        <f t="shared" si="2"/>
        <v>1394</v>
      </c>
      <c r="J119" s="29">
        <v>2121.0</v>
      </c>
      <c r="K119" s="29">
        <v>1810.0</v>
      </c>
      <c r="L119" s="28">
        <v>548.0</v>
      </c>
      <c r="M119" s="28">
        <v>588.0</v>
      </c>
      <c r="N119" s="29">
        <v>1750.0</v>
      </c>
      <c r="O119" s="29">
        <v>148.0</v>
      </c>
      <c r="P119" s="29" t="s">
        <v>169</v>
      </c>
      <c r="Q119" s="29" t="s">
        <v>170</v>
      </c>
      <c r="R119" s="28">
        <v>1000.0</v>
      </c>
      <c r="S119" s="28">
        <v>800.0</v>
      </c>
      <c r="T119" s="28">
        <v>821.0</v>
      </c>
      <c r="U119" s="29">
        <v>660.0</v>
      </c>
      <c r="V119" s="24" t="str">
        <f>IFERROR(__xludf.DUMMYFUNCTION("IFERROR(REGEXEXTRACT(A119,""G2-B-(\d+)""),"""")"),"200")</f>
        <v>200</v>
      </c>
      <c r="W119" s="24">
        <f t="shared" si="1"/>
        <v>2</v>
      </c>
      <c r="X119" s="24">
        <f>IFERROR(__xludf.DUMMYFUNCTION("IFERROR(VALUE(REGEXEXTRACT(A119,""\b(\d+)/\d+\b"")),"""")"),1.0)</f>
        <v>1</v>
      </c>
      <c r="Y119" s="24">
        <f>IFERROR(__xludf.DUMMYFUNCTION("IFERROR(VALUE(REGEXEXTRACT(A119,""\b\d+/(\d+)\b"")),"""")
"),1.0)</f>
        <v>1</v>
      </c>
      <c r="Z119" s="24">
        <f t="array" ref="Z119">IFERROR(INDEX(CRV!BU:BU, MATCH(B119, CRV!A:A, 0)), "")</f>
        <v>45</v>
      </c>
      <c r="AA119" s="24">
        <f t="array" ref="AA119">IFERROR(INDEX(CRV!BV:BV, MATCH(B119, CRV!A:A, 0))*X119+4.5*2+7, "")</f>
        <v>96.8</v>
      </c>
      <c r="AB119" s="24" t="str">
        <f t="array" ref="AB119">IFERROR(IF(VALUE(XLOOKUP($B119,CRV!$A:$A,CRV!$BU:$BU))&lt;=5.5,"прямой пуск (DOL)","звезда-треугольник (SD)"),"")</f>
        <v>звезда-треугольник (SD)</v>
      </c>
      <c r="AC119" s="25" t="str">
        <f t="array" ref="AC119">IFERROR(INDEX(CRV!CA:CA, MATCH(B119, CRV!A:A, 0)), "")</f>
        <v>HQQE</v>
      </c>
      <c r="AD119" s="25">
        <f t="array" ref="AD119">IFERROR(AD118-W119*XLOOKUP($B118,CRV!$A:$A,CRV!$BY:$BY)+W119*XLOOKUP($B119,CRV!$A:$A,CRV!$BY:$BY),"ошибка")</f>
        <v>1281</v>
      </c>
      <c r="AE119" s="25" t="s">
        <v>76</v>
      </c>
    </row>
    <row r="120" ht="12.0" customHeight="1">
      <c r="A120" s="30" t="s">
        <v>181</v>
      </c>
      <c r="B120" s="24" t="str">
        <f>IFERROR(__xludf.DUMMYFUNCTION("IFERROR(IF(REGEXMATCH(REGEXEXTRACT(A120,""\bCRV\s*\d+(?:-\d+)+(?:-(?:A?BI|AI|BI))?\b""),""-(?:A?BI|AI|BI)$""),REGEXREPLACE(REGEXEXTRACT(A120,""\bCRV\s*\d+(?:-\d+)+(?:-(?:A?BI|AI|BI))?\b""),""-(A?BI|AI|BI)$"",""C$1""),REGEXEXTRACT(A120,""\bCRV\s*\d+(?:-\d+"&amp;")+(?:-(?:A?BI|AI|BI))?\b"")&amp;""C""),"""")"),"CRV 90-6C")</f>
        <v>CRV 90-6C</v>
      </c>
      <c r="C120" s="28">
        <v>1700.0</v>
      </c>
      <c r="D120" s="28">
        <f t="array" ref="D120">IFERROR(D119-(INDEX(CRV!$BA:$BA,MATCH(B119,CRV!$A:$A,0))+INDEX(CRV!$BB:$BB,MATCH(B119,CRV!$A:$A,0)))+(INDEX(CRV!$BA:$BA,MATCH(B120,CRV!$A:$A,0))+INDEX(CRV!$BB:$BB,MATCH(B120,CRV!$A:$A,0))),"")</f>
        <v>2067</v>
      </c>
      <c r="E120" s="29">
        <v>378.0</v>
      </c>
      <c r="F120" s="29">
        <v>664.0</v>
      </c>
      <c r="G120" s="29">
        <v>730.0</v>
      </c>
      <c r="H120" s="29">
        <v>1958.0</v>
      </c>
      <c r="I120" s="28">
        <f t="shared" si="2"/>
        <v>1394</v>
      </c>
      <c r="J120" s="29">
        <v>2121.0</v>
      </c>
      <c r="K120" s="29">
        <v>1810.0</v>
      </c>
      <c r="L120" s="28">
        <v>548.0</v>
      </c>
      <c r="M120" s="28">
        <v>588.0</v>
      </c>
      <c r="N120" s="29">
        <v>1750.0</v>
      </c>
      <c r="O120" s="29">
        <v>148.0</v>
      </c>
      <c r="P120" s="29" t="s">
        <v>169</v>
      </c>
      <c r="Q120" s="29" t="s">
        <v>170</v>
      </c>
      <c r="R120" s="28">
        <v>1000.0</v>
      </c>
      <c r="S120" s="28">
        <v>800.0</v>
      </c>
      <c r="T120" s="28">
        <v>821.0</v>
      </c>
      <c r="U120" s="29">
        <v>660.0</v>
      </c>
      <c r="V120" s="24" t="str">
        <f>IFERROR(__xludf.DUMMYFUNCTION("IFERROR(REGEXEXTRACT(A120,""G2-B-(\d+)""),"""")"),"200")</f>
        <v>200</v>
      </c>
      <c r="W120" s="24">
        <f t="shared" si="1"/>
        <v>2</v>
      </c>
      <c r="X120" s="24">
        <f>IFERROR(__xludf.DUMMYFUNCTION("IFERROR(VALUE(REGEXEXTRACT(A120,""\b(\d+)/\d+\b"")),"""")"),1.0)</f>
        <v>1</v>
      </c>
      <c r="Y120" s="24">
        <f>IFERROR(__xludf.DUMMYFUNCTION("IFERROR(VALUE(REGEXEXTRACT(A120,""\b\d+/(\d+)\b"")),"""")
"),1.0)</f>
        <v>1</v>
      </c>
      <c r="Z120" s="24">
        <f t="array" ref="Z120">IFERROR(INDEX(CRV!BU:BU, MATCH(B120, CRV!A:A, 0)), "")</f>
        <v>45</v>
      </c>
      <c r="AA120" s="24">
        <f t="array" ref="AA120">IFERROR(INDEX(CRV!BV:BV, MATCH(B120, CRV!A:A, 0))*X120+4.5*2+7, "")</f>
        <v>96.8</v>
      </c>
      <c r="AB120" s="24" t="str">
        <f t="array" ref="AB120">IFERROR(IF(VALUE(XLOOKUP($B120,CRV!$A:$A,CRV!$BU:$BU))&lt;=5.5,"прямой пуск (DOL)","звезда-треугольник (SD)"),"")</f>
        <v>звезда-треугольник (SD)</v>
      </c>
      <c r="AC120" s="25" t="str">
        <f t="array" ref="AC120">IFERROR(INDEX(CRV!CA:CA, MATCH(B120, CRV!A:A, 0)), "")</f>
        <v>HQQE</v>
      </c>
      <c r="AD120" s="25">
        <f t="array" ref="AD120">IFERROR(AD119-W120*XLOOKUP($B119,CRV!$A:$A,CRV!$BY:$BY)+W120*XLOOKUP($B120,CRV!$A:$A,CRV!$BY:$BY),"ошибка")</f>
        <v>1281</v>
      </c>
      <c r="AE120" s="25" t="s">
        <v>76</v>
      </c>
    </row>
    <row r="121" ht="12.0" customHeight="1">
      <c r="A121" s="28"/>
      <c r="B121" s="24" t="str">
        <f>IFERROR(__xludf.DUMMYFUNCTION("IFERROR(IF(REGEXMATCH(REGEXEXTRACT(A121,""\bCRV\s*\d+(?:-\d+)+(?:-(?:A?BI|AI|BI))?\b""),""-(?:A?BI|AI|BI)$""),REGEXREPLACE(REGEXEXTRACT(A121,""\bCRV\s*\d+(?:-\d+)+(?:-(?:A?BI|AI|BI))?\b""),""-(A?BI|AI|BI)$"",""C$1""),REGEXEXTRACT(A121,""\bCRV\s*\d+(?:-\d+"&amp;")+(?:-(?:A?BI|AI|BI))?\b"")&amp;""C""),"""")"),"")</f>
        <v/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4" t="str">
        <f>IFERROR(__xludf.DUMMYFUNCTION("IFERROR(REGEXEXTRACT(A121,""G2-B-(\d+)""),"""")"),"")</f>
        <v/>
      </c>
      <c r="W121" s="24" t="str">
        <f t="shared" si="1"/>
        <v/>
      </c>
      <c r="X121" s="24" t="str">
        <f>IFERROR(__xludf.DUMMYFUNCTION("IFERROR(VALUE(REGEXEXTRACT(A121,""\b(\d+)/\d+\b"")),"""")"),"")</f>
        <v/>
      </c>
      <c r="Y121" s="24" t="str">
        <f>IFERROR(__xludf.DUMMYFUNCTION("IFERROR(VALUE(REGEXEXTRACT(A121,""\b\d+/(\d+)\b"")),"""")
"),"")</f>
        <v/>
      </c>
      <c r="Z121" s="24" t="str">
        <f t="array" ref="Z121">IFERROR(INDEX(CRV!BU:BU, MATCH(B121, CRV!A:A, 0)), "")</f>
        <v/>
      </c>
      <c r="AA121" s="24" t="str">
        <f t="array" ref="AA121">IFERROR(INDEX(CRV!BV:BV, MATCH(B121, CRV!A:A, 0))*X121+4.5*2+7, "")</f>
        <v/>
      </c>
      <c r="AB121" s="24" t="str">
        <f t="array" ref="AB121">IFERROR(IF(VALUE(XLOOKUP($B121,CRV!$A:$A,CRV!$BU:$BU))&lt;=5.5,"прямой пуск (DOL)","звезда-треугольник (SD)"),"")</f>
        <v/>
      </c>
      <c r="AC121" s="25" t="str">
        <f t="array" ref="AC121">IFERROR(INDEX(CRV!CA:CA, MATCH(B121, CRV!A:A, 0)), "")</f>
        <v/>
      </c>
      <c r="AD121" s="28"/>
      <c r="AE121" s="28"/>
    </row>
    <row r="122" ht="12.0" customHeight="1">
      <c r="A122" s="30" t="s">
        <v>182</v>
      </c>
      <c r="B122" s="24" t="str">
        <f>IFERROR(__xludf.DUMMYFUNCTION("IFERROR(IF(REGEXMATCH(REGEXEXTRACT(A122,""\bCRV\s*\d+(?:-\d+)+(?:-(?:A?BI|AI|BI))?\b""),""-(?:A?BI|AI|BI)$""),REGEXREPLACE(REGEXEXTRACT(A122,""\bCRV\s*\d+(?:-\d+)+(?:-(?:A?BI|AI|BI))?\b""),""-(A?BI|AI|BI)$"",""C$1""),REGEXEXTRACT(A122,""\bCRV\s*\d+(?:-\d+"&amp;")+(?:-(?:A?BI|AI|BI))?\b"")&amp;""C""),"""")"),"CRV 120-1C")</f>
        <v>CRV 120-1C</v>
      </c>
      <c r="C122" s="28">
        <v>1700.0</v>
      </c>
      <c r="D122" s="29">
        <v>1480.0</v>
      </c>
      <c r="E122" s="29">
        <v>378.0</v>
      </c>
      <c r="F122" s="29">
        <v>670.0</v>
      </c>
      <c r="G122" s="29">
        <v>748.0</v>
      </c>
      <c r="H122" s="29">
        <v>1964.0</v>
      </c>
      <c r="I122" s="28">
        <f t="shared" ref="I122:I140" si="3">F122+G122</f>
        <v>1418</v>
      </c>
      <c r="J122" s="29">
        <v>2171.0</v>
      </c>
      <c r="K122" s="29">
        <v>1860.0</v>
      </c>
      <c r="L122" s="28">
        <v>548.0</v>
      </c>
      <c r="M122" s="28">
        <v>588.0</v>
      </c>
      <c r="N122" s="29">
        <v>1790.0</v>
      </c>
      <c r="O122" s="29">
        <v>148.0</v>
      </c>
      <c r="P122" s="29" t="s">
        <v>183</v>
      </c>
      <c r="Q122" s="29" t="s">
        <v>170</v>
      </c>
      <c r="R122" s="28">
        <v>1000.0</v>
      </c>
      <c r="S122" s="28">
        <v>800.0</v>
      </c>
      <c r="T122" s="28">
        <v>821.0</v>
      </c>
      <c r="U122" s="29">
        <v>660.0</v>
      </c>
      <c r="V122" s="24" t="str">
        <f>IFERROR(__xludf.DUMMYFUNCTION("IFERROR(REGEXEXTRACT(A122,""G2-B-(\d+)""),"""")"),"200")</f>
        <v>200</v>
      </c>
      <c r="W122" s="24">
        <f t="shared" si="1"/>
        <v>2</v>
      </c>
      <c r="X122" s="24">
        <f>IFERROR(__xludf.DUMMYFUNCTION("IFERROR(VALUE(REGEXEXTRACT(A122,""\b(\d+)/\d+\b"")),"""")"),1.0)</f>
        <v>1</v>
      </c>
      <c r="Y122" s="24">
        <f>IFERROR(__xludf.DUMMYFUNCTION("IFERROR(VALUE(REGEXEXTRACT(A122,""\b\d+/(\d+)\b"")),"""")
"),1.0)</f>
        <v>1</v>
      </c>
      <c r="Z122" s="24">
        <f t="array" ref="Z122">IFERROR(INDEX(CRV!BU:BU, MATCH(B122, CRV!A:A, 0)), "")</f>
        <v>11</v>
      </c>
      <c r="AA122" s="24">
        <f t="array" ref="AA122">IFERROR(INDEX(CRV!BV:BV, MATCH(B122, CRV!A:A, 0))*X122+4.5*2+7, "")</f>
        <v>36.6</v>
      </c>
      <c r="AB122" s="24" t="str">
        <f t="array" ref="AB122">IFERROR(IF(VALUE(XLOOKUP($B122,CRV!$A:$A,CRV!$BU:$BU))&lt;=5.5,"прямой пуск (DOL)","звезда-треугольник (SD)"),"")</f>
        <v>звезда-треугольник (SD)</v>
      </c>
      <c r="AC122" s="25" t="str">
        <f t="array" ref="AC122">IFERROR(INDEX(CRV!CA:CA, MATCH(B122, CRV!A:A, 0)), "")</f>
        <v>HUBE</v>
      </c>
      <c r="AD122" s="29">
        <v>918.0</v>
      </c>
      <c r="AE122" s="25" t="s">
        <v>76</v>
      </c>
    </row>
    <row r="123" ht="12.0" customHeight="1">
      <c r="A123" s="30" t="s">
        <v>184</v>
      </c>
      <c r="B123" s="24" t="str">
        <f>IFERROR(__xludf.DUMMYFUNCTION("IFERROR(IF(REGEXMATCH(REGEXEXTRACT(A123,""\bCRV\s*\d+(?:-\d+)+(?:-(?:A?BI|AI|BI))?\b""),""-(?:A?BI|AI|BI)$""),REGEXREPLACE(REGEXEXTRACT(A123,""\bCRV\s*\d+(?:-\d+)+(?:-(?:A?BI|AI|BI))?\b""),""-(A?BI|AI|BI)$"",""C$1""),REGEXEXTRACT(A123,""\bCRV\s*\d+(?:-\d+"&amp;")+(?:-(?:A?BI|AI|BI))?\b"")&amp;""C""),"""")"),"CRV 120-2-2C")</f>
        <v>CRV 120-2-2C</v>
      </c>
      <c r="C123" s="28">
        <v>1700.0</v>
      </c>
      <c r="D123" s="28">
        <f t="array" ref="D123">IFERROR(D122-(INDEX(CRV!$BA:$BA,MATCH(B122,CRV!$A:$A,0))+INDEX(CRV!$BB:$BB,MATCH(B122,CRV!$A:$A,0)))+(INDEX(CRV!$BA:$BA,MATCH(B123,CRV!$A:$A,0))+INDEX(CRV!$BB:$BB,MATCH(B123,CRV!$A:$A,0))),"")</f>
        <v>1673</v>
      </c>
      <c r="E123" s="29">
        <v>378.0</v>
      </c>
      <c r="F123" s="29">
        <v>670.0</v>
      </c>
      <c r="G123" s="29">
        <v>748.0</v>
      </c>
      <c r="H123" s="29">
        <v>1964.0</v>
      </c>
      <c r="I123" s="28">
        <f t="shared" si="3"/>
        <v>1418</v>
      </c>
      <c r="J123" s="29">
        <v>2171.0</v>
      </c>
      <c r="K123" s="29">
        <v>1860.0</v>
      </c>
      <c r="L123" s="28">
        <v>548.0</v>
      </c>
      <c r="M123" s="28">
        <v>588.0</v>
      </c>
      <c r="N123" s="29">
        <v>1790.0</v>
      </c>
      <c r="O123" s="29">
        <v>148.0</v>
      </c>
      <c r="P123" s="29" t="s">
        <v>183</v>
      </c>
      <c r="Q123" s="29" t="s">
        <v>170</v>
      </c>
      <c r="R123" s="28">
        <v>1000.0</v>
      </c>
      <c r="S123" s="28">
        <v>800.0</v>
      </c>
      <c r="T123" s="28">
        <v>821.0</v>
      </c>
      <c r="U123" s="29">
        <v>660.0</v>
      </c>
      <c r="V123" s="24" t="str">
        <f>IFERROR(__xludf.DUMMYFUNCTION("IFERROR(REGEXEXTRACT(A123,""G2-B-(\d+)""),"""")"),"200")</f>
        <v>200</v>
      </c>
      <c r="W123" s="24">
        <f t="shared" si="1"/>
        <v>2</v>
      </c>
      <c r="X123" s="24">
        <f>IFERROR(__xludf.DUMMYFUNCTION("IFERROR(VALUE(REGEXEXTRACT(A123,""\b(\d+)/\d+\b"")),"""")"),1.0)</f>
        <v>1</v>
      </c>
      <c r="Y123" s="24">
        <f>IFERROR(__xludf.DUMMYFUNCTION("IFERROR(VALUE(REGEXEXTRACT(A123,""\b\d+/(\d+)\b"")),"""")
"),1.0)</f>
        <v>1</v>
      </c>
      <c r="Z123" s="24">
        <f t="array" ref="Z123">IFERROR(INDEX(CRV!BU:BU, MATCH(B123, CRV!A:A, 0)), "")</f>
        <v>15</v>
      </c>
      <c r="AA123" s="24">
        <f t="array" ref="AA123">IFERROR(INDEX(CRV!BV:BV, MATCH(B123, CRV!A:A, 0))*X123+4.5*2+7, "")</f>
        <v>43.9</v>
      </c>
      <c r="AB123" s="24" t="str">
        <f t="array" ref="AB123">IFERROR(IF(VALUE(XLOOKUP($B123,CRV!$A:$A,CRV!$BU:$BU))&lt;=5.5,"прямой пуск (DOL)","звезда-треугольник (SD)"),"")</f>
        <v>звезда-треугольник (SD)</v>
      </c>
      <c r="AC123" s="25" t="str">
        <f t="array" ref="AC123">IFERROR(INDEX(CRV!CA:CA, MATCH(B123, CRV!A:A, 0)), "")</f>
        <v>HUBE</v>
      </c>
      <c r="AD123" s="25">
        <f t="array" ref="AD123">IFERROR(AD122-W123*XLOOKUP($B122,CRV!$A:$A,CRV!$BY:$BY)+W123*XLOOKUP($B123,CRV!$A:$A,CRV!$BY:$BY),"ошибка")</f>
        <v>948</v>
      </c>
      <c r="AE123" s="25" t="s">
        <v>76</v>
      </c>
    </row>
    <row r="124" ht="12.0" customHeight="1">
      <c r="A124" s="30" t="s">
        <v>185</v>
      </c>
      <c r="B124" s="24" t="str">
        <f>IFERROR(__xludf.DUMMYFUNCTION("IFERROR(IF(REGEXMATCH(REGEXEXTRACT(A124,""\bCRV\s*\d+(?:-\d+)+(?:-(?:A?BI|AI|BI))?\b""),""-(?:A?BI|AI|BI)$""),REGEXREPLACE(REGEXEXTRACT(A124,""\bCRV\s*\d+(?:-\d+)+(?:-(?:A?BI|AI|BI))?\b""),""-(A?BI|AI|BI)$"",""C$1""),REGEXEXTRACT(A124,""\bCRV\s*\d+(?:-\d+"&amp;")+(?:-(?:A?BI|AI|BI))?\b"")&amp;""C""),"""")"),"CRV 120-2-1C")</f>
        <v>CRV 120-2-1C</v>
      </c>
      <c r="C124" s="28">
        <v>1700.0</v>
      </c>
      <c r="D124" s="28">
        <f t="array" ref="D124">IFERROR(D123-(INDEX(CRV!$BA:$BA,MATCH(B123,CRV!$A:$A,0))+INDEX(CRV!$BB:$BB,MATCH(B123,CRV!$A:$A,0)))+(INDEX(CRV!$BA:$BA,MATCH(B124,CRV!$A:$A,0))+INDEX(CRV!$BB:$BB,MATCH(B124,CRV!$A:$A,0))),"")</f>
        <v>1726</v>
      </c>
      <c r="E124" s="29">
        <v>378.0</v>
      </c>
      <c r="F124" s="29">
        <v>670.0</v>
      </c>
      <c r="G124" s="29">
        <v>748.0</v>
      </c>
      <c r="H124" s="29">
        <v>1964.0</v>
      </c>
      <c r="I124" s="28">
        <f t="shared" si="3"/>
        <v>1418</v>
      </c>
      <c r="J124" s="29">
        <v>2171.0</v>
      </c>
      <c r="K124" s="29">
        <v>1860.0</v>
      </c>
      <c r="L124" s="28">
        <v>548.0</v>
      </c>
      <c r="M124" s="28">
        <v>588.0</v>
      </c>
      <c r="N124" s="29">
        <v>1790.0</v>
      </c>
      <c r="O124" s="29">
        <v>148.0</v>
      </c>
      <c r="P124" s="29" t="s">
        <v>183</v>
      </c>
      <c r="Q124" s="29" t="s">
        <v>170</v>
      </c>
      <c r="R124" s="28">
        <v>1000.0</v>
      </c>
      <c r="S124" s="28">
        <v>800.0</v>
      </c>
      <c r="T124" s="28">
        <v>821.0</v>
      </c>
      <c r="U124" s="29">
        <v>660.0</v>
      </c>
      <c r="V124" s="24" t="str">
        <f>IFERROR(__xludf.DUMMYFUNCTION("IFERROR(REGEXEXTRACT(A124,""G2-B-(\d+)""),"""")"),"200")</f>
        <v>200</v>
      </c>
      <c r="W124" s="24">
        <f t="shared" si="1"/>
        <v>2</v>
      </c>
      <c r="X124" s="24">
        <f>IFERROR(__xludf.DUMMYFUNCTION("IFERROR(VALUE(REGEXEXTRACT(A124,""\b(\d+)/\d+\b"")),"""")"),1.0)</f>
        <v>1</v>
      </c>
      <c r="Y124" s="24">
        <f>IFERROR(__xludf.DUMMYFUNCTION("IFERROR(VALUE(REGEXEXTRACT(A124,""\b\d+/(\d+)\b"")),"""")
"),1.0)</f>
        <v>1</v>
      </c>
      <c r="Z124" s="24">
        <f t="array" ref="Z124">IFERROR(INDEX(CRV!BU:BU, MATCH(B124, CRV!A:A, 0)), "")</f>
        <v>18.5</v>
      </c>
      <c r="AA124" s="24">
        <f t="array" ref="AA124">IFERROR(INDEX(CRV!BV:BV, MATCH(B124, CRV!A:A, 0))*X124+4.5*2+7, "")</f>
        <v>50.2</v>
      </c>
      <c r="AB124" s="24" t="str">
        <f t="array" ref="AB124">IFERROR(IF(VALUE(XLOOKUP($B124,CRV!$A:$A,CRV!$BU:$BU))&lt;=5.5,"прямой пуск (DOL)","звезда-треугольник (SD)"),"")</f>
        <v>звезда-треугольник (SD)</v>
      </c>
      <c r="AC124" s="25" t="str">
        <f t="array" ref="AC124">IFERROR(INDEX(CRV!CA:CA, MATCH(B124, CRV!A:A, 0)), "")</f>
        <v>HUBE</v>
      </c>
      <c r="AD124" s="25">
        <f t="array" ref="AD124">IFERROR(AD123-W124*XLOOKUP($B123,CRV!$A:$A,CRV!$BY:$BY)+W124*XLOOKUP($B124,CRV!$A:$A,CRV!$BY:$BY),"ошибка")</f>
        <v>958</v>
      </c>
      <c r="AE124" s="25" t="s">
        <v>76</v>
      </c>
    </row>
    <row r="125" ht="12.0" customHeight="1">
      <c r="A125" s="30" t="s">
        <v>186</v>
      </c>
      <c r="B125" s="24" t="str">
        <f>IFERROR(__xludf.DUMMYFUNCTION("IFERROR(IF(REGEXMATCH(REGEXEXTRACT(A125,""\bCRV\s*\d+(?:-\d+)+(?:-(?:A?BI|AI|BI))?\b""),""-(?:A?BI|AI|BI)$""),REGEXREPLACE(REGEXEXTRACT(A125,""\bCRV\s*\d+(?:-\d+)+(?:-(?:A?BI|AI|BI))?\b""),""-(A?BI|AI|BI)$"",""C$1""),REGEXEXTRACT(A125,""\bCRV\s*\d+(?:-\d+"&amp;")+(?:-(?:A?BI|AI|BI))?\b"")&amp;""C""),"""")"),"CRV 120-2C")</f>
        <v>CRV 120-2C</v>
      </c>
      <c r="C125" s="28">
        <v>1700.0</v>
      </c>
      <c r="D125" s="28">
        <f t="array" ref="D125">IFERROR(D124-(INDEX(CRV!$BA:$BA,MATCH(B124,CRV!$A:$A,0))+INDEX(CRV!$BB:$BB,MATCH(B124,CRV!$A:$A,0)))+(INDEX(CRV!$BA:$BA,MATCH(B125,CRV!$A:$A,0))+INDEX(CRV!$BB:$BB,MATCH(B125,CRV!$A:$A,0))),"")</f>
        <v>1764</v>
      </c>
      <c r="E125" s="29">
        <v>378.0</v>
      </c>
      <c r="F125" s="29">
        <v>670.0</v>
      </c>
      <c r="G125" s="29">
        <v>748.0</v>
      </c>
      <c r="H125" s="29">
        <v>1964.0</v>
      </c>
      <c r="I125" s="28">
        <f t="shared" si="3"/>
        <v>1418</v>
      </c>
      <c r="J125" s="29">
        <v>2171.0</v>
      </c>
      <c r="K125" s="29">
        <v>1860.0</v>
      </c>
      <c r="L125" s="28">
        <v>548.0</v>
      </c>
      <c r="M125" s="28">
        <v>588.0</v>
      </c>
      <c r="N125" s="29">
        <v>1790.0</v>
      </c>
      <c r="O125" s="29">
        <v>148.0</v>
      </c>
      <c r="P125" s="29" t="s">
        <v>183</v>
      </c>
      <c r="Q125" s="29" t="s">
        <v>170</v>
      </c>
      <c r="R125" s="28">
        <v>1000.0</v>
      </c>
      <c r="S125" s="28">
        <v>800.0</v>
      </c>
      <c r="T125" s="28">
        <v>821.0</v>
      </c>
      <c r="U125" s="29">
        <v>660.0</v>
      </c>
      <c r="V125" s="24" t="str">
        <f>IFERROR(__xludf.DUMMYFUNCTION("IFERROR(REGEXEXTRACT(A125,""G2-B-(\d+)""),"""")"),"200")</f>
        <v>200</v>
      </c>
      <c r="W125" s="24">
        <f t="shared" si="1"/>
        <v>2</v>
      </c>
      <c r="X125" s="24">
        <f>IFERROR(__xludf.DUMMYFUNCTION("IFERROR(VALUE(REGEXEXTRACT(A125,""\b(\d+)/\d+\b"")),"""")"),1.0)</f>
        <v>1</v>
      </c>
      <c r="Y125" s="24">
        <f>IFERROR(__xludf.DUMMYFUNCTION("IFERROR(VALUE(REGEXEXTRACT(A125,""\b\d+/(\d+)\b"")),"""")
"),1.0)</f>
        <v>1</v>
      </c>
      <c r="Z125" s="24">
        <f t="array" ref="Z125">IFERROR(INDEX(CRV!BU:BU, MATCH(B125, CRV!A:A, 0)), "")</f>
        <v>22</v>
      </c>
      <c r="AA125" s="24">
        <f t="array" ref="AA125">IFERROR(INDEX(CRV!BV:BV, MATCH(B125, CRV!A:A, 0))*X125+4.5*2+7, "")</f>
        <v>56.5</v>
      </c>
      <c r="AB125" s="24" t="str">
        <f t="array" ref="AB125">IFERROR(IF(VALUE(XLOOKUP($B125,CRV!$A:$A,CRV!$BU:$BU))&lt;=5.5,"прямой пуск (DOL)","звезда-треугольник (SD)"),"")</f>
        <v>звезда-треугольник (SD)</v>
      </c>
      <c r="AC125" s="25" t="str">
        <f t="array" ref="AC125">IFERROR(INDEX(CRV!CA:CA, MATCH(B125, CRV!A:A, 0)), "")</f>
        <v>HUBE</v>
      </c>
      <c r="AD125" s="25">
        <f t="array" ref="AD125">IFERROR(AD124-W125*XLOOKUP($B124,CRV!$A:$A,CRV!$BY:$BY)+W125*XLOOKUP($B125,CRV!$A:$A,CRV!$BY:$BY),"ошибка")</f>
        <v>1028</v>
      </c>
      <c r="AE125" s="25" t="s">
        <v>76</v>
      </c>
    </row>
    <row r="126" ht="12.0" customHeight="1">
      <c r="A126" s="30" t="s">
        <v>187</v>
      </c>
      <c r="B126" s="24" t="str">
        <f>IFERROR(__xludf.DUMMYFUNCTION("IFERROR(IF(REGEXMATCH(REGEXEXTRACT(A126,""\bCRV\s*\d+(?:-\d+)+(?:-(?:A?BI|AI|BI))?\b""),""-(?:A?BI|AI|BI)$""),REGEXREPLACE(REGEXEXTRACT(A126,""\bCRV\s*\d+(?:-\d+)+(?:-(?:A?BI|AI|BI))?\b""),""-(A?BI|AI|BI)$"",""C$1""),REGEXEXTRACT(A126,""\bCRV\s*\d+(?:-\d+"&amp;")+(?:-(?:A?BI|AI|BI))?\b"")&amp;""C""),"""")"),"CRV 120-3-2C")</f>
        <v>CRV 120-3-2C</v>
      </c>
      <c r="C126" s="28">
        <v>1700.0</v>
      </c>
      <c r="D126" s="28">
        <f t="array" ref="D126">IFERROR(D125-(INDEX(CRV!$BA:$BA,MATCH(B125,CRV!$A:$A,0))+INDEX(CRV!$BB:$BB,MATCH(B125,CRV!$A:$A,0)))+(INDEX(CRV!$BA:$BA,MATCH(B126,CRV!$A:$A,0))+INDEX(CRV!$BB:$BB,MATCH(B126,CRV!$A:$A,0))),"")</f>
        <v>1993</v>
      </c>
      <c r="E126" s="29">
        <v>378.0</v>
      </c>
      <c r="F126" s="29">
        <v>670.0</v>
      </c>
      <c r="G126" s="29">
        <v>748.0</v>
      </c>
      <c r="H126" s="29">
        <v>1964.0</v>
      </c>
      <c r="I126" s="28">
        <f t="shared" si="3"/>
        <v>1418</v>
      </c>
      <c r="J126" s="29">
        <v>2171.0</v>
      </c>
      <c r="K126" s="29">
        <v>1860.0</v>
      </c>
      <c r="L126" s="28">
        <v>548.0</v>
      </c>
      <c r="M126" s="28">
        <v>588.0</v>
      </c>
      <c r="N126" s="29">
        <v>1790.0</v>
      </c>
      <c r="O126" s="29">
        <v>148.0</v>
      </c>
      <c r="P126" s="29" t="s">
        <v>183</v>
      </c>
      <c r="Q126" s="29" t="s">
        <v>170</v>
      </c>
      <c r="R126" s="28">
        <v>1000.0</v>
      </c>
      <c r="S126" s="28">
        <v>800.0</v>
      </c>
      <c r="T126" s="28">
        <v>821.0</v>
      </c>
      <c r="U126" s="29">
        <v>660.0</v>
      </c>
      <c r="V126" s="24" t="str">
        <f>IFERROR(__xludf.DUMMYFUNCTION("IFERROR(REGEXEXTRACT(A126,""G2-B-(\d+)""),"""")"),"200")</f>
        <v>200</v>
      </c>
      <c r="W126" s="24">
        <f t="shared" si="1"/>
        <v>2</v>
      </c>
      <c r="X126" s="24">
        <f>IFERROR(__xludf.DUMMYFUNCTION("IFERROR(VALUE(REGEXEXTRACT(A126,""\b(\d+)/\d+\b"")),"""")"),1.0)</f>
        <v>1</v>
      </c>
      <c r="Y126" s="24">
        <f>IFERROR(__xludf.DUMMYFUNCTION("IFERROR(VALUE(REGEXEXTRACT(A126,""\b\d+/(\d+)\b"")),"""")
"),1.0)</f>
        <v>1</v>
      </c>
      <c r="Z126" s="24">
        <f t="array" ref="Z126">IFERROR(INDEX(CRV!BU:BU, MATCH(B126, CRV!A:A, 0)), "")</f>
        <v>30</v>
      </c>
      <c r="AA126" s="24">
        <f t="array" ref="AA126">IFERROR(INDEX(CRV!BV:BV, MATCH(B126, CRV!A:A, 0))*X126+4.5*2+7, "")</f>
        <v>70.9</v>
      </c>
      <c r="AB126" s="24" t="str">
        <f t="array" ref="AB126">IFERROR(IF(VALUE(XLOOKUP($B126,CRV!$A:$A,CRV!$BU:$BU))&lt;=5.5,"прямой пуск (DOL)","звезда-треугольник (SD)"),"")</f>
        <v>звезда-треугольник (SD)</v>
      </c>
      <c r="AC126" s="25" t="str">
        <f t="array" ref="AC126">IFERROR(INDEX(CRV!CA:CA, MATCH(B126, CRV!A:A, 0)), "")</f>
        <v>HUBE</v>
      </c>
      <c r="AD126" s="25">
        <f t="array" ref="AD126">IFERROR(AD125-W126*XLOOKUP($B125,CRV!$A:$A,CRV!$BY:$BY)+W126*XLOOKUP($B126,CRV!$A:$A,CRV!$BY:$BY),"ошибка")</f>
        <v>1178</v>
      </c>
      <c r="AE126" s="25" t="s">
        <v>76</v>
      </c>
    </row>
    <row r="127" ht="12.0" customHeight="1">
      <c r="A127" s="32" t="s">
        <v>188</v>
      </c>
      <c r="B127" s="27" t="str">
        <f>IFERROR(__xludf.DUMMYFUNCTION("IFERROR(IF(REGEXMATCH(REGEXEXTRACT(A127,""\bCRV\s*\d+(?:-\d+)+(?:-(?:A?BI|AI|BI))?\b""),""-(?:A?BI|AI|BI)$""),REGEXREPLACE(REGEXEXTRACT(A127,""\bCRV\s*\d+(?:-\d+)+(?:-(?:A?BI|AI|BI))?\b""),""-(A?BI|AI|BI)$"",""C$1""),REGEXEXTRACT(A127,""\bCRV\s*\d+(?:-\d+"&amp;")+(?:-(?:A?BI|AI|BI))?\b"")&amp;""C""),"""")"),"CRV 120-3-1C")</f>
        <v>CRV 120-3-1C</v>
      </c>
      <c r="C127" s="27">
        <v>1700.0</v>
      </c>
      <c r="D127" s="27">
        <f t="array" ref="D127">IFERROR(D126-(INDEX(CRV!$BA:$BA,MATCH(B126,CRV!$A:$A,0))+INDEX(CRV!$BB:$BB,MATCH(B126,CRV!$A:$A,0)))+(INDEX(CRV!$BA:$BA,MATCH(B127,CRV!$A:$A,0))+INDEX(CRV!$BB:$BB,MATCH(B127,CRV!$A:$A,0))),"")</f>
        <v>1993</v>
      </c>
      <c r="E127" s="26">
        <v>398.0</v>
      </c>
      <c r="F127" s="26">
        <v>670.0</v>
      </c>
      <c r="G127" s="26">
        <v>748.0</v>
      </c>
      <c r="H127" s="26">
        <v>1964.0</v>
      </c>
      <c r="I127" s="27">
        <f t="shared" si="3"/>
        <v>1418</v>
      </c>
      <c r="J127" s="26">
        <v>2171.0</v>
      </c>
      <c r="K127" s="26">
        <v>1860.0</v>
      </c>
      <c r="L127" s="27">
        <v>548.0</v>
      </c>
      <c r="M127" s="27">
        <v>588.0</v>
      </c>
      <c r="N127" s="26">
        <v>1790.0</v>
      </c>
      <c r="O127" s="26">
        <v>168.0</v>
      </c>
      <c r="P127" s="26" t="s">
        <v>183</v>
      </c>
      <c r="Q127" s="26" t="s">
        <v>170</v>
      </c>
      <c r="R127" s="27">
        <v>1000.0</v>
      </c>
      <c r="S127" s="27">
        <v>800.0</v>
      </c>
      <c r="T127" s="27">
        <v>821.0</v>
      </c>
      <c r="U127" s="26">
        <v>660.0</v>
      </c>
      <c r="V127" s="24" t="str">
        <f>IFERROR(__xludf.DUMMYFUNCTION("IFERROR(REGEXEXTRACT(A127,""G2-B-(\d+)""),"""")"),"200")</f>
        <v>200</v>
      </c>
      <c r="W127" s="24">
        <f t="shared" si="1"/>
        <v>2</v>
      </c>
      <c r="X127" s="24">
        <f>IFERROR(__xludf.DUMMYFUNCTION("IFERROR(VALUE(REGEXEXTRACT(A127,""\b(\d+)/\d+\b"")),"""")"),1.0)</f>
        <v>1</v>
      </c>
      <c r="Y127" s="27">
        <f>IFERROR(__xludf.DUMMYFUNCTION("IFERROR(VALUE(REGEXEXTRACT(A127,""\b\d+/(\d+)\b"")),"""")
"),1.0)</f>
        <v>1</v>
      </c>
      <c r="Z127" s="24">
        <f t="array" ref="Z127">IFERROR(INDEX(CRV!BU:BU, MATCH(B127, CRV!A:A, 0)), "")</f>
        <v>30</v>
      </c>
      <c r="AA127" s="24">
        <f t="array" ref="AA127">IFERROR(INDEX(CRV!BV:BV, MATCH(B127, CRV!A:A, 0))*X127+4.5*2+7, "")</f>
        <v>70.9</v>
      </c>
      <c r="AB127" s="27" t="str">
        <f t="array" ref="AB127">IFERROR(IF(VALUE(XLOOKUP($B127,CRV!$A:$A,CRV!$BU:$BU))&lt;=5.5,"прямой пуск (DOL)","звезда-треугольник (SD)"),"")</f>
        <v>звезда-треугольник (SD)</v>
      </c>
      <c r="AC127" s="25" t="str">
        <f t="array" ref="AC127">IFERROR(INDEX(CRV!CA:CA, MATCH(B127, CRV!A:A, 0)), "")</f>
        <v>HUBE</v>
      </c>
      <c r="AD127" s="26">
        <v>1208.0</v>
      </c>
      <c r="AE127" s="26" t="s">
        <v>76</v>
      </c>
    </row>
    <row r="128" ht="12.0" customHeight="1">
      <c r="A128" s="30" t="s">
        <v>189</v>
      </c>
      <c r="B128" s="24" t="str">
        <f>IFERROR(__xludf.DUMMYFUNCTION("IFERROR(IF(REGEXMATCH(REGEXEXTRACT(A128,""\bCRV\s*\d+(?:-\d+)+(?:-(?:A?BI|AI|BI))?\b""),""-(?:A?BI|AI|BI)$""),REGEXREPLACE(REGEXEXTRACT(A128,""\bCRV\s*\d+(?:-\d+)+(?:-(?:A?BI|AI|BI))?\b""),""-(A?BI|AI|BI)$"",""C$1""),REGEXEXTRACT(A128,""\bCRV\s*\d+(?:-\d+"&amp;")+(?:-(?:A?BI|AI|BI))?\b"")&amp;""C""),"""")"),"CRV 120-3C")</f>
        <v>CRV 120-3C</v>
      </c>
      <c r="C128" s="28">
        <v>1700.0</v>
      </c>
      <c r="D128" s="28">
        <f t="array" ref="D128">IFERROR(D127-(INDEX(CRV!$BA:$BA,MATCH(B127,CRV!$A:$A,0))+INDEX(CRV!$BB:$BB,MATCH(B127,CRV!$A:$A,0)))+(INDEX(CRV!$BA:$BA,MATCH(B128,CRV!$A:$A,0))+INDEX(CRV!$BB:$BB,MATCH(B128,CRV!$A:$A,0))),"")</f>
        <v>1993</v>
      </c>
      <c r="E128" s="29">
        <v>398.0</v>
      </c>
      <c r="F128" s="29">
        <v>670.0</v>
      </c>
      <c r="G128" s="29">
        <v>748.0</v>
      </c>
      <c r="H128" s="29">
        <v>1964.0</v>
      </c>
      <c r="I128" s="28">
        <f t="shared" si="3"/>
        <v>1418</v>
      </c>
      <c r="J128" s="29">
        <v>2171.0</v>
      </c>
      <c r="K128" s="29">
        <v>1860.0</v>
      </c>
      <c r="L128" s="28">
        <v>548.0</v>
      </c>
      <c r="M128" s="28">
        <v>588.0</v>
      </c>
      <c r="N128" s="29">
        <v>1790.0</v>
      </c>
      <c r="O128" s="29">
        <v>168.0</v>
      </c>
      <c r="P128" s="29" t="s">
        <v>183</v>
      </c>
      <c r="Q128" s="29" t="s">
        <v>170</v>
      </c>
      <c r="R128" s="28">
        <v>1000.0</v>
      </c>
      <c r="S128" s="28">
        <v>800.0</v>
      </c>
      <c r="T128" s="28">
        <v>821.0</v>
      </c>
      <c r="U128" s="29">
        <v>660.0</v>
      </c>
      <c r="V128" s="24" t="str">
        <f>IFERROR(__xludf.DUMMYFUNCTION("IFERROR(REGEXEXTRACT(A128,""G2-B-(\d+)""),"""")"),"200")</f>
        <v>200</v>
      </c>
      <c r="W128" s="24">
        <f t="shared" si="1"/>
        <v>2</v>
      </c>
      <c r="X128" s="24">
        <f>IFERROR(__xludf.DUMMYFUNCTION("IFERROR(VALUE(REGEXEXTRACT(A128,""\b(\d+)/\d+\b"")),"""")"),1.0)</f>
        <v>1</v>
      </c>
      <c r="Y128" s="24">
        <f>IFERROR(__xludf.DUMMYFUNCTION("IFERROR(VALUE(REGEXEXTRACT(A128,""\b\d+/(\d+)\b"")),"""")
"),1.0)</f>
        <v>1</v>
      </c>
      <c r="Z128" s="24">
        <f t="array" ref="Z128">IFERROR(INDEX(CRV!BU:BU, MATCH(B128, CRV!A:A, 0)), "")</f>
        <v>30</v>
      </c>
      <c r="AA128" s="24">
        <f t="array" ref="AA128">IFERROR(INDEX(CRV!BV:BV, MATCH(B128, CRV!A:A, 0))*X128+4.5*2+7, "")</f>
        <v>70.9</v>
      </c>
      <c r="AB128" s="24" t="str">
        <f t="array" ref="AB128">IFERROR(IF(VALUE(XLOOKUP($B128,CRV!$A:$A,CRV!$BU:$BU))&lt;=5.5,"прямой пуск (DOL)","звезда-треугольник (SD)"),"")</f>
        <v>звезда-треугольник (SD)</v>
      </c>
      <c r="AC128" s="25" t="str">
        <f t="array" ref="AC128">IFERROR(INDEX(CRV!CA:CA, MATCH(B128, CRV!A:A, 0)), "")</f>
        <v>HUBE</v>
      </c>
      <c r="AD128" s="25">
        <f t="array" ref="AD128">IFERROR(AD127-W128*XLOOKUP($B127,CRV!$A:$A,CRV!$BY:$BY)+W128*XLOOKUP($B128,CRV!$A:$A,CRV!$BY:$BY),"ошибка")</f>
        <v>1208</v>
      </c>
      <c r="AE128" s="25" t="s">
        <v>76</v>
      </c>
    </row>
    <row r="129" ht="12.0" customHeight="1">
      <c r="A129" s="30" t="s">
        <v>190</v>
      </c>
      <c r="B129" s="24" t="str">
        <f>IFERROR(__xludf.DUMMYFUNCTION("IFERROR(IF(REGEXMATCH(REGEXEXTRACT(A129,""\bCRV\s*\d+(?:-\d+)+(?:-(?:A?BI|AI|BI))?\b""),""-(?:A?BI|AI|BI)$""),REGEXREPLACE(REGEXEXTRACT(A129,""\bCRV\s*\d+(?:-\d+)+(?:-(?:A?BI|AI|BI))?\b""),""-(A?BI|AI|BI)$"",""C$1""),REGEXEXTRACT(A129,""\bCRV\s*\d+(?:-\d+"&amp;")+(?:-(?:A?BI|AI|BI))?\b"")&amp;""C""),"""")"),"CRV 120-4-2C")</f>
        <v>CRV 120-4-2C</v>
      </c>
      <c r="C129" s="28">
        <v>1700.0</v>
      </c>
      <c r="D129" s="28">
        <f t="array" ref="D129">IFERROR(D128-(INDEX(CRV!$BA:$BA,MATCH(B128,CRV!$A:$A,0))+INDEX(CRV!$BB:$BB,MATCH(B128,CRV!$A:$A,0)))+(INDEX(CRV!$BA:$BA,MATCH(B129,CRV!$A:$A,0))+INDEX(CRV!$BB:$BB,MATCH(B129,CRV!$A:$A,0))),"")</f>
        <v>2145</v>
      </c>
      <c r="E129" s="29">
        <v>398.0</v>
      </c>
      <c r="F129" s="29">
        <v>670.0</v>
      </c>
      <c r="G129" s="29">
        <v>748.0</v>
      </c>
      <c r="H129" s="29">
        <v>1964.0</v>
      </c>
      <c r="I129" s="28">
        <f t="shared" si="3"/>
        <v>1418</v>
      </c>
      <c r="J129" s="29">
        <v>2171.0</v>
      </c>
      <c r="K129" s="29">
        <v>1860.0</v>
      </c>
      <c r="L129" s="28">
        <v>548.0</v>
      </c>
      <c r="M129" s="28">
        <v>588.0</v>
      </c>
      <c r="N129" s="29">
        <v>1790.0</v>
      </c>
      <c r="O129" s="29">
        <v>168.0</v>
      </c>
      <c r="P129" s="29" t="s">
        <v>183</v>
      </c>
      <c r="Q129" s="29" t="s">
        <v>170</v>
      </c>
      <c r="R129" s="28">
        <v>1000.0</v>
      </c>
      <c r="S129" s="28">
        <v>800.0</v>
      </c>
      <c r="T129" s="28">
        <v>821.0</v>
      </c>
      <c r="U129" s="29">
        <v>660.0</v>
      </c>
      <c r="V129" s="24" t="str">
        <f>IFERROR(__xludf.DUMMYFUNCTION("IFERROR(REGEXEXTRACT(A129,""G2-B-(\d+)""),"""")"),"200")</f>
        <v>200</v>
      </c>
      <c r="W129" s="24">
        <f t="shared" si="1"/>
        <v>2</v>
      </c>
      <c r="X129" s="24">
        <f>IFERROR(__xludf.DUMMYFUNCTION("IFERROR(VALUE(REGEXEXTRACT(A129,""\b(\d+)/\d+\b"")),"""")"),1.0)</f>
        <v>1</v>
      </c>
      <c r="Y129" s="24">
        <f>IFERROR(__xludf.DUMMYFUNCTION("IFERROR(VALUE(REGEXEXTRACT(A129,""\b\d+/(\d+)\b"")),"""")
"),1.0)</f>
        <v>1</v>
      </c>
      <c r="Z129" s="24">
        <f t="array" ref="Z129">IFERROR(INDEX(CRV!BU:BU, MATCH(B129, CRV!A:A, 0)), "")</f>
        <v>37</v>
      </c>
      <c r="AA129" s="24">
        <f t="array" ref="AA129">IFERROR(INDEX(CRV!BV:BV, MATCH(B129, CRV!A:A, 0))*X129+4.5*2+7, "")</f>
        <v>83.4</v>
      </c>
      <c r="AB129" s="24" t="str">
        <f t="array" ref="AB129">IFERROR(IF(VALUE(XLOOKUP($B129,CRV!$A:$A,CRV!$BU:$BU))&lt;=5.5,"прямой пуск (DOL)","звезда-треугольник (SD)"),"")</f>
        <v>звезда-треугольник (SD)</v>
      </c>
      <c r="AC129" s="25" t="str">
        <f t="array" ref="AC129">IFERROR(INDEX(CRV!CA:CA, MATCH(B129, CRV!A:A, 0)), "")</f>
        <v>HUBE</v>
      </c>
      <c r="AD129" s="25">
        <f t="array" ref="AD129">IFERROR(AD128-W129*XLOOKUP($B128,CRV!$A:$A,CRV!$BY:$BY)+W129*XLOOKUP($B129,CRV!$A:$A,CRV!$BY:$BY),"ошибка")</f>
        <v>1288</v>
      </c>
      <c r="AE129" s="25" t="s">
        <v>76</v>
      </c>
    </row>
    <row r="130" ht="12.0" customHeight="1">
      <c r="A130" s="30" t="s">
        <v>191</v>
      </c>
      <c r="B130" s="24" t="str">
        <f>IFERROR(__xludf.DUMMYFUNCTION("IFERROR(IF(REGEXMATCH(REGEXEXTRACT(A130,""\bCRV\s*\d+(?:-\d+)+(?:-(?:A?BI|AI|BI))?\b""),""-(?:A?BI|AI|BI)$""),REGEXREPLACE(REGEXEXTRACT(A130,""\bCRV\s*\d+(?:-\d+)+(?:-(?:A?BI|AI|BI))?\b""),""-(A?BI|AI|BI)$"",""C$1""),REGEXEXTRACT(A130,""\bCRV\s*\d+(?:-\d+"&amp;")+(?:-(?:A?BI|AI|BI))?\b"")&amp;""C""),"""")"),"CRV 120-4-1C")</f>
        <v>CRV 120-4-1C</v>
      </c>
      <c r="C130" s="28">
        <v>1700.0</v>
      </c>
      <c r="D130" s="28">
        <f t="array" ref="D130">IFERROR(D129-(INDEX(CRV!$BA:$BA,MATCH(B129,CRV!$A:$A,0))+INDEX(CRV!$BB:$BB,MATCH(B129,CRV!$A:$A,0)))+(INDEX(CRV!$BA:$BA,MATCH(B130,CRV!$A:$A,0))+INDEX(CRV!$BB:$BB,MATCH(B130,CRV!$A:$A,0))),"")</f>
        <v>2145</v>
      </c>
      <c r="E130" s="29">
        <v>398.0</v>
      </c>
      <c r="F130" s="29">
        <v>670.0</v>
      </c>
      <c r="G130" s="29">
        <v>748.0</v>
      </c>
      <c r="H130" s="29">
        <v>1964.0</v>
      </c>
      <c r="I130" s="28">
        <f t="shared" si="3"/>
        <v>1418</v>
      </c>
      <c r="J130" s="29">
        <v>2171.0</v>
      </c>
      <c r="K130" s="29">
        <v>1860.0</v>
      </c>
      <c r="L130" s="28">
        <v>548.0</v>
      </c>
      <c r="M130" s="28">
        <v>588.0</v>
      </c>
      <c r="N130" s="29">
        <v>1790.0</v>
      </c>
      <c r="O130" s="29">
        <v>168.0</v>
      </c>
      <c r="P130" s="29" t="s">
        <v>183</v>
      </c>
      <c r="Q130" s="29" t="s">
        <v>170</v>
      </c>
      <c r="R130" s="28">
        <v>1000.0</v>
      </c>
      <c r="S130" s="28">
        <v>800.0</v>
      </c>
      <c r="T130" s="28">
        <v>821.0</v>
      </c>
      <c r="U130" s="29">
        <v>660.0</v>
      </c>
      <c r="V130" s="24" t="str">
        <f>IFERROR(__xludf.DUMMYFUNCTION("IFERROR(REGEXEXTRACT(A130,""G2-B-(\d+)""),"""")"),"200")</f>
        <v>200</v>
      </c>
      <c r="W130" s="24">
        <f t="shared" si="1"/>
        <v>2</v>
      </c>
      <c r="X130" s="24">
        <f>IFERROR(__xludf.DUMMYFUNCTION("IFERROR(VALUE(REGEXEXTRACT(A130,""\b(\d+)/\d+\b"")),"""")"),1.0)</f>
        <v>1</v>
      </c>
      <c r="Y130" s="24">
        <f>IFERROR(__xludf.DUMMYFUNCTION("IFERROR(VALUE(REGEXEXTRACT(A130,""\b\d+/(\d+)\b"")),"""")
"),1.0)</f>
        <v>1</v>
      </c>
      <c r="Z130" s="24">
        <f t="array" ref="Z130">IFERROR(INDEX(CRV!BU:BU, MATCH(B130, CRV!A:A, 0)), "")</f>
        <v>37</v>
      </c>
      <c r="AA130" s="24">
        <f t="array" ref="AA130">IFERROR(INDEX(CRV!BV:BV, MATCH(B130, CRV!A:A, 0))*X130+4.5*2+7, "")</f>
        <v>83.4</v>
      </c>
      <c r="AB130" s="24" t="str">
        <f t="array" ref="AB130">IFERROR(IF(VALUE(XLOOKUP($B130,CRV!$A:$A,CRV!$BU:$BU))&lt;=5.5,"прямой пуск (DOL)","звезда-треугольник (SD)"),"")</f>
        <v>звезда-треугольник (SD)</v>
      </c>
      <c r="AC130" s="25" t="str">
        <f t="array" ref="AC130">IFERROR(INDEX(CRV!CA:CA, MATCH(B130, CRV!A:A, 0)), "")</f>
        <v>HUBE</v>
      </c>
      <c r="AD130" s="25">
        <f t="array" ref="AD130">IFERROR(AD129-W130*XLOOKUP($B129,CRV!$A:$A,CRV!$BY:$BY)+W130*XLOOKUP($B130,CRV!$A:$A,CRV!$BY:$BY),"ошибка")</f>
        <v>1288</v>
      </c>
      <c r="AE130" s="25" t="s">
        <v>76</v>
      </c>
    </row>
    <row r="131" ht="12.0" customHeight="1">
      <c r="A131" s="30" t="s">
        <v>192</v>
      </c>
      <c r="B131" s="24" t="str">
        <f>IFERROR(__xludf.DUMMYFUNCTION("IFERROR(IF(REGEXMATCH(REGEXEXTRACT(A131,""\bCRV\s*\d+(?:-\d+)+(?:-(?:A?BI|AI|BI))?\b""),""-(?:A?BI|AI|BI)$""),REGEXREPLACE(REGEXEXTRACT(A131,""\bCRV\s*\d+(?:-\d+)+(?:-(?:A?BI|AI|BI))?\b""),""-(A?BI|AI|BI)$"",""C$1""),REGEXEXTRACT(A131,""\bCRV\s*\d+(?:-\d+"&amp;")+(?:-(?:A?BI|AI|BI))?\b"")&amp;""C""),"""")"),"CRV 120-4C")</f>
        <v>CRV 120-4C</v>
      </c>
      <c r="C131" s="28">
        <v>1700.0</v>
      </c>
      <c r="D131" s="28">
        <f t="array" ref="D131">IFERROR(D130-(INDEX(CRV!$BA:$BA,MATCH(B130,CRV!$A:$A,0))+INDEX(CRV!$BB:$BB,MATCH(B130,CRV!$A:$A,0)))+(INDEX(CRV!$BA:$BA,MATCH(B131,CRV!$A:$A,0))+INDEX(CRV!$BB:$BB,MATCH(B131,CRV!$A:$A,0))),"")</f>
        <v>2194</v>
      </c>
      <c r="E131" s="29">
        <v>398.0</v>
      </c>
      <c r="F131" s="29">
        <v>670.0</v>
      </c>
      <c r="G131" s="29">
        <v>748.0</v>
      </c>
      <c r="H131" s="29">
        <v>1964.0</v>
      </c>
      <c r="I131" s="28">
        <f t="shared" si="3"/>
        <v>1418</v>
      </c>
      <c r="J131" s="29">
        <v>2171.0</v>
      </c>
      <c r="K131" s="29">
        <v>1860.0</v>
      </c>
      <c r="L131" s="28">
        <v>548.0</v>
      </c>
      <c r="M131" s="28">
        <v>588.0</v>
      </c>
      <c r="N131" s="29">
        <v>1790.0</v>
      </c>
      <c r="O131" s="29">
        <v>168.0</v>
      </c>
      <c r="P131" s="29" t="s">
        <v>183</v>
      </c>
      <c r="Q131" s="29" t="s">
        <v>170</v>
      </c>
      <c r="R131" s="28">
        <v>1000.0</v>
      </c>
      <c r="S131" s="28">
        <v>800.0</v>
      </c>
      <c r="T131" s="28">
        <v>821.0</v>
      </c>
      <c r="U131" s="29">
        <v>660.0</v>
      </c>
      <c r="V131" s="24" t="str">
        <f>IFERROR(__xludf.DUMMYFUNCTION("IFERROR(REGEXEXTRACT(A131,""G2-B-(\d+)""),"""")"),"200")</f>
        <v>200</v>
      </c>
      <c r="W131" s="24">
        <f t="shared" si="1"/>
        <v>2</v>
      </c>
      <c r="X131" s="24">
        <f>IFERROR(__xludf.DUMMYFUNCTION("IFERROR(VALUE(REGEXEXTRACT(A131,""\b(\d+)/\d+\b"")),"""")"),1.0)</f>
        <v>1</v>
      </c>
      <c r="Y131" s="24">
        <f>IFERROR(__xludf.DUMMYFUNCTION("IFERROR(VALUE(REGEXEXTRACT(A131,""\b\d+/(\d+)\b"")),"""")
"),1.0)</f>
        <v>1</v>
      </c>
      <c r="Z131" s="24">
        <f t="array" ref="Z131">IFERROR(INDEX(CRV!BU:BU, MATCH(B131, CRV!A:A, 0)), "")</f>
        <v>45</v>
      </c>
      <c r="AA131" s="24">
        <f t="array" ref="AA131">IFERROR(INDEX(CRV!BV:BV, MATCH(B131, CRV!A:A, 0))*X131+4.5*2+7, "")</f>
        <v>96.8</v>
      </c>
      <c r="AB131" s="24" t="str">
        <f t="array" ref="AB131">IFERROR(IF(VALUE(XLOOKUP($B131,CRV!$A:$A,CRV!$BU:$BU))&lt;=5.5,"прямой пуск (DOL)","звезда-треугольник (SD)"),"")</f>
        <v>звезда-треугольник (SD)</v>
      </c>
      <c r="AC131" s="25" t="str">
        <f t="array" ref="AC131">IFERROR(INDEX(CRV!CA:CA, MATCH(B131, CRV!A:A, 0)), "")</f>
        <v>HUBE</v>
      </c>
      <c r="AD131" s="25">
        <f t="array" ref="AD131">IFERROR(AD130-W131*XLOOKUP($B130,CRV!$A:$A,CRV!$BY:$BY)+W131*XLOOKUP($B131,CRV!$A:$A,CRV!$BY:$BY),"ошибка")</f>
        <v>1408</v>
      </c>
      <c r="AE131" s="25" t="s">
        <v>76</v>
      </c>
    </row>
    <row r="132" ht="12.0" customHeight="1">
      <c r="A132" s="30" t="s">
        <v>193</v>
      </c>
      <c r="B132" s="24" t="str">
        <f>IFERROR(__xludf.DUMMYFUNCTION("IFERROR(IF(REGEXMATCH(REGEXEXTRACT(A132,""\bCRV\s*\d+(?:-\d+)+(?:-(?:A?BI|AI|BI))?\b""),""-(?:A?BI|AI|BI)$""),REGEXREPLACE(REGEXEXTRACT(A132,""\bCRV\s*\d+(?:-\d+)+(?:-(?:A?BI|AI|BI))?\b""),""-(A?BI|AI|BI)$"",""C$1""),REGEXEXTRACT(A132,""\bCRV\s*\d+(?:-\d+"&amp;")+(?:-(?:A?BI|AI|BI))?\b"")&amp;""C""),"""")"),"CRV 120-5-2C")</f>
        <v>CRV 120-5-2C</v>
      </c>
      <c r="C132" s="28">
        <v>1700.0</v>
      </c>
      <c r="D132" s="28">
        <f t="array" ref="D132">IFERROR(D131-(INDEX(CRV!$BA:$BA,MATCH(B131,CRV!$A:$A,0))+INDEX(CRV!$BB:$BB,MATCH(B131,CRV!$A:$A,0)))+(INDEX(CRV!$BA:$BA,MATCH(B132,CRV!$A:$A,0))+INDEX(CRV!$BB:$BB,MATCH(B132,CRV!$A:$A,0))),"")</f>
        <v>2346</v>
      </c>
      <c r="E132" s="29">
        <v>398.0</v>
      </c>
      <c r="F132" s="29">
        <v>670.0</v>
      </c>
      <c r="G132" s="29">
        <v>748.0</v>
      </c>
      <c r="H132" s="29">
        <v>1964.0</v>
      </c>
      <c r="I132" s="28">
        <f t="shared" si="3"/>
        <v>1418</v>
      </c>
      <c r="J132" s="29">
        <v>2171.0</v>
      </c>
      <c r="K132" s="29">
        <v>1860.0</v>
      </c>
      <c r="L132" s="28">
        <v>548.0</v>
      </c>
      <c r="M132" s="28">
        <v>588.0</v>
      </c>
      <c r="N132" s="29">
        <v>1790.0</v>
      </c>
      <c r="O132" s="29">
        <v>168.0</v>
      </c>
      <c r="P132" s="29" t="s">
        <v>183</v>
      </c>
      <c r="Q132" s="29" t="s">
        <v>170</v>
      </c>
      <c r="R132" s="28">
        <v>1000.0</v>
      </c>
      <c r="S132" s="28">
        <v>800.0</v>
      </c>
      <c r="T132" s="28">
        <v>821.0</v>
      </c>
      <c r="U132" s="29">
        <v>660.0</v>
      </c>
      <c r="V132" s="24" t="str">
        <f>IFERROR(__xludf.DUMMYFUNCTION("IFERROR(REGEXEXTRACT(A132,""G2-B-(\d+)""),"""")"),"200")</f>
        <v>200</v>
      </c>
      <c r="W132" s="24">
        <f t="shared" si="1"/>
        <v>2</v>
      </c>
      <c r="X132" s="24">
        <f>IFERROR(__xludf.DUMMYFUNCTION("IFERROR(VALUE(REGEXEXTRACT(A132,""\b(\d+)/\d+\b"")),"""")"),1.0)</f>
        <v>1</v>
      </c>
      <c r="Y132" s="24">
        <f>IFERROR(__xludf.DUMMYFUNCTION("IFERROR(VALUE(REGEXEXTRACT(A132,""\b\d+/(\d+)\b"")),"""")
"),1.0)</f>
        <v>1</v>
      </c>
      <c r="Z132" s="24">
        <f t="array" ref="Z132">IFERROR(INDEX(CRV!BU:BU, MATCH(B132, CRV!A:A, 0)), "")</f>
        <v>45</v>
      </c>
      <c r="AA132" s="24">
        <f t="array" ref="AA132">IFERROR(INDEX(CRV!BV:BV, MATCH(B132, CRV!A:A, 0))*X132+4.5*2+7, "")</f>
        <v>96.8</v>
      </c>
      <c r="AB132" s="24" t="str">
        <f t="array" ref="AB132">IFERROR(IF(VALUE(XLOOKUP($B132,CRV!$A:$A,CRV!$BU:$BU))&lt;=5.5,"прямой пуск (DOL)","звезда-треугольник (SD)"),"")</f>
        <v>звезда-треугольник (SD)</v>
      </c>
      <c r="AC132" s="25" t="str">
        <f t="array" ref="AC132">IFERROR(INDEX(CRV!CA:CA, MATCH(B132, CRV!A:A, 0)), "")</f>
        <v>HUBE</v>
      </c>
      <c r="AD132" s="25">
        <f t="array" ref="AD132">IFERROR(AD131-W132*XLOOKUP($B131,CRV!$A:$A,CRV!$BY:$BY)+W132*XLOOKUP($B132,CRV!$A:$A,CRV!$BY:$BY),"ошибка")</f>
        <v>1428</v>
      </c>
      <c r="AE132" s="25" t="s">
        <v>76</v>
      </c>
    </row>
    <row r="133" ht="12.0" customHeight="1">
      <c r="A133" s="30" t="s">
        <v>194</v>
      </c>
      <c r="B133" s="24" t="str">
        <f>IFERROR(__xludf.DUMMYFUNCTION("IFERROR(IF(REGEXMATCH(REGEXEXTRACT(A133,""\bCRV\s*\d+(?:-\d+)+(?:-(?:A?BI|AI|BI))?\b""),""-(?:A?BI|AI|BI)$""),REGEXREPLACE(REGEXEXTRACT(A133,""\bCRV\s*\d+(?:-\d+)+(?:-(?:A?BI|AI|BI))?\b""),""-(A?BI|AI|BI)$"",""C$1""),REGEXEXTRACT(A133,""\bCRV\s*\d+(?:-\d+"&amp;")+(?:-(?:A?BI|AI|BI))?\b"")&amp;""C""),"""")"),"CRV 120-5-1C")</f>
        <v>CRV 120-5-1C</v>
      </c>
      <c r="C133" s="28">
        <v>1700.0</v>
      </c>
      <c r="D133" s="28">
        <f t="array" ref="D133">IFERROR(D132-(INDEX(CRV!$BA:$BA,MATCH(B132,CRV!$A:$A,0))+INDEX(CRV!$BB:$BB,MATCH(B132,CRV!$A:$A,0)))+(INDEX(CRV!$BA:$BA,MATCH(B133,CRV!$A:$A,0))+INDEX(CRV!$BB:$BB,MATCH(B133,CRV!$A:$A,0))),"")</f>
        <v>2346</v>
      </c>
      <c r="E133" s="29">
        <v>398.0</v>
      </c>
      <c r="F133" s="29">
        <v>670.0</v>
      </c>
      <c r="G133" s="29">
        <v>748.0</v>
      </c>
      <c r="H133" s="29">
        <v>1964.0</v>
      </c>
      <c r="I133" s="28">
        <f t="shared" si="3"/>
        <v>1418</v>
      </c>
      <c r="J133" s="29">
        <v>2171.0</v>
      </c>
      <c r="K133" s="29">
        <v>1860.0</v>
      </c>
      <c r="L133" s="28">
        <v>548.0</v>
      </c>
      <c r="M133" s="28">
        <v>588.0</v>
      </c>
      <c r="N133" s="29">
        <v>1790.0</v>
      </c>
      <c r="O133" s="29">
        <v>168.0</v>
      </c>
      <c r="P133" s="29" t="s">
        <v>183</v>
      </c>
      <c r="Q133" s="29" t="s">
        <v>170</v>
      </c>
      <c r="R133" s="28">
        <v>1000.0</v>
      </c>
      <c r="S133" s="28">
        <v>800.0</v>
      </c>
      <c r="T133" s="28">
        <v>821.0</v>
      </c>
      <c r="U133" s="29">
        <v>660.0</v>
      </c>
      <c r="V133" s="24" t="str">
        <f>IFERROR(__xludf.DUMMYFUNCTION("IFERROR(REGEXEXTRACT(A133,""G2-B-(\d+)""),"""")"),"200")</f>
        <v>200</v>
      </c>
      <c r="W133" s="24">
        <f t="shared" si="1"/>
        <v>2</v>
      </c>
      <c r="X133" s="24">
        <f>IFERROR(__xludf.DUMMYFUNCTION("IFERROR(VALUE(REGEXEXTRACT(A133,""\b(\d+)/\d+\b"")),"""")"),1.0)</f>
        <v>1</v>
      </c>
      <c r="Y133" s="24">
        <f>IFERROR(__xludf.DUMMYFUNCTION("IFERROR(VALUE(REGEXEXTRACT(A133,""\b\d+/(\d+)\b"")),"""")
"),1.0)</f>
        <v>1</v>
      </c>
      <c r="Z133" s="24">
        <f t="array" ref="Z133">IFERROR(INDEX(CRV!BU:BU, MATCH(B133, CRV!A:A, 0)), "")</f>
        <v>45</v>
      </c>
      <c r="AA133" s="24">
        <f t="array" ref="AA133">IFERROR(INDEX(CRV!BV:BV, MATCH(B133, CRV!A:A, 0))*X133+4.5*2+7, "")</f>
        <v>96.8</v>
      </c>
      <c r="AB133" s="24" t="str">
        <f t="array" ref="AB133">IFERROR(IF(VALUE(XLOOKUP($B133,CRV!$A:$A,CRV!$BU:$BU))&lt;=5.5,"прямой пуск (DOL)","звезда-треугольник (SD)"),"")</f>
        <v>звезда-треугольник (SD)</v>
      </c>
      <c r="AC133" s="25" t="str">
        <f t="array" ref="AC133">IFERROR(INDEX(CRV!CA:CA, MATCH(B133, CRV!A:A, 0)), "")</f>
        <v>HUBE</v>
      </c>
      <c r="AD133" s="25">
        <f t="array" ref="AD133">IFERROR(AD132-W133*XLOOKUP($B132,CRV!$A:$A,CRV!$BY:$BY)+W133*XLOOKUP($B133,CRV!$A:$A,CRV!$BY:$BY),"ошибка")</f>
        <v>1428</v>
      </c>
      <c r="AE133" s="25" t="s">
        <v>76</v>
      </c>
    </row>
    <row r="134" ht="12.0" customHeight="1">
      <c r="A134" s="30" t="s">
        <v>195</v>
      </c>
      <c r="B134" s="24" t="str">
        <f>IFERROR(__xludf.DUMMYFUNCTION("IFERROR(IF(REGEXMATCH(REGEXEXTRACT(A134,""\bCRV\s*\d+(?:-\d+)+(?:-(?:A?BI|AI|BI))?\b""),""-(?:A?BI|AI|BI)$""),REGEXREPLACE(REGEXEXTRACT(A134,""\bCRV\s*\d+(?:-\d+)+(?:-(?:A?BI|AI|BI))?\b""),""-(A?BI|AI|BI)$"",""C$1""),REGEXEXTRACT(A134,""\bCRV\s*\d+(?:-\d+"&amp;")+(?:-(?:A?BI|AI|BI))?\b"")&amp;""C""),"""")"),"CRV 120-5C")</f>
        <v>CRV 120-5C</v>
      </c>
      <c r="C134" s="28">
        <v>1700.0</v>
      </c>
      <c r="D134" s="28">
        <f t="array" ref="D134">IFERROR(D133-(INDEX(CRV!$BA:$BA,MATCH(B133,CRV!$A:$A,0))+INDEX(CRV!$BB:$BB,MATCH(B133,CRV!$A:$A,0)))+(INDEX(CRV!$BA:$BA,MATCH(B134,CRV!$A:$A,0))+INDEX(CRV!$BB:$BB,MATCH(B134,CRV!$A:$A,0))),"")</f>
        <v>2446</v>
      </c>
      <c r="E134" s="29">
        <v>398.0</v>
      </c>
      <c r="F134" s="29">
        <v>670.0</v>
      </c>
      <c r="G134" s="29">
        <v>748.0</v>
      </c>
      <c r="H134" s="29">
        <v>1964.0</v>
      </c>
      <c r="I134" s="28">
        <f t="shared" si="3"/>
        <v>1418</v>
      </c>
      <c r="J134" s="29">
        <v>2171.0</v>
      </c>
      <c r="K134" s="29">
        <v>1860.0</v>
      </c>
      <c r="L134" s="28">
        <v>548.0</v>
      </c>
      <c r="M134" s="28">
        <v>588.0</v>
      </c>
      <c r="N134" s="29">
        <v>1790.0</v>
      </c>
      <c r="O134" s="29">
        <v>168.0</v>
      </c>
      <c r="P134" s="29" t="s">
        <v>183</v>
      </c>
      <c r="Q134" s="29" t="s">
        <v>170</v>
      </c>
      <c r="R134" s="28">
        <v>1000.0</v>
      </c>
      <c r="S134" s="28">
        <v>800.0</v>
      </c>
      <c r="T134" s="28">
        <v>821.0</v>
      </c>
      <c r="U134" s="29">
        <v>660.0</v>
      </c>
      <c r="V134" s="24" t="str">
        <f>IFERROR(__xludf.DUMMYFUNCTION("IFERROR(REGEXEXTRACT(A134,""G2-B-(\d+)""),"""")"),"200")</f>
        <v>200</v>
      </c>
      <c r="W134" s="24">
        <f t="shared" si="1"/>
        <v>2</v>
      </c>
      <c r="X134" s="24">
        <f>IFERROR(__xludf.DUMMYFUNCTION("IFERROR(VALUE(REGEXEXTRACT(A134,""\b(\d+)/\d+\b"")),"""")"),1.0)</f>
        <v>1</v>
      </c>
      <c r="Y134" s="24">
        <f>IFERROR(__xludf.DUMMYFUNCTION("IFERROR(VALUE(REGEXEXTRACT(A134,""\b\d+/(\d+)\b"")),"""")
"),1.0)</f>
        <v>1</v>
      </c>
      <c r="Z134" s="24">
        <f t="array" ref="Z134">IFERROR(INDEX(CRV!BU:BU, MATCH(B134, CRV!A:A, 0)), "")</f>
        <v>55</v>
      </c>
      <c r="AA134" s="24">
        <f t="array" ref="AA134">IFERROR(INDEX(CRV!BV:BV, MATCH(B134, CRV!A:A, 0))*X134+4.5*2+7, "")</f>
        <v>114.5</v>
      </c>
      <c r="AB134" s="24" t="str">
        <f t="array" ref="AB134">IFERROR(IF(VALUE(XLOOKUP($B134,CRV!$A:$A,CRV!$BU:$BU))&lt;=5.5,"прямой пуск (DOL)","звезда-треугольник (SD)"),"")</f>
        <v>звезда-треугольник (SD)</v>
      </c>
      <c r="AC134" s="25" t="str">
        <f t="array" ref="AC134">IFERROR(INDEX(CRV!CA:CA, MATCH(B134, CRV!A:A, 0)), "")</f>
        <v>HUBE</v>
      </c>
      <c r="AD134" s="25">
        <f t="array" ref="AD134">IFERROR(AD133-W134*XLOOKUP($B133,CRV!$A:$A,CRV!$BY:$BY)+W134*XLOOKUP($B134,CRV!$A:$A,CRV!$BY:$BY),"ошибка")</f>
        <v>1638</v>
      </c>
      <c r="AE134" s="25" t="s">
        <v>76</v>
      </c>
    </row>
    <row r="135" ht="12.0" customHeight="1">
      <c r="A135" s="30" t="s">
        <v>196</v>
      </c>
      <c r="B135" s="24" t="str">
        <f>IFERROR(__xludf.DUMMYFUNCTION("IFERROR(IF(REGEXMATCH(REGEXEXTRACT(A135,""\bCRV\s*\d+(?:-\d+)+(?:-(?:A?BI|AI|BI))?\b""),""-(?:A?BI|AI|BI)$""),REGEXREPLACE(REGEXEXTRACT(A135,""\bCRV\s*\d+(?:-\d+)+(?:-(?:A?BI|AI|BI))?\b""),""-(A?BI|AI|BI)$"",""C$1""),REGEXEXTRACT(A135,""\bCRV\s*\d+(?:-\d+"&amp;")+(?:-(?:A?BI|AI|BI))?\b"")&amp;""C""),"""")"),"CRV 120-6-2C")</f>
        <v>CRV 120-6-2C</v>
      </c>
      <c r="C135" s="28">
        <v>1700.0</v>
      </c>
      <c r="D135" s="28">
        <f t="array" ref="D135">IFERROR(D134-(INDEX(CRV!$BA:$BA,MATCH(B134,CRV!$A:$A,0))+INDEX(CRV!$BB:$BB,MATCH(B134,CRV!$A:$A,0)))+(INDEX(CRV!$BA:$BA,MATCH(B135,CRV!$A:$A,0))+INDEX(CRV!$BB:$BB,MATCH(B135,CRV!$A:$A,0))),"")</f>
        <v>2598</v>
      </c>
      <c r="E135" s="29">
        <v>398.0</v>
      </c>
      <c r="F135" s="29">
        <v>670.0</v>
      </c>
      <c r="G135" s="29">
        <v>748.0</v>
      </c>
      <c r="H135" s="29">
        <v>1964.0</v>
      </c>
      <c r="I135" s="28">
        <f t="shared" si="3"/>
        <v>1418</v>
      </c>
      <c r="J135" s="29">
        <v>2171.0</v>
      </c>
      <c r="K135" s="29">
        <v>1860.0</v>
      </c>
      <c r="L135" s="28">
        <v>548.0</v>
      </c>
      <c r="M135" s="28">
        <v>588.0</v>
      </c>
      <c r="N135" s="29">
        <v>1790.0</v>
      </c>
      <c r="O135" s="29">
        <v>168.0</v>
      </c>
      <c r="P135" s="29" t="s">
        <v>183</v>
      </c>
      <c r="Q135" s="29" t="s">
        <v>170</v>
      </c>
      <c r="R135" s="28">
        <v>1000.0</v>
      </c>
      <c r="S135" s="28">
        <v>800.0</v>
      </c>
      <c r="T135" s="28">
        <v>821.0</v>
      </c>
      <c r="U135" s="29">
        <v>660.0</v>
      </c>
      <c r="V135" s="24" t="str">
        <f>IFERROR(__xludf.DUMMYFUNCTION("IFERROR(REGEXEXTRACT(A135,""G2-B-(\d+)""),"""")"),"200")</f>
        <v>200</v>
      </c>
      <c r="W135" s="24">
        <f t="shared" si="1"/>
        <v>2</v>
      </c>
      <c r="X135" s="24">
        <f>IFERROR(__xludf.DUMMYFUNCTION("IFERROR(VALUE(REGEXEXTRACT(A135,""\b(\d+)/\d+\b"")),"""")"),1.0)</f>
        <v>1</v>
      </c>
      <c r="Y135" s="24">
        <f>IFERROR(__xludf.DUMMYFUNCTION("IFERROR(VALUE(REGEXEXTRACT(A135,""\b\d+/(\d+)\b"")),"""")
"),1.0)</f>
        <v>1</v>
      </c>
      <c r="Z135" s="24">
        <f t="array" ref="Z135">IFERROR(INDEX(CRV!BU:BU, MATCH(B135, CRV!A:A, 0)), "")</f>
        <v>55</v>
      </c>
      <c r="AA135" s="24">
        <f t="array" ref="AA135">IFERROR(INDEX(CRV!BV:BV, MATCH(B135, CRV!A:A, 0))*X135+4.5*2+7, "")</f>
        <v>114.5</v>
      </c>
      <c r="AB135" s="24" t="str">
        <f t="array" ref="AB135">IFERROR(IF(VALUE(XLOOKUP($B135,CRV!$A:$A,CRV!$BU:$BU))&lt;=5.5,"прямой пуск (DOL)","звезда-треугольник (SD)"),"")</f>
        <v>звезда-треугольник (SD)</v>
      </c>
      <c r="AC135" s="25" t="str">
        <f t="array" ref="AC135">IFERROR(INDEX(CRV!CA:CA, MATCH(B135, CRV!A:A, 0)), "")</f>
        <v>HUBE</v>
      </c>
      <c r="AD135" s="25">
        <f t="array" ref="AD135">IFERROR(AD134-W135*XLOOKUP($B134,CRV!$A:$A,CRV!$BY:$BY)+W135*XLOOKUP($B135,CRV!$A:$A,CRV!$BY:$BY),"ошибка")</f>
        <v>1658</v>
      </c>
      <c r="AE135" s="25" t="s">
        <v>76</v>
      </c>
    </row>
    <row r="136" ht="12.0" customHeight="1">
      <c r="A136" s="30" t="s">
        <v>197</v>
      </c>
      <c r="B136" s="24" t="str">
        <f>IFERROR(__xludf.DUMMYFUNCTION("IFERROR(IF(REGEXMATCH(REGEXEXTRACT(A136,""\bCRV\s*\d+(?:-\d+)+(?:-(?:A?BI|AI|BI))?\b""),""-(?:A?BI|AI|BI)$""),REGEXREPLACE(REGEXEXTRACT(A136,""\bCRV\s*\d+(?:-\d+)+(?:-(?:A?BI|AI|BI))?\b""),""-(A?BI|AI|BI)$"",""C$1""),REGEXEXTRACT(A136,""\bCRV\s*\d+(?:-\d+"&amp;")+(?:-(?:A?BI|AI|BI))?\b"")&amp;""C""),"""")"),"CRV 120-6-1C")</f>
        <v>CRV 120-6-1C</v>
      </c>
      <c r="C136" s="28">
        <v>1700.0</v>
      </c>
      <c r="D136" s="28">
        <f t="array" ref="D136">IFERROR(D135-(INDEX(CRV!$BA:$BA,MATCH(B135,CRV!$A:$A,0))+INDEX(CRV!$BB:$BB,MATCH(B135,CRV!$A:$A,0)))+(INDEX(CRV!$BA:$BA,MATCH(B136,CRV!$A:$A,0))+INDEX(CRV!$BB:$BB,MATCH(B136,CRV!$A:$A,0))),"")</f>
        <v>2598</v>
      </c>
      <c r="E136" s="29">
        <v>398.0</v>
      </c>
      <c r="F136" s="29">
        <v>670.0</v>
      </c>
      <c r="G136" s="29">
        <v>748.0</v>
      </c>
      <c r="H136" s="29">
        <v>1964.0</v>
      </c>
      <c r="I136" s="28">
        <f t="shared" si="3"/>
        <v>1418</v>
      </c>
      <c r="J136" s="29">
        <v>2171.0</v>
      </c>
      <c r="K136" s="29">
        <v>1860.0</v>
      </c>
      <c r="L136" s="28">
        <v>548.0</v>
      </c>
      <c r="M136" s="28">
        <v>588.0</v>
      </c>
      <c r="N136" s="29">
        <v>1790.0</v>
      </c>
      <c r="O136" s="29">
        <v>168.0</v>
      </c>
      <c r="P136" s="29" t="s">
        <v>183</v>
      </c>
      <c r="Q136" s="29" t="s">
        <v>170</v>
      </c>
      <c r="R136" s="28">
        <v>1000.0</v>
      </c>
      <c r="S136" s="28">
        <v>800.0</v>
      </c>
      <c r="T136" s="28">
        <v>821.0</v>
      </c>
      <c r="U136" s="29">
        <v>660.0</v>
      </c>
      <c r="V136" s="24" t="str">
        <f>IFERROR(__xludf.DUMMYFUNCTION("IFERROR(REGEXEXTRACT(A136,""G2-B-(\d+)""),"""")"),"200")</f>
        <v>200</v>
      </c>
      <c r="W136" s="24">
        <f t="shared" si="1"/>
        <v>2</v>
      </c>
      <c r="X136" s="24">
        <f>IFERROR(__xludf.DUMMYFUNCTION("IFERROR(VALUE(REGEXEXTRACT(A136,""\b(\d+)/\d+\b"")),"""")"),1.0)</f>
        <v>1</v>
      </c>
      <c r="Y136" s="24">
        <f>IFERROR(__xludf.DUMMYFUNCTION("IFERROR(VALUE(REGEXEXTRACT(A136,""\b\d+/(\d+)\b"")),"""")
"),1.0)</f>
        <v>1</v>
      </c>
      <c r="Z136" s="24">
        <f t="array" ref="Z136">IFERROR(INDEX(CRV!BU:BU, MATCH(B136, CRV!A:A, 0)), "")</f>
        <v>55</v>
      </c>
      <c r="AA136" s="24">
        <f t="array" ref="AA136">IFERROR(INDEX(CRV!BV:BV, MATCH(B136, CRV!A:A, 0))*X136+4.5*2+7, "")</f>
        <v>114.5</v>
      </c>
      <c r="AB136" s="24" t="str">
        <f t="array" ref="AB136">IFERROR(IF(VALUE(XLOOKUP($B136,CRV!$A:$A,CRV!$BU:$BU))&lt;=5.5,"прямой пуск (DOL)","звезда-треугольник (SD)"),"")</f>
        <v>звезда-треугольник (SD)</v>
      </c>
      <c r="AC136" s="25" t="str">
        <f t="array" ref="AC136">IFERROR(INDEX(CRV!CA:CA, MATCH(B136, CRV!A:A, 0)), "")</f>
        <v>HUBE</v>
      </c>
      <c r="AD136" s="25">
        <f t="array" ref="AD136">IFERROR(AD135-W136*XLOOKUP($B135,CRV!$A:$A,CRV!$BY:$BY)+W136*XLOOKUP($B136,CRV!$A:$A,CRV!$BY:$BY),"ошибка")</f>
        <v>1658</v>
      </c>
      <c r="AE136" s="25" t="s">
        <v>76</v>
      </c>
    </row>
    <row r="137" ht="12.0" customHeight="1">
      <c r="A137" s="30" t="s">
        <v>198</v>
      </c>
      <c r="B137" s="24" t="str">
        <f>IFERROR(__xludf.DUMMYFUNCTION("IFERROR(IF(REGEXMATCH(REGEXEXTRACT(A137,""\bCRV\s*\d+(?:-\d+)+(?:-(?:A?BI|AI|BI))?\b""),""-(?:A?BI|AI|BI)$""),REGEXREPLACE(REGEXEXTRACT(A137,""\bCRV\s*\d+(?:-\d+)+(?:-(?:A?BI|AI|BI))?\b""),""-(A?BI|AI|BI)$"",""C$1""),REGEXEXTRACT(A137,""\bCRV\s*\d+(?:-\d+"&amp;")+(?:-(?:A?BI|AI|BI))?\b"")&amp;""C""),"""")"),"CRV 120-6C")</f>
        <v>CRV 120-6C</v>
      </c>
      <c r="C137" s="28">
        <v>1700.0</v>
      </c>
      <c r="D137" s="28">
        <f t="array" ref="D137">IFERROR(D136-(INDEX(CRV!$BA:$BA,MATCH(B136,CRV!$A:$A,0))+INDEX(CRV!$BB:$BB,MATCH(B136,CRV!$A:$A,0)))+(INDEX(CRV!$BA:$BA,MATCH(B137,CRV!$A:$A,0))+INDEX(CRV!$BB:$BB,MATCH(B137,CRV!$A:$A,0))),"")</f>
        <v>2666</v>
      </c>
      <c r="E137" s="29">
        <v>398.0</v>
      </c>
      <c r="F137" s="29">
        <v>670.0</v>
      </c>
      <c r="G137" s="29">
        <v>748.0</v>
      </c>
      <c r="H137" s="29">
        <v>1964.0</v>
      </c>
      <c r="I137" s="28">
        <f t="shared" si="3"/>
        <v>1418</v>
      </c>
      <c r="J137" s="29">
        <v>2171.0</v>
      </c>
      <c r="K137" s="29">
        <v>1860.0</v>
      </c>
      <c r="L137" s="28">
        <v>548.0</v>
      </c>
      <c r="M137" s="28">
        <v>588.0</v>
      </c>
      <c r="N137" s="29">
        <v>1790.0</v>
      </c>
      <c r="O137" s="29">
        <v>168.0</v>
      </c>
      <c r="P137" s="29" t="s">
        <v>183</v>
      </c>
      <c r="Q137" s="29" t="s">
        <v>170</v>
      </c>
      <c r="R137" s="28">
        <v>1000.0</v>
      </c>
      <c r="S137" s="28">
        <v>800.0</v>
      </c>
      <c r="T137" s="28">
        <v>821.0</v>
      </c>
      <c r="U137" s="29">
        <v>660.0</v>
      </c>
      <c r="V137" s="24" t="str">
        <f>IFERROR(__xludf.DUMMYFUNCTION("IFERROR(REGEXEXTRACT(A137,""G2-B-(\d+)""),"""")"),"200")</f>
        <v>200</v>
      </c>
      <c r="W137" s="24">
        <f t="shared" si="1"/>
        <v>2</v>
      </c>
      <c r="X137" s="24">
        <f>IFERROR(__xludf.DUMMYFUNCTION("IFERROR(VALUE(REGEXEXTRACT(A137,""\b(\d+)/\d+\b"")),"""")"),1.0)</f>
        <v>1</v>
      </c>
      <c r="Y137" s="24">
        <f>IFERROR(__xludf.DUMMYFUNCTION("IFERROR(VALUE(REGEXEXTRACT(A137,""\b\d+/(\d+)\b"")),"""")
"),1.0)</f>
        <v>1</v>
      </c>
      <c r="Z137" s="24">
        <f t="array" ref="Z137">IFERROR(INDEX(CRV!BU:BU, MATCH(B137, CRV!A:A, 0)), "")</f>
        <v>75</v>
      </c>
      <c r="AA137" s="24">
        <f t="array" ref="AA137">IFERROR(INDEX(CRV!BV:BV, MATCH(B137, CRV!A:A, 0))*X137+4.5*2+7, "")</f>
        <v>149.7</v>
      </c>
      <c r="AB137" s="24" t="str">
        <f t="array" ref="AB137">IFERROR(IF(VALUE(XLOOKUP($B137,CRV!$A:$A,CRV!$BU:$BU))&lt;=5.5,"прямой пуск (DOL)","звезда-треугольник (SD)"),"")</f>
        <v>звезда-треугольник (SD)</v>
      </c>
      <c r="AC137" s="25" t="str">
        <f t="array" ref="AC137">IFERROR(INDEX(CRV!CA:CA, MATCH(B137, CRV!A:A, 0)), "")</f>
        <v>HUBE</v>
      </c>
      <c r="AD137" s="25">
        <f t="array" ref="AD137">IFERROR(AD136-W137*XLOOKUP($B136,CRV!$A:$A,CRV!$BY:$BY)+W137*XLOOKUP($B137,CRV!$A:$A,CRV!$BY:$BY),"ошибка")</f>
        <v>1898</v>
      </c>
      <c r="AE137" s="25" t="s">
        <v>76</v>
      </c>
    </row>
    <row r="138" ht="12.0" customHeight="1">
      <c r="A138" s="32" t="s">
        <v>199</v>
      </c>
      <c r="B138" s="24" t="str">
        <f>IFERROR(__xludf.DUMMYFUNCTION("IFERROR(IF(REGEXMATCH(REGEXEXTRACT(A138,""\bCRV\s*\d+(?:-\d+)+(?:-(?:A?BI|AI|BI))?\b""),""-(?:A?BI|AI|BI)$""),REGEXREPLACE(REGEXEXTRACT(A138,""\bCRV\s*\d+(?:-\d+)+(?:-(?:A?BI|AI|BI))?\b""),""-(A?BI|AI|BI)$"",""C$1""),REGEXEXTRACT(A138,""\bCRV\s*\d+(?:-\d+"&amp;")+(?:-(?:A?BI|AI|BI))?\b"")&amp;""C""),"""")"),"CRV 120-7-2C")</f>
        <v>CRV 120-7-2C</v>
      </c>
      <c r="C138" s="28">
        <v>1700.0</v>
      </c>
      <c r="D138" s="28">
        <f t="array" ref="D138">IFERROR(D137-(INDEX(CRV!$BA:$BA,MATCH(B137,CRV!$A:$A,0))+INDEX(CRV!$BB:$BB,MATCH(B137,CRV!$A:$A,0)))+(INDEX(CRV!$BA:$BA,MATCH(B138,CRV!$A:$A,0))+INDEX(CRV!$BB:$BB,MATCH(B138,CRV!$A:$A,0))),"")</f>
        <v>2818</v>
      </c>
      <c r="E138" s="29">
        <v>398.0</v>
      </c>
      <c r="F138" s="29">
        <v>670.0</v>
      </c>
      <c r="G138" s="29">
        <v>748.0</v>
      </c>
      <c r="H138" s="29">
        <v>1964.0</v>
      </c>
      <c r="I138" s="28">
        <f t="shared" si="3"/>
        <v>1418</v>
      </c>
      <c r="J138" s="29">
        <v>2171.0</v>
      </c>
      <c r="K138" s="29">
        <v>1860.0</v>
      </c>
      <c r="L138" s="28">
        <v>548.0</v>
      </c>
      <c r="M138" s="28">
        <v>588.0</v>
      </c>
      <c r="N138" s="29">
        <v>1790.0</v>
      </c>
      <c r="O138" s="29">
        <v>168.0</v>
      </c>
      <c r="P138" s="29" t="s">
        <v>183</v>
      </c>
      <c r="Q138" s="29" t="s">
        <v>170</v>
      </c>
      <c r="R138" s="28">
        <v>1000.0</v>
      </c>
      <c r="S138" s="28">
        <v>800.0</v>
      </c>
      <c r="T138" s="28">
        <v>821.0</v>
      </c>
      <c r="U138" s="29">
        <v>660.0</v>
      </c>
      <c r="V138" s="24" t="str">
        <f>IFERROR(__xludf.DUMMYFUNCTION("IFERROR(REGEXEXTRACT(A138,""G2-B-(\d+)""),"""")"),"200")</f>
        <v>200</v>
      </c>
      <c r="W138" s="24">
        <f t="shared" si="1"/>
        <v>2</v>
      </c>
      <c r="X138" s="24">
        <f>IFERROR(__xludf.DUMMYFUNCTION("IFERROR(VALUE(REGEXEXTRACT(A138,""\b(\d+)/\d+\b"")),"""")"),1.0)</f>
        <v>1</v>
      </c>
      <c r="Y138" s="24">
        <f>IFERROR(__xludf.DUMMYFUNCTION("IFERROR(VALUE(REGEXEXTRACT(A138,""\b\d+/(\d+)\b"")),"""")
"),1.0)</f>
        <v>1</v>
      </c>
      <c r="Z138" s="24">
        <f t="array" ref="Z138">IFERROR(INDEX(CRV!BU:BU, MATCH(B138, CRV!A:A, 0)), "")</f>
        <v>75</v>
      </c>
      <c r="AA138" s="24">
        <f t="array" ref="AA138">IFERROR(INDEX(CRV!BV:BV, MATCH(B138, CRV!A:A, 0))*X138+4.5*2+7, "")</f>
        <v>149.7</v>
      </c>
      <c r="AB138" s="24" t="str">
        <f t="array" ref="AB138">IFERROR(IF(VALUE(XLOOKUP($B138,CRV!$A:$A,CRV!$BU:$BU))&lt;=5.5,"прямой пуск (DOL)","звезда-треугольник (SD)"),"")</f>
        <v>звезда-треугольник (SD)</v>
      </c>
      <c r="AC138" s="25" t="str">
        <f t="array" ref="AC138">IFERROR(INDEX(CRV!CA:CA, MATCH(B138, CRV!A:A, 0)), "")</f>
        <v>HUBE</v>
      </c>
      <c r="AD138" s="25">
        <f t="array" ref="AD138">IFERROR(AD137-W138*XLOOKUP($B137,CRV!$A:$A,CRV!$BY:$BY)+W138*XLOOKUP($B138,CRV!$A:$A,CRV!$BY:$BY),"ошибка")</f>
        <v>1918</v>
      </c>
      <c r="AE138" s="25" t="s">
        <v>76</v>
      </c>
    </row>
    <row r="139" ht="12.0" customHeight="1">
      <c r="A139" s="30" t="s">
        <v>200</v>
      </c>
      <c r="B139" s="24" t="str">
        <f>IFERROR(__xludf.DUMMYFUNCTION("IFERROR(IF(REGEXMATCH(REGEXEXTRACT(A139,""\bCRV\s*\d+(?:-\d+)+(?:-(?:A?BI|AI|BI))?\b""),""-(?:A?BI|AI|BI)$""),REGEXREPLACE(REGEXEXTRACT(A139,""\bCRV\s*\d+(?:-\d+)+(?:-(?:A?BI|AI|BI))?\b""),""-(A?BI|AI|BI)$"",""C$1""),REGEXEXTRACT(A139,""\bCRV\s*\d+(?:-\d+"&amp;")+(?:-(?:A?BI|AI|BI))?\b"")&amp;""C""),"""")"),"CRV 120-7-1C")</f>
        <v>CRV 120-7-1C</v>
      </c>
      <c r="C139" s="28">
        <v>1700.0</v>
      </c>
      <c r="D139" s="28">
        <f t="array" ref="D139">IFERROR(D138-(INDEX(CRV!$BA:$BA,MATCH(B138,CRV!$A:$A,0))+INDEX(CRV!$BB:$BB,MATCH(B138,CRV!$A:$A,0)))+(INDEX(CRV!$BA:$BA,MATCH(B139,CRV!$A:$A,0))+INDEX(CRV!$BB:$BB,MATCH(B139,CRV!$A:$A,0))),"")</f>
        <v>2818</v>
      </c>
      <c r="E139" s="29">
        <v>398.0</v>
      </c>
      <c r="F139" s="29">
        <v>670.0</v>
      </c>
      <c r="G139" s="29">
        <v>748.0</v>
      </c>
      <c r="H139" s="29">
        <v>1964.0</v>
      </c>
      <c r="I139" s="28">
        <f t="shared" si="3"/>
        <v>1418</v>
      </c>
      <c r="J139" s="29">
        <v>2171.0</v>
      </c>
      <c r="K139" s="29">
        <v>1860.0</v>
      </c>
      <c r="L139" s="28">
        <v>548.0</v>
      </c>
      <c r="M139" s="28">
        <v>588.0</v>
      </c>
      <c r="N139" s="29">
        <v>1790.0</v>
      </c>
      <c r="O139" s="29">
        <v>168.0</v>
      </c>
      <c r="P139" s="29" t="s">
        <v>183</v>
      </c>
      <c r="Q139" s="29" t="s">
        <v>170</v>
      </c>
      <c r="R139" s="28">
        <v>1000.0</v>
      </c>
      <c r="S139" s="28">
        <v>800.0</v>
      </c>
      <c r="T139" s="28">
        <v>821.0</v>
      </c>
      <c r="U139" s="29">
        <v>660.0</v>
      </c>
      <c r="V139" s="24" t="str">
        <f>IFERROR(__xludf.DUMMYFUNCTION("IFERROR(REGEXEXTRACT(A139,""G2-B-(\d+)""),"""")"),"200")</f>
        <v>200</v>
      </c>
      <c r="W139" s="24">
        <f t="shared" si="1"/>
        <v>2</v>
      </c>
      <c r="X139" s="24">
        <f>IFERROR(__xludf.DUMMYFUNCTION("IFERROR(VALUE(REGEXEXTRACT(A139,""\b(\d+)/\d+\b"")),"""")"),1.0)</f>
        <v>1</v>
      </c>
      <c r="Y139" s="24">
        <f>IFERROR(__xludf.DUMMYFUNCTION("IFERROR(VALUE(REGEXEXTRACT(A139,""\b\d+/(\d+)\b"")),"""")
"),1.0)</f>
        <v>1</v>
      </c>
      <c r="Z139" s="24">
        <f t="array" ref="Z139">IFERROR(INDEX(CRV!BU:BU, MATCH(B139, CRV!A:A, 0)), "")</f>
        <v>75</v>
      </c>
      <c r="AA139" s="24">
        <f t="array" ref="AA139">IFERROR(INDEX(CRV!BV:BV, MATCH(B139, CRV!A:A, 0))*X139+4.5*2+7, "")</f>
        <v>149.7</v>
      </c>
      <c r="AB139" s="24" t="str">
        <f t="array" ref="AB139">IFERROR(IF(VALUE(XLOOKUP($B139,CRV!$A:$A,CRV!$BU:$BU))&lt;=5.5,"прямой пуск (DOL)","звезда-треугольник (SD)"),"")</f>
        <v>звезда-треугольник (SD)</v>
      </c>
      <c r="AC139" s="25" t="str">
        <f t="array" ref="AC139">IFERROR(INDEX(CRV!CA:CA, MATCH(B139, CRV!A:A, 0)), "")</f>
        <v>HUBE</v>
      </c>
      <c r="AD139" s="25">
        <f t="array" ref="AD139">IFERROR(AD138-W139*XLOOKUP($B138,CRV!$A:$A,CRV!$BY:$BY)+W139*XLOOKUP($B139,CRV!$A:$A,CRV!$BY:$BY),"ошибка")</f>
        <v>1918</v>
      </c>
      <c r="AE139" s="25" t="s">
        <v>76</v>
      </c>
    </row>
    <row r="140" ht="12.0" customHeight="1">
      <c r="A140" s="30" t="s">
        <v>201</v>
      </c>
      <c r="B140" s="24" t="str">
        <f>IFERROR(__xludf.DUMMYFUNCTION("IFERROR(IF(REGEXMATCH(REGEXEXTRACT(A140,""\bCRV\s*\d+(?:-\d+)+(?:-(?:A?BI|AI|BI))?\b""),""-(?:A?BI|AI|BI)$""),REGEXREPLACE(REGEXEXTRACT(A140,""\bCRV\s*\d+(?:-\d+)+(?:-(?:A?BI|AI|BI))?\b""),""-(A?BI|AI|BI)$"",""C$1""),REGEXEXTRACT(A140,""\bCRV\s*\d+(?:-\d+"&amp;")+(?:-(?:A?BI|AI|BI))?\b"")&amp;""C""),"""")"),"CRV 120-7C")</f>
        <v>CRV 120-7C</v>
      </c>
      <c r="C140" s="28">
        <v>1700.0</v>
      </c>
      <c r="D140" s="28">
        <f t="array" ref="D140">IFERROR(D139-(INDEX(CRV!$BA:$BA,MATCH(B139,CRV!$A:$A,0))+INDEX(CRV!$BB:$BB,MATCH(B139,CRV!$A:$A,0)))+(INDEX(CRV!$BA:$BA,MATCH(B140,CRV!$A:$A,0))+INDEX(CRV!$BB:$BB,MATCH(B140,CRV!$A:$A,0))),"")</f>
        <v>2818</v>
      </c>
      <c r="E140" s="29">
        <v>398.0</v>
      </c>
      <c r="F140" s="29">
        <v>670.0</v>
      </c>
      <c r="G140" s="29">
        <v>748.0</v>
      </c>
      <c r="H140" s="29">
        <v>1964.0</v>
      </c>
      <c r="I140" s="28">
        <f t="shared" si="3"/>
        <v>1418</v>
      </c>
      <c r="J140" s="29">
        <v>2171.0</v>
      </c>
      <c r="K140" s="29">
        <v>1860.0</v>
      </c>
      <c r="L140" s="28">
        <v>548.0</v>
      </c>
      <c r="M140" s="28">
        <v>588.0</v>
      </c>
      <c r="N140" s="29">
        <v>1790.0</v>
      </c>
      <c r="O140" s="29">
        <v>168.0</v>
      </c>
      <c r="P140" s="29" t="s">
        <v>183</v>
      </c>
      <c r="Q140" s="29" t="s">
        <v>170</v>
      </c>
      <c r="R140" s="28">
        <v>1000.0</v>
      </c>
      <c r="S140" s="28">
        <v>800.0</v>
      </c>
      <c r="T140" s="28">
        <v>821.0</v>
      </c>
      <c r="U140" s="29">
        <v>660.0</v>
      </c>
      <c r="V140" s="24" t="str">
        <f>IFERROR(__xludf.DUMMYFUNCTION("IFERROR(REGEXEXTRACT(A140,""G2-B-(\d+)""),"""")"),"200")</f>
        <v>200</v>
      </c>
      <c r="W140" s="24">
        <f t="shared" si="1"/>
        <v>2</v>
      </c>
      <c r="X140" s="24">
        <f>IFERROR(__xludf.DUMMYFUNCTION("IFERROR(VALUE(REGEXEXTRACT(A140,""\b(\d+)/\d+\b"")),"""")"),1.0)</f>
        <v>1</v>
      </c>
      <c r="Y140" s="24">
        <f>IFERROR(__xludf.DUMMYFUNCTION("IFERROR(VALUE(REGEXEXTRACT(A140,""\b\d+/(\d+)\b"")),"""")
"),1.0)</f>
        <v>1</v>
      </c>
      <c r="Z140" s="24">
        <f t="array" ref="Z140">IFERROR(INDEX(CRV!BU:BU, MATCH(B140, CRV!A:A, 0)), "")</f>
        <v>75</v>
      </c>
      <c r="AA140" s="24">
        <f t="array" ref="AA140">IFERROR(INDEX(CRV!BV:BV, MATCH(B140, CRV!A:A, 0))*X140+4.5*2+7, "")</f>
        <v>149.7</v>
      </c>
      <c r="AB140" s="24" t="str">
        <f t="array" ref="AB140">IFERROR(IF(VALUE(XLOOKUP($B140,CRV!$A:$A,CRV!$BU:$BU))&lt;=5.5,"прямой пуск (DOL)","звезда-треугольник (SD)"),"")</f>
        <v>звезда-треугольник (SD)</v>
      </c>
      <c r="AC140" s="25" t="str">
        <f t="array" ref="AC140">IFERROR(INDEX(CRV!CA:CA, MATCH(B140, CRV!A:A, 0)), "")</f>
        <v>HUBE</v>
      </c>
      <c r="AD140" s="25">
        <f t="array" ref="AD140">IFERROR(AD139-W140*XLOOKUP($B139,CRV!$A:$A,CRV!$BY:$BY)+W140*XLOOKUP($B140,CRV!$A:$A,CRV!$BY:$BY),"ошибка")</f>
        <v>1918</v>
      </c>
      <c r="AE140" s="25" t="s">
        <v>76</v>
      </c>
    </row>
    <row r="141" ht="12.0" customHeight="1">
      <c r="A141" s="28"/>
      <c r="B141" s="24" t="str">
        <f>IFERROR(__xludf.DUMMYFUNCTION("IFERROR(IF(REGEXMATCH(REGEXEXTRACT(A141,""\bCRV\s*\d+(?:-\d+)+(?:-(?:A?BI|AI|BI))?\b""),""-(?:A?BI|AI|BI)$""),REGEXREPLACE(REGEXEXTRACT(A141,""\bCRV\s*\d+(?:-\d+)+(?:-(?:A?BI|AI|BI))?\b""),""-(A?BI|AI|BI)$"",""C$1""),REGEXEXTRACT(A141,""\bCRV\s*\d+(?:-\d+"&amp;")+(?:-(?:A?BI|AI|BI))?\b"")&amp;""C""),"""")"),"")</f>
        <v/>
      </c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4"/>
      <c r="W141" s="24" t="str">
        <f t="shared" si="1"/>
        <v/>
      </c>
      <c r="X141" s="24" t="str">
        <f>IFERROR(__xludf.DUMMYFUNCTION("IFERROR(VALUE(REGEXEXTRACT(A141,""\b(\d+)/\d+\b"")),"""")"),"")</f>
        <v/>
      </c>
      <c r="Y141" s="24" t="str">
        <f>IFERROR(__xludf.DUMMYFUNCTION("IFERROR(VALUE(REGEXEXTRACT(A141,""\b\d+/(\d+)\b"")),"""")
"),"")</f>
        <v/>
      </c>
      <c r="Z141" s="24" t="str">
        <f t="array" ref="Z141">IFERROR(INDEX(CRV!BU:BU, MATCH(B141, CRV!A:A, 0)), "")</f>
        <v/>
      </c>
      <c r="AA141" s="24" t="str">
        <f t="array" ref="AA141">IFERROR(INDEX(CRV!BV:BV, MATCH(B141, CRV!A:A, 0))*X141+4.5*2+7, "")</f>
        <v/>
      </c>
      <c r="AB141" s="24" t="str">
        <f t="array" ref="AB141">IFERROR(IF(VALUE(XLOOKUP($B141,CRV!$A:$A,CRV!$BU:$BU))&lt;=5.5,"прямой пуск (DOL)","звезда-треугольник (SD)"),"")</f>
        <v/>
      </c>
      <c r="AC141" s="25" t="str">
        <f t="array" ref="AC141">IFERROR(INDEX(CRV!CA:CA, MATCH(B141, CRV!A:A, 0)), "")</f>
        <v/>
      </c>
      <c r="AD141" s="28"/>
      <c r="AE141" s="28"/>
    </row>
    <row r="142" ht="12.0" customHeight="1">
      <c r="A142" s="30" t="s">
        <v>202</v>
      </c>
      <c r="B142" s="24" t="str">
        <f>IFERROR(__xludf.DUMMYFUNCTION("IFERROR(IF(REGEXMATCH(REGEXEXTRACT(A142,""\bCRV\s*\d+(?:-\d+)+(?:-(?:A?BI|AI|BI))?\b""),""-(?:A?BI|AI|BI)$""),REGEXREPLACE(REGEXEXTRACT(A142,""\bCRV\s*\d+(?:-\d+)+(?:-(?:A?BI|AI|BI))?\b""),""-(A?BI|AI|BI)$"",""C$1""),REGEXEXTRACT(A142,""\bCRV\s*\d+(?:-\d+"&amp;")+(?:-(?:A?BI|AI|BI))?\b"")&amp;""C""),"""")"),"CRV 150-1-1C")</f>
        <v>CRV 150-1-1C</v>
      </c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4"/>
      <c r="W142" s="24">
        <f t="shared" si="1"/>
        <v>2</v>
      </c>
      <c r="X142" s="24">
        <f>IFERROR(__xludf.DUMMYFUNCTION("IFERROR(VALUE(REGEXEXTRACT(A142,""\b(\d+)/\d+\b"")),"""")"),1.0)</f>
        <v>1</v>
      </c>
      <c r="Y142" s="24">
        <f>IFERROR(__xludf.DUMMYFUNCTION("IFERROR(VALUE(REGEXEXTRACT(A142,""\b\d+/(\d+)\b"")),"""")
"),1.0)</f>
        <v>1</v>
      </c>
      <c r="Z142" s="24">
        <f t="array" ref="Z142">IFERROR(INDEX(CRV!BU:BU, MATCH(B142, CRV!A:A, 0)), "")</f>
        <v>11</v>
      </c>
      <c r="AA142" s="24">
        <f t="array" ref="AA142">IFERROR(INDEX(CRV!BV:BV, MATCH(B142, CRV!A:A, 0))*X142+4.5*2+7, "")</f>
        <v>36.6</v>
      </c>
      <c r="AB142" s="24" t="str">
        <f t="array" ref="AB142">IFERROR(IF(VALUE(XLOOKUP($B142,CRV!$A:$A,CRV!$BU:$BU))&lt;=5.5,"прямой пуск (DOL)","звезда-треугольник (SD)"),"")</f>
        <v>звезда-треугольник (SD)</v>
      </c>
      <c r="AC142" s="25" t="str">
        <f t="array" ref="AC142">IFERROR(INDEX(CRV!CA:CA, MATCH(B142, CRV!A:A, 0)), "")</f>
        <v>HUBE</v>
      </c>
      <c r="AD142" s="28"/>
      <c r="AE142" s="25" t="s">
        <v>76</v>
      </c>
    </row>
    <row r="143" ht="12.0" customHeight="1">
      <c r="A143" s="30" t="s">
        <v>203</v>
      </c>
      <c r="B143" s="24" t="str">
        <f>IFERROR(__xludf.DUMMYFUNCTION("IFERROR(IF(REGEXMATCH(REGEXEXTRACT(A143,""\bCRV\s*\d+(?:-\d+)+(?:-(?:A?BI|AI|BI))?\b""),""-(?:A?BI|AI|BI)$""),REGEXREPLACE(REGEXEXTRACT(A143,""\bCRV\s*\d+(?:-\d+)+(?:-(?:A?BI|AI|BI))?\b""),""-(A?BI|AI|BI)$"",""C$1""),REGEXEXTRACT(A143,""\bCRV\s*\d+(?:-\d+"&amp;")+(?:-(?:A?BI|AI|BI))?\b"")&amp;""C""),"""")"),"CRV 150-1C")</f>
        <v>CRV 150-1C</v>
      </c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4"/>
      <c r="W143" s="24">
        <f t="shared" si="1"/>
        <v>2</v>
      </c>
      <c r="X143" s="24">
        <f>IFERROR(__xludf.DUMMYFUNCTION("IFERROR(VALUE(REGEXEXTRACT(A143,""\b(\d+)/\d+\b"")),"""")"),1.0)</f>
        <v>1</v>
      </c>
      <c r="Y143" s="24">
        <f>IFERROR(__xludf.DUMMYFUNCTION("IFERROR(VALUE(REGEXEXTRACT(A143,""\b\d+/(\d+)\b"")),"""")
"),1.0)</f>
        <v>1</v>
      </c>
      <c r="Z143" s="24">
        <f t="array" ref="Z143">IFERROR(INDEX(CRV!BU:BU, MATCH(B143, CRV!A:A, 0)), "")</f>
        <v>15</v>
      </c>
      <c r="AA143" s="24">
        <f t="array" ref="AA143">IFERROR(INDEX(CRV!BV:BV, MATCH(B143, CRV!A:A, 0))*X143+4.5*2+7, "")</f>
        <v>43.9</v>
      </c>
      <c r="AB143" s="24" t="str">
        <f t="array" ref="AB143">IFERROR(IF(VALUE(XLOOKUP($B143,CRV!$A:$A,CRV!$BU:$BU))&lt;=5.5,"прямой пуск (DOL)","звезда-треугольник (SD)"),"")</f>
        <v>звезда-треугольник (SD)</v>
      </c>
      <c r="AC143" s="25" t="str">
        <f t="array" ref="AC143">IFERROR(INDEX(CRV!CA:CA, MATCH(B143, CRV!A:A, 0)), "")</f>
        <v>HUBE</v>
      </c>
      <c r="AD143" s="28"/>
      <c r="AE143" s="25" t="s">
        <v>76</v>
      </c>
    </row>
    <row r="144" ht="12.0" customHeight="1">
      <c r="A144" s="30" t="s">
        <v>204</v>
      </c>
      <c r="B144" s="24" t="str">
        <f>IFERROR(__xludf.DUMMYFUNCTION("IFERROR(IF(REGEXMATCH(REGEXEXTRACT(A144,""\bCRV\s*\d+(?:-\d+)+(?:-(?:A?BI|AI|BI))?\b""),""-(?:A?BI|AI|BI)$""),REGEXREPLACE(REGEXEXTRACT(A144,""\bCRV\s*\d+(?:-\d+)+(?:-(?:A?BI|AI|BI))?\b""),""-(A?BI|AI|BI)$"",""C$1""),REGEXEXTRACT(A144,""\bCRV\s*\d+(?:-\d+"&amp;")+(?:-(?:A?BI|AI|BI))?\b"")&amp;""C""),"""")"),"CRV 150-2-2C")</f>
        <v>CRV 150-2-2C</v>
      </c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4"/>
      <c r="W144" s="24">
        <f t="shared" si="1"/>
        <v>2</v>
      </c>
      <c r="X144" s="24">
        <f>IFERROR(__xludf.DUMMYFUNCTION("IFERROR(VALUE(REGEXEXTRACT(A144,""\b(\d+)/\d+\b"")),"""")"),1.0)</f>
        <v>1</v>
      </c>
      <c r="Y144" s="24">
        <f>IFERROR(__xludf.DUMMYFUNCTION("IFERROR(VALUE(REGEXEXTRACT(A144,""\b\d+/(\d+)\b"")),"""")
"),1.0)</f>
        <v>1</v>
      </c>
      <c r="Z144" s="24">
        <f t="array" ref="Z144">IFERROR(INDEX(CRV!BU:BU, MATCH(B144, CRV!A:A, 0)), "")</f>
        <v>22</v>
      </c>
      <c r="AA144" s="24">
        <f t="array" ref="AA144">IFERROR(INDEX(CRV!BV:BV, MATCH(B144, CRV!A:A, 0))*X144+4.5*2+7, "")</f>
        <v>56.5</v>
      </c>
      <c r="AB144" s="24" t="str">
        <f t="array" ref="AB144">IFERROR(IF(VALUE(XLOOKUP($B144,CRV!$A:$A,CRV!$BU:$BU))&lt;=5.5,"прямой пуск (DOL)","звезда-треугольник (SD)"),"")</f>
        <v>звезда-треугольник (SD)</v>
      </c>
      <c r="AC144" s="25" t="str">
        <f t="array" ref="AC144">IFERROR(INDEX(CRV!CA:CA, MATCH(B144, CRV!A:A, 0)), "")</f>
        <v>HUBE</v>
      </c>
      <c r="AD144" s="28"/>
      <c r="AE144" s="25" t="s">
        <v>76</v>
      </c>
    </row>
    <row r="145" ht="12.0" customHeight="1">
      <c r="A145" s="30" t="s">
        <v>205</v>
      </c>
      <c r="B145" s="24" t="str">
        <f>IFERROR(__xludf.DUMMYFUNCTION("IFERROR(IF(REGEXMATCH(REGEXEXTRACT(A145,""\bCRV\s*\d+(?:-\d+)+(?:-(?:A?BI|AI|BI))?\b""),""-(?:A?BI|AI|BI)$""),REGEXREPLACE(REGEXEXTRACT(A145,""\bCRV\s*\d+(?:-\d+)+(?:-(?:A?BI|AI|BI))?\b""),""-(A?BI|AI|BI)$"",""C$1""),REGEXEXTRACT(A145,""\bCRV\s*\d+(?:-\d+"&amp;")+(?:-(?:A?BI|AI|BI))?\b"")&amp;""C""),"""")"),"CRV 150-2-1C")</f>
        <v>CRV 150-2-1C</v>
      </c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4"/>
      <c r="W145" s="24">
        <f t="shared" si="1"/>
        <v>2</v>
      </c>
      <c r="X145" s="24">
        <f>IFERROR(__xludf.DUMMYFUNCTION("IFERROR(VALUE(REGEXEXTRACT(A145,""\b(\d+)/\d+\b"")),"""")"),1.0)</f>
        <v>1</v>
      </c>
      <c r="Y145" s="24">
        <f>IFERROR(__xludf.DUMMYFUNCTION("IFERROR(VALUE(REGEXEXTRACT(A145,""\b\d+/(\d+)\b"")),"""")
"),1.0)</f>
        <v>1</v>
      </c>
      <c r="Z145" s="24">
        <f t="array" ref="Z145">IFERROR(INDEX(CRV!BU:BU, MATCH(B145, CRV!A:A, 0)), "")</f>
        <v>22</v>
      </c>
      <c r="AA145" s="24">
        <f t="array" ref="AA145">IFERROR(INDEX(CRV!BV:BV, MATCH(B145, CRV!A:A, 0))*X145+4.5*2+7, "")</f>
        <v>56.5</v>
      </c>
      <c r="AB145" s="24" t="str">
        <f t="array" ref="AB145">IFERROR(IF(VALUE(XLOOKUP($B145,CRV!$A:$A,CRV!$BU:$BU))&lt;=5.5,"прямой пуск (DOL)","звезда-треугольник (SD)"),"")</f>
        <v>звезда-треугольник (SD)</v>
      </c>
      <c r="AC145" s="25" t="str">
        <f t="array" ref="AC145">IFERROR(INDEX(CRV!CA:CA, MATCH(B145, CRV!A:A, 0)), "")</f>
        <v>HUBE</v>
      </c>
      <c r="AD145" s="28"/>
      <c r="AE145" s="25" t="s">
        <v>76</v>
      </c>
    </row>
    <row r="146" ht="12.0" customHeight="1">
      <c r="A146" s="30" t="s">
        <v>206</v>
      </c>
      <c r="B146" s="24" t="str">
        <f>IFERROR(__xludf.DUMMYFUNCTION("IFERROR(IF(REGEXMATCH(REGEXEXTRACT(A146,""\bCRV\s*\d+(?:-\d+)+(?:-(?:A?BI|AI|BI))?\b""),""-(?:A?BI|AI|BI)$""),REGEXREPLACE(REGEXEXTRACT(A146,""\bCRV\s*\d+(?:-\d+)+(?:-(?:A?BI|AI|BI))?\b""),""-(A?BI|AI|BI)$"",""C$1""),REGEXEXTRACT(A146,""\bCRV\s*\d+(?:-\d+"&amp;")+(?:-(?:A?BI|AI|BI))?\b"")&amp;""C""),"""")"),"CRV 150-2C")</f>
        <v>CRV 150-2C</v>
      </c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4"/>
      <c r="W146" s="24">
        <f t="shared" si="1"/>
        <v>2</v>
      </c>
      <c r="X146" s="24">
        <f>IFERROR(__xludf.DUMMYFUNCTION("IFERROR(VALUE(REGEXEXTRACT(A146,""\b(\d+)/\d+\b"")),"""")"),1.0)</f>
        <v>1</v>
      </c>
      <c r="Y146" s="24">
        <f>IFERROR(__xludf.DUMMYFUNCTION("IFERROR(VALUE(REGEXEXTRACT(A146,""\b\d+/(\d+)\b"")),"""")
"),1.0)</f>
        <v>1</v>
      </c>
      <c r="Z146" s="24" t="str">
        <f t="array" ref="Z146">IFERROR(INDEX(CRV!BU:BU, MATCH(B146, CRV!A:A, 0)), "")</f>
        <v/>
      </c>
      <c r="AA146" s="24" t="str">
        <f t="array" ref="AA146">IFERROR(INDEX(CRV!BV:BV, MATCH(B146, CRV!A:A, 0))*X146+4.5*2+7, "")</f>
        <v/>
      </c>
      <c r="AB146" s="24" t="str">
        <f t="array" ref="AB146">IFERROR(IF(VALUE(XLOOKUP($B146,CRV!$A:$A,CRV!$BU:$BU))&lt;=5.5,"прямой пуск (DOL)","звезда-треугольник (SD)"),"")</f>
        <v/>
      </c>
      <c r="AC146" s="25" t="str">
        <f t="array" ref="AC146">IFERROR(INDEX(CRV!CA:CA, MATCH(B146, CRV!A:A, 0)), "")</f>
        <v/>
      </c>
      <c r="AD146" s="28"/>
      <c r="AE146" s="28"/>
    </row>
    <row r="147" ht="12.0" customHeight="1">
      <c r="A147" s="30" t="s">
        <v>207</v>
      </c>
      <c r="B147" s="24" t="str">
        <f>IFERROR(__xludf.DUMMYFUNCTION("IFERROR(IF(REGEXMATCH(REGEXEXTRACT(A147,""\bCRV\s*\d+(?:-\d+)+(?:-(?:A?BI|AI|BI))?\b""),""-(?:A?BI|AI|BI)$""),REGEXREPLACE(REGEXEXTRACT(A147,""\bCRV\s*\d+(?:-\d+)+(?:-(?:A?BI|AI|BI))?\b""),""-(A?BI|AI|BI)$"",""C$1""),REGEXEXTRACT(A147,""\bCRV\s*\d+(?:-\d+"&amp;")+(?:-(?:A?BI|AI|BI))?\b"")&amp;""C""),"""")"),"CRV 150-3-2C")</f>
        <v>CRV 150-3-2C</v>
      </c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4"/>
      <c r="W147" s="24">
        <f t="shared" si="1"/>
        <v>2</v>
      </c>
      <c r="X147" s="24">
        <f>IFERROR(__xludf.DUMMYFUNCTION("IFERROR(VALUE(REGEXEXTRACT(A147,""\b(\d+)/\d+\b"")),"""")"),1.0)</f>
        <v>1</v>
      </c>
      <c r="Y147" s="24">
        <f>IFERROR(__xludf.DUMMYFUNCTION("IFERROR(VALUE(REGEXEXTRACT(A147,""\b\d+/(\d+)\b"")),"""")
"),1.0)</f>
        <v>1</v>
      </c>
      <c r="Z147" s="24">
        <f t="array" ref="Z147">IFERROR(INDEX(CRV!BU:BU, MATCH(B147, CRV!A:A, 0)), "")</f>
        <v>30</v>
      </c>
      <c r="AA147" s="24">
        <f t="array" ref="AA147">IFERROR(INDEX(CRV!BV:BV, MATCH(B147, CRV!A:A, 0))*X147+4.5*2+7, "")</f>
        <v>70.9</v>
      </c>
      <c r="AB147" s="24" t="str">
        <f t="array" ref="AB147">IFERROR(IF(VALUE(XLOOKUP($B147,CRV!$A:$A,CRV!$BU:$BU))&lt;=5.5,"прямой пуск (DOL)","звезда-треугольник (SD)"),"")</f>
        <v>звезда-треугольник (SD)</v>
      </c>
      <c r="AC147" s="25" t="str">
        <f t="array" ref="AC147">IFERROR(INDEX(CRV!CA:CA, MATCH(B147, CRV!A:A, 0)), "")</f>
        <v>HUBE</v>
      </c>
      <c r="AD147" s="28"/>
      <c r="AE147" s="25" t="s">
        <v>76</v>
      </c>
    </row>
    <row r="148" ht="12.0" customHeight="1">
      <c r="A148" s="30" t="s">
        <v>208</v>
      </c>
      <c r="B148" s="24" t="str">
        <f>IFERROR(__xludf.DUMMYFUNCTION("IFERROR(IF(REGEXMATCH(REGEXEXTRACT(A148,""\bCRV\s*\d+(?:-\d+)+(?:-(?:A?BI|AI|BI))?\b""),""-(?:A?BI|AI|BI)$""),REGEXREPLACE(REGEXEXTRACT(A148,""\bCRV\s*\d+(?:-\d+)+(?:-(?:A?BI|AI|BI))?\b""),""-(A?BI|AI|BI)$"",""C$1""),REGEXEXTRACT(A148,""\bCRV\s*\d+(?:-\d+"&amp;")+(?:-(?:A?BI|AI|BI))?\b"")&amp;""C""),"""")"),"CRV 150-3-1C")</f>
        <v>CRV 150-3-1C</v>
      </c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4"/>
      <c r="W148" s="24">
        <f t="shared" si="1"/>
        <v>2</v>
      </c>
      <c r="X148" s="24">
        <f>IFERROR(__xludf.DUMMYFUNCTION("IFERROR(VALUE(REGEXEXTRACT(A148,""\b(\d+)/\d+\b"")),"""")"),1.0)</f>
        <v>1</v>
      </c>
      <c r="Y148" s="24">
        <f>IFERROR(__xludf.DUMMYFUNCTION("IFERROR(VALUE(REGEXEXTRACT(A148,""\b\d+/(\d+)\b"")),"""")
"),1.0)</f>
        <v>1</v>
      </c>
      <c r="Z148" s="24">
        <f t="array" ref="Z148">IFERROR(INDEX(CRV!BU:BU, MATCH(B148, CRV!A:A, 0)), "")</f>
        <v>37</v>
      </c>
      <c r="AA148" s="24">
        <f t="array" ref="AA148">IFERROR(INDEX(CRV!BV:BV, MATCH(B148, CRV!A:A, 0))*X148+4.5*2+7, "")</f>
        <v>83.4</v>
      </c>
      <c r="AB148" s="24" t="str">
        <f t="array" ref="AB148">IFERROR(IF(VALUE(XLOOKUP($B148,CRV!$A:$A,CRV!$BU:$BU))&lt;=5.5,"прямой пуск (DOL)","звезда-треугольник (SD)"),"")</f>
        <v>звезда-треугольник (SD)</v>
      </c>
      <c r="AC148" s="25" t="str">
        <f t="array" ref="AC148">IFERROR(INDEX(CRV!CA:CA, MATCH(B148, CRV!A:A, 0)), "")</f>
        <v>HUBE</v>
      </c>
      <c r="AD148" s="28"/>
      <c r="AE148" s="25" t="s">
        <v>76</v>
      </c>
    </row>
    <row r="149" ht="12.0" customHeight="1">
      <c r="A149" s="30" t="s">
        <v>209</v>
      </c>
      <c r="B149" s="24" t="str">
        <f>IFERROR(__xludf.DUMMYFUNCTION("IFERROR(IF(REGEXMATCH(REGEXEXTRACT(A149,""\bCRV\s*\d+(?:-\d+)+(?:-(?:A?BI|AI|BI))?\b""),""-(?:A?BI|AI|BI)$""),REGEXREPLACE(REGEXEXTRACT(A149,""\bCRV\s*\d+(?:-\d+)+(?:-(?:A?BI|AI|BI))?\b""),""-(A?BI|AI|BI)$"",""C$1""),REGEXEXTRACT(A149,""\bCRV\s*\d+(?:-\d+"&amp;")+(?:-(?:A?BI|AI|BI))?\b"")&amp;""C""),"""")"),"CRV 150-3C")</f>
        <v>CRV 150-3C</v>
      </c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4"/>
      <c r="W149" s="24">
        <f t="shared" si="1"/>
        <v>2</v>
      </c>
      <c r="X149" s="24">
        <f>IFERROR(__xludf.DUMMYFUNCTION("IFERROR(VALUE(REGEXEXTRACT(A149,""\b(\d+)/\d+\b"")),"""")"),1.0)</f>
        <v>1</v>
      </c>
      <c r="Y149" s="24">
        <f>IFERROR(__xludf.DUMMYFUNCTION("IFERROR(VALUE(REGEXEXTRACT(A149,""\b\d+/(\d+)\b"")),"""")
"),1.0)</f>
        <v>1</v>
      </c>
      <c r="Z149" s="24">
        <f t="array" ref="Z149">IFERROR(INDEX(CRV!BU:BU, MATCH(B149, CRV!A:A, 0)), "")</f>
        <v>37</v>
      </c>
      <c r="AA149" s="24">
        <f t="array" ref="AA149">IFERROR(INDEX(CRV!BV:BV, MATCH(B149, CRV!A:A, 0))*X149+4.5*2+7, "")</f>
        <v>83.4</v>
      </c>
      <c r="AB149" s="24" t="str">
        <f t="array" ref="AB149">IFERROR(IF(VALUE(XLOOKUP($B149,CRV!$A:$A,CRV!$BU:$BU))&lt;=5.5,"прямой пуск (DOL)","звезда-треугольник (SD)"),"")</f>
        <v>звезда-треугольник (SD)</v>
      </c>
      <c r="AC149" s="25" t="str">
        <f t="array" ref="AC149">IFERROR(INDEX(CRV!CA:CA, MATCH(B149, CRV!A:A, 0)), "")</f>
        <v>HUBE</v>
      </c>
      <c r="AD149" s="28"/>
      <c r="AE149" s="25" t="s">
        <v>76</v>
      </c>
    </row>
    <row r="150" ht="12.0" customHeight="1">
      <c r="A150" s="30" t="s">
        <v>210</v>
      </c>
      <c r="B150" s="24" t="str">
        <f>IFERROR(__xludf.DUMMYFUNCTION("IFERROR(IF(REGEXMATCH(REGEXEXTRACT(A150,""\bCRV\s*\d+(?:-\d+)+(?:-(?:A?BI|AI|BI))?\b""),""-(?:A?BI|AI|BI)$""),REGEXREPLACE(REGEXEXTRACT(A150,""\bCRV\s*\d+(?:-\d+)+(?:-(?:A?BI|AI|BI))?\b""),""-(A?BI|AI|BI)$"",""C$1""),REGEXEXTRACT(A150,""\bCRV\s*\d+(?:-\d+"&amp;")+(?:-(?:A?BI|AI|BI))?\b"")&amp;""C""),"""")"),"CRV 150-4-2C")</f>
        <v>CRV 150-4-2C</v>
      </c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4"/>
      <c r="W150" s="24">
        <f t="shared" si="1"/>
        <v>2</v>
      </c>
      <c r="X150" s="24">
        <f>IFERROR(__xludf.DUMMYFUNCTION("IFERROR(VALUE(REGEXEXTRACT(A150,""\b(\d+)/\d+\b"")),"""")"),1.0)</f>
        <v>1</v>
      </c>
      <c r="Y150" s="24">
        <f>IFERROR(__xludf.DUMMYFUNCTION("IFERROR(VALUE(REGEXEXTRACT(A150,""\b\d+/(\d+)\b"")),"""")
"),1.0)</f>
        <v>1</v>
      </c>
      <c r="Z150" s="24">
        <f t="array" ref="Z150">IFERROR(INDEX(CRV!BU:BU, MATCH(B150, CRV!A:A, 0)), "")</f>
        <v>45</v>
      </c>
      <c r="AA150" s="24">
        <f t="array" ref="AA150">IFERROR(INDEX(CRV!BV:BV, MATCH(B150, CRV!A:A, 0))*X150+4.5*2+7, "")</f>
        <v>96.8</v>
      </c>
      <c r="AB150" s="24" t="str">
        <f t="array" ref="AB150">IFERROR(IF(VALUE(XLOOKUP($B150,CRV!$A:$A,CRV!$BU:$BU))&lt;=5.5,"прямой пуск (DOL)","звезда-треугольник (SD)"),"")</f>
        <v>звезда-треугольник (SD)</v>
      </c>
      <c r="AC150" s="25" t="str">
        <f t="array" ref="AC150">IFERROR(INDEX(CRV!CA:CA, MATCH(B150, CRV!A:A, 0)), "")</f>
        <v>HUBE</v>
      </c>
      <c r="AD150" s="28"/>
      <c r="AE150" s="25" t="s">
        <v>76</v>
      </c>
    </row>
    <row r="151" ht="12.0" customHeight="1">
      <c r="A151" s="30" t="s">
        <v>211</v>
      </c>
      <c r="B151" s="24" t="str">
        <f>IFERROR(__xludf.DUMMYFUNCTION("IFERROR(IF(REGEXMATCH(REGEXEXTRACT(A151,""\bCRV\s*\d+(?:-\d+)+(?:-(?:A?BI|AI|BI))?\b""),""-(?:A?BI|AI|BI)$""),REGEXREPLACE(REGEXEXTRACT(A151,""\bCRV\s*\d+(?:-\d+)+(?:-(?:A?BI|AI|BI))?\b""),""-(A?BI|AI|BI)$"",""C$1""),REGEXEXTRACT(A151,""\bCRV\s*\d+(?:-\d+"&amp;")+(?:-(?:A?BI|AI|BI))?\b"")&amp;""C""),"""")"),"CRV 150-4-1C")</f>
        <v>CRV 150-4-1C</v>
      </c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4"/>
      <c r="W151" s="24">
        <f t="shared" si="1"/>
        <v>2</v>
      </c>
      <c r="X151" s="24">
        <f>IFERROR(__xludf.DUMMYFUNCTION("IFERROR(VALUE(REGEXEXTRACT(A151,""\b(\d+)/\d+\b"")),"""")"),1.0)</f>
        <v>1</v>
      </c>
      <c r="Y151" s="24">
        <f>IFERROR(__xludf.DUMMYFUNCTION("IFERROR(VALUE(REGEXEXTRACT(A151,""\b\d+/(\d+)\b"")),"""")
"),1.0)</f>
        <v>1</v>
      </c>
      <c r="Z151" s="24">
        <f t="array" ref="Z151">IFERROR(INDEX(CRV!BU:BU, MATCH(B151, CRV!A:A, 0)), "")</f>
        <v>45</v>
      </c>
      <c r="AA151" s="24">
        <f t="array" ref="AA151">IFERROR(INDEX(CRV!BV:BV, MATCH(B151, CRV!A:A, 0))*X151+4.5*2+7, "")</f>
        <v>96.8</v>
      </c>
      <c r="AB151" s="24" t="str">
        <f t="array" ref="AB151">IFERROR(IF(VALUE(XLOOKUP($B151,CRV!$A:$A,CRV!$BU:$BU))&lt;=5.5,"прямой пуск (DOL)","звезда-треугольник (SD)"),"")</f>
        <v>звезда-треугольник (SD)</v>
      </c>
      <c r="AC151" s="25" t="str">
        <f t="array" ref="AC151">IFERROR(INDEX(CRV!CA:CA, MATCH(B151, CRV!A:A, 0)), "")</f>
        <v>HUBE</v>
      </c>
      <c r="AD151" s="28"/>
      <c r="AE151" s="25" t="s">
        <v>76</v>
      </c>
    </row>
    <row r="152" ht="12.0" customHeight="1">
      <c r="A152" s="30" t="s">
        <v>212</v>
      </c>
      <c r="B152" s="24" t="str">
        <f>IFERROR(__xludf.DUMMYFUNCTION("IFERROR(IF(REGEXMATCH(REGEXEXTRACT(A152,""\bCRV\s*\d+(?:-\d+)+(?:-(?:A?BI|AI|BI))?\b""),""-(?:A?BI|AI|BI)$""),REGEXREPLACE(REGEXEXTRACT(A152,""\bCRV\s*\d+(?:-\d+)+(?:-(?:A?BI|AI|BI))?\b""),""-(A?BI|AI|BI)$"",""C$1""),REGEXEXTRACT(A152,""\bCRV\s*\d+(?:-\d+"&amp;")+(?:-(?:A?BI|AI|BI))?\b"")&amp;""C""),"""")"),"CRV 150-4C")</f>
        <v>CRV 150-4C</v>
      </c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4"/>
      <c r="W152" s="24">
        <f t="shared" si="1"/>
        <v>2</v>
      </c>
      <c r="X152" s="24">
        <f>IFERROR(__xludf.DUMMYFUNCTION("IFERROR(VALUE(REGEXEXTRACT(A152,""\b(\d+)/\d+\b"")),"""")"),1.0)</f>
        <v>1</v>
      </c>
      <c r="Y152" s="24">
        <f>IFERROR(__xludf.DUMMYFUNCTION("IFERROR(VALUE(REGEXEXTRACT(A152,""\b\d+/(\d+)\b"")),"""")
"),1.0)</f>
        <v>1</v>
      </c>
      <c r="Z152" s="24">
        <f t="array" ref="Z152">IFERROR(INDEX(CRV!BU:BU, MATCH(B152, CRV!A:A, 0)), "")</f>
        <v>55</v>
      </c>
      <c r="AA152" s="24">
        <f t="array" ref="AA152">IFERROR(INDEX(CRV!BV:BV, MATCH(B152, CRV!A:A, 0))*X152+4.5*2+7, "")</f>
        <v>114.5</v>
      </c>
      <c r="AB152" s="24" t="str">
        <f t="array" ref="AB152">IFERROR(IF(VALUE(XLOOKUP($B152,CRV!$A:$A,CRV!$BU:$BU))&lt;=5.5,"прямой пуск (DOL)","звезда-треугольник (SD)"),"")</f>
        <v>звезда-треугольник (SD)</v>
      </c>
      <c r="AC152" s="25" t="str">
        <f t="array" ref="AC152">IFERROR(INDEX(CRV!CA:CA, MATCH(B152, CRV!A:A, 0)), "")</f>
        <v>HUBE</v>
      </c>
      <c r="AD152" s="28"/>
      <c r="AE152" s="25" t="s">
        <v>76</v>
      </c>
    </row>
    <row r="153" ht="12.0" customHeight="1">
      <c r="A153" s="30" t="s">
        <v>213</v>
      </c>
      <c r="B153" s="24" t="str">
        <f>IFERROR(__xludf.DUMMYFUNCTION("IFERROR(IF(REGEXMATCH(REGEXEXTRACT(A153,""\bCRV\s*\d+(?:-\d+)+(?:-(?:A?BI|AI|BI))?\b""),""-(?:A?BI|AI|BI)$""),REGEXREPLACE(REGEXEXTRACT(A153,""\bCRV\s*\d+(?:-\d+)+(?:-(?:A?BI|AI|BI))?\b""),""-(A?BI|AI|BI)$"",""C$1""),REGEXEXTRACT(A153,""\bCRV\s*\d+(?:-\d+"&amp;")+(?:-(?:A?BI|AI|BI))?\b"")&amp;""C""),"""")"),"CRV 150-5-2C")</f>
        <v>CRV 150-5-2C</v>
      </c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4"/>
      <c r="W153" s="24">
        <f t="shared" si="1"/>
        <v>2</v>
      </c>
      <c r="X153" s="24">
        <f>IFERROR(__xludf.DUMMYFUNCTION("IFERROR(VALUE(REGEXEXTRACT(A153,""\b(\d+)/\d+\b"")),"""")"),1.0)</f>
        <v>1</v>
      </c>
      <c r="Y153" s="24">
        <f>IFERROR(__xludf.DUMMYFUNCTION("IFERROR(VALUE(REGEXEXTRACT(A153,""\b\d+/(\d+)\b"")),"""")
"),1.0)</f>
        <v>1</v>
      </c>
      <c r="Z153" s="24">
        <f t="array" ref="Z153">IFERROR(INDEX(CRV!BU:BU, MATCH(B153, CRV!A:A, 0)), "")</f>
        <v>55</v>
      </c>
      <c r="AA153" s="24">
        <f t="array" ref="AA153">IFERROR(INDEX(CRV!BV:BV, MATCH(B153, CRV!A:A, 0))*X153+4.5*2+7, "")</f>
        <v>114.5</v>
      </c>
      <c r="AB153" s="24" t="str">
        <f t="array" ref="AB153">IFERROR(IF(VALUE(XLOOKUP($B153,CRV!$A:$A,CRV!$BU:$BU))&lt;=5.5,"прямой пуск (DOL)","звезда-треугольник (SD)"),"")</f>
        <v>звезда-треугольник (SD)</v>
      </c>
      <c r="AC153" s="25" t="str">
        <f t="array" ref="AC153">IFERROR(INDEX(CRV!CA:CA, MATCH(B153, CRV!A:A, 0)), "")</f>
        <v>HUBE</v>
      </c>
      <c r="AD153" s="28"/>
      <c r="AE153" s="25" t="s">
        <v>76</v>
      </c>
    </row>
    <row r="154" ht="12.0" customHeight="1">
      <c r="A154" s="30" t="s">
        <v>214</v>
      </c>
      <c r="B154" s="24" t="str">
        <f>IFERROR(__xludf.DUMMYFUNCTION("IFERROR(IF(REGEXMATCH(REGEXEXTRACT(A154,""\bCRV\s*\d+(?:-\d+)+(?:-(?:A?BI|AI|BI))?\b""),""-(?:A?BI|AI|BI)$""),REGEXREPLACE(REGEXEXTRACT(A154,""\bCRV\s*\d+(?:-\d+)+(?:-(?:A?BI|AI|BI))?\b""),""-(A?BI|AI|BI)$"",""C$1""),REGEXEXTRACT(A154,""\bCRV\s*\d+(?:-\d+"&amp;")+(?:-(?:A?BI|AI|BI))?\b"")&amp;""C""),"""")"),"CRV 150-5-1C")</f>
        <v>CRV 150-5-1C</v>
      </c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4"/>
      <c r="W154" s="24">
        <f t="shared" si="1"/>
        <v>2</v>
      </c>
      <c r="X154" s="24">
        <f>IFERROR(__xludf.DUMMYFUNCTION("IFERROR(VALUE(REGEXEXTRACT(A154,""\b(\d+)/\d+\b"")),"""")"),1.0)</f>
        <v>1</v>
      </c>
      <c r="Y154" s="24">
        <f>IFERROR(__xludf.DUMMYFUNCTION("IFERROR(VALUE(REGEXEXTRACT(A154,""\b\d+/(\d+)\b"")),"""")
"),1.0)</f>
        <v>1</v>
      </c>
      <c r="Z154" s="24">
        <f t="array" ref="Z154">IFERROR(INDEX(CRV!BU:BU, MATCH(B154, CRV!A:A, 0)), "")</f>
        <v>75</v>
      </c>
      <c r="AA154" s="24">
        <f t="array" ref="AA154">IFERROR(INDEX(CRV!BV:BV, MATCH(B154, CRV!A:A, 0))*X154+4.5*2+7, "")</f>
        <v>149.7</v>
      </c>
      <c r="AB154" s="24" t="str">
        <f t="array" ref="AB154">IFERROR(IF(VALUE(XLOOKUP($B154,CRV!$A:$A,CRV!$BU:$BU))&lt;=5.5,"прямой пуск (DOL)","звезда-треугольник (SD)"),"")</f>
        <v>звезда-треугольник (SD)</v>
      </c>
      <c r="AC154" s="25" t="str">
        <f t="array" ref="AC154">IFERROR(INDEX(CRV!CA:CA, MATCH(B154, CRV!A:A, 0)), "")</f>
        <v>HUBE</v>
      </c>
      <c r="AD154" s="28"/>
      <c r="AE154" s="25" t="s">
        <v>76</v>
      </c>
    </row>
    <row r="155" ht="12.0" customHeight="1">
      <c r="A155" s="30" t="s">
        <v>215</v>
      </c>
      <c r="B155" s="24" t="str">
        <f>IFERROR(__xludf.DUMMYFUNCTION("IFERROR(IF(REGEXMATCH(REGEXEXTRACT(A155,""\bCRV\s*\d+(?:-\d+)+(?:-(?:A?BI|AI|BI))?\b""),""-(?:A?BI|AI|BI)$""),REGEXREPLACE(REGEXEXTRACT(A155,""\bCRV\s*\d+(?:-\d+)+(?:-(?:A?BI|AI|BI))?\b""),""-(A?BI|AI|BI)$"",""C$1""),REGEXEXTRACT(A155,""\bCRV\s*\d+(?:-\d+"&amp;")+(?:-(?:A?BI|AI|BI))?\b"")&amp;""C""),"""")"),"CRV 150-5C")</f>
        <v>CRV 150-5C</v>
      </c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4"/>
      <c r="W155" s="24">
        <f t="shared" si="1"/>
        <v>2</v>
      </c>
      <c r="X155" s="24">
        <f>IFERROR(__xludf.DUMMYFUNCTION("IFERROR(VALUE(REGEXEXTRACT(A155,""\b(\d+)/\d+\b"")),"""")"),1.0)</f>
        <v>1</v>
      </c>
      <c r="Y155" s="24">
        <f>IFERROR(__xludf.DUMMYFUNCTION("IFERROR(VALUE(REGEXEXTRACT(A155,""\b\d+/(\d+)\b"")),"""")
"),1.0)</f>
        <v>1</v>
      </c>
      <c r="Z155" s="24">
        <f t="array" ref="Z155">IFERROR(INDEX(CRV!BU:BU, MATCH(B155, CRV!A:A, 0)), "")</f>
        <v>75</v>
      </c>
      <c r="AA155" s="24">
        <f t="array" ref="AA155">IFERROR(INDEX(CRV!BV:BV, MATCH(B155, CRV!A:A, 0))*X155+4.5*2+7, "")</f>
        <v>149.7</v>
      </c>
      <c r="AB155" s="24" t="str">
        <f t="array" ref="AB155">IFERROR(IF(VALUE(XLOOKUP($B155,CRV!$A:$A,CRV!$BU:$BU))&lt;=5.5,"прямой пуск (DOL)","звезда-треугольник (SD)"),"")</f>
        <v>звезда-треугольник (SD)</v>
      </c>
      <c r="AC155" s="25" t="str">
        <f t="array" ref="AC155">IFERROR(INDEX(CRV!CA:CA, MATCH(B155, CRV!A:A, 0)), "")</f>
        <v>HUBE</v>
      </c>
      <c r="AD155" s="28"/>
      <c r="AE155" s="25" t="s">
        <v>76</v>
      </c>
    </row>
    <row r="156" ht="12.0" customHeight="1">
      <c r="A156" s="32" t="s">
        <v>216</v>
      </c>
      <c r="B156" s="24" t="str">
        <f>IFERROR(__xludf.DUMMYFUNCTION("IFERROR(IF(REGEXMATCH(REGEXEXTRACT(A156,""\bCRV\s*\d+(?:-\d+)+(?:-(?:A?BI|AI|BI))?\b""),""-(?:A?BI|AI|BI)$""),REGEXREPLACE(REGEXEXTRACT(A156,""\bCRV\s*\d+(?:-\d+)+(?:-(?:A?BI|AI|BI))?\b""),""-(A?BI|AI|BI)$"",""C$1""),REGEXEXTRACT(A156,""\bCRV\s*\d+(?:-\d+"&amp;")+(?:-(?:A?BI|AI|BI))?\b"")&amp;""C""),"""")"),"CRV 150-6-2C")</f>
        <v>CRV 150-6-2C</v>
      </c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4"/>
      <c r="W156" s="24">
        <f t="shared" si="1"/>
        <v>2</v>
      </c>
      <c r="X156" s="24">
        <f>IFERROR(__xludf.DUMMYFUNCTION("IFERROR(VALUE(REGEXEXTRACT(A156,""\b(\d+)/\d+\b"")),"""")"),1.0)</f>
        <v>1</v>
      </c>
      <c r="Y156" s="24">
        <f>IFERROR(__xludf.DUMMYFUNCTION("IFERROR(VALUE(REGEXEXTRACT(A156,""\b\d+/(\d+)\b"")),"""")
"),1.0)</f>
        <v>1</v>
      </c>
      <c r="Z156" s="24">
        <f t="array" ref="Z156">IFERROR(INDEX(CRV!BU:BU, MATCH(B156, CRV!A:A, 0)), "")</f>
        <v>75</v>
      </c>
      <c r="AA156" s="24">
        <f t="array" ref="AA156">IFERROR(INDEX(CRV!BV:BV, MATCH(B156, CRV!A:A, 0))*X156+4.5*2+7, "")</f>
        <v>149.7</v>
      </c>
      <c r="AB156" s="24" t="str">
        <f t="array" ref="AB156">IFERROR(IF(VALUE(XLOOKUP($B156,CRV!$A:$A,CRV!$BU:$BU))&lt;=5.5,"прямой пуск (DOL)","звезда-треугольник (SD)"),"")</f>
        <v>звезда-треугольник (SD)</v>
      </c>
      <c r="AC156" s="25" t="str">
        <f t="array" ref="AC156">IFERROR(INDEX(CRV!CA:CA, MATCH(B156, CRV!A:A, 0)), "")</f>
        <v>HUBE</v>
      </c>
      <c r="AD156" s="28"/>
      <c r="AE156" s="25" t="s">
        <v>76</v>
      </c>
    </row>
    <row r="157" ht="12.0" customHeight="1">
      <c r="A157" s="30" t="s">
        <v>217</v>
      </c>
      <c r="B157" s="24" t="str">
        <f>IFERROR(__xludf.DUMMYFUNCTION("IFERROR(IF(REGEXMATCH(REGEXEXTRACT(A157,""\bCRV\s*\d+(?:-\d+)+(?:-(?:A?BI|AI|BI))?\b""),""-(?:A?BI|AI|BI)$""),REGEXREPLACE(REGEXEXTRACT(A157,""\bCRV\s*\d+(?:-\d+)+(?:-(?:A?BI|AI|BI))?\b""),""-(A?BI|AI|BI)$"",""C$1""),REGEXEXTRACT(A157,""\bCRV\s*\d+(?:-\d+"&amp;")+(?:-(?:A?BI|AI|BI))?\b"")&amp;""C""),"""")"),"CRV 150-6-1C")</f>
        <v>CRV 150-6-1C</v>
      </c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4"/>
      <c r="W157" s="24">
        <f t="shared" si="1"/>
        <v>2</v>
      </c>
      <c r="X157" s="24">
        <f>IFERROR(__xludf.DUMMYFUNCTION("IFERROR(VALUE(REGEXEXTRACT(A157,""\b(\d+)/\d+\b"")),"""")"),1.0)</f>
        <v>1</v>
      </c>
      <c r="Y157" s="24">
        <f>IFERROR(__xludf.DUMMYFUNCTION("IFERROR(VALUE(REGEXEXTRACT(A157,""\b\d+/(\d+)\b"")),"""")
"),1.0)</f>
        <v>1</v>
      </c>
      <c r="Z157" s="24">
        <f t="array" ref="Z157">IFERROR(INDEX(CRV!BU:BU, MATCH(B157, CRV!A:A, 0)), "")</f>
        <v>75</v>
      </c>
      <c r="AA157" s="24">
        <f t="array" ref="AA157">IFERROR(INDEX(CRV!BV:BV, MATCH(B157, CRV!A:A, 0))*X157+4.5*2+7, "")</f>
        <v>149.7</v>
      </c>
      <c r="AB157" s="24" t="str">
        <f t="array" ref="AB157">IFERROR(IF(VALUE(XLOOKUP($B157,CRV!$A:$A,CRV!$BU:$BU))&lt;=5.5,"прямой пуск (DOL)","звезда-треугольник (SD)"),"")</f>
        <v>звезда-треугольник (SD)</v>
      </c>
      <c r="AC157" s="25" t="str">
        <f t="array" ref="AC157">IFERROR(INDEX(CRV!CA:CA, MATCH(B157, CRV!A:A, 0)), "")</f>
        <v>HUBE</v>
      </c>
      <c r="AD157" s="28"/>
      <c r="AE157" s="25" t="s">
        <v>76</v>
      </c>
    </row>
    <row r="158" ht="12.0" customHeight="1">
      <c r="A158" s="30" t="s">
        <v>218</v>
      </c>
      <c r="B158" s="24" t="str">
        <f>IFERROR(__xludf.DUMMYFUNCTION("IFERROR(IF(REGEXMATCH(REGEXEXTRACT(A158,""\bCRV\s*\d+(?:-\d+)+(?:-(?:A?BI|AI|BI))?\b""),""-(?:A?BI|AI|BI)$""),REGEXREPLACE(REGEXEXTRACT(A158,""\bCRV\s*\d+(?:-\d+)+(?:-(?:A?BI|AI|BI))?\b""),""-(A?BI|AI|BI)$"",""C$1""),REGEXEXTRACT(A158,""\bCRV\s*\d+(?:-\d+"&amp;")+(?:-(?:A?BI|AI|BI))?\b"")&amp;""C""),"""")"),"CRV 150-6C")</f>
        <v>CRV 150-6C</v>
      </c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4"/>
      <c r="W158" s="24">
        <f t="shared" si="1"/>
        <v>2</v>
      </c>
      <c r="X158" s="24">
        <f>IFERROR(__xludf.DUMMYFUNCTION("IFERROR(VALUE(REGEXEXTRACT(A158,""\b(\d+)/\d+\b"")),"""")"),1.0)</f>
        <v>1</v>
      </c>
      <c r="Y158" s="24">
        <f>IFERROR(__xludf.DUMMYFUNCTION("IFERROR(VALUE(REGEXEXTRACT(A158,""\b\d+/(\d+)\b"")),"""")
"),1.0)</f>
        <v>1</v>
      </c>
      <c r="Z158" s="24">
        <f t="array" ref="Z158">IFERROR(INDEX(CRV!BU:BU, MATCH(B158, CRV!A:A, 0)), "")</f>
        <v>75</v>
      </c>
      <c r="AA158" s="24">
        <f t="array" ref="AA158">IFERROR(INDEX(CRV!BV:BV, MATCH(B158, CRV!A:A, 0))*X158+4.5*2+7, "")</f>
        <v>149.7</v>
      </c>
      <c r="AB158" s="24" t="str">
        <f t="array" ref="AB158">IFERROR(IF(VALUE(XLOOKUP($B158,CRV!$A:$A,CRV!$BU:$BU))&lt;=5.5,"прямой пуск (DOL)","звезда-треугольник (SD)"),"")</f>
        <v>звезда-треугольник (SD)</v>
      </c>
      <c r="AC158" s="25" t="str">
        <f t="array" ref="AC158">IFERROR(INDEX(CRV!CA:CA, MATCH(B158, CRV!A:A, 0)), "")</f>
        <v>HUBE</v>
      </c>
      <c r="AD158" s="28"/>
      <c r="AE158" s="25" t="s">
        <v>76</v>
      </c>
    </row>
    <row r="159" ht="12.0" customHeight="1">
      <c r="A159" s="28"/>
      <c r="B159" s="24" t="str">
        <f>IFERROR(__xludf.DUMMYFUNCTION("IFERROR(IF(REGEXMATCH(REGEXEXTRACT(A159,""\bCRV\s*\d+(?:-\d+)+(?:-(?:A?BI|AI|BI))?\b""),""-(?:A?BI|AI|BI)$""),REGEXREPLACE(REGEXEXTRACT(A159,""\bCRV\s*\d+(?:-\d+)+(?:-(?:A?BI|AI|BI))?\b""),""-(A?BI|AI|BI)$"",""C$1""),REGEXEXTRACT(A159,""\bCRV\s*\d+(?:-\d+"&amp;")+(?:-(?:A?BI|AI|BI))?\b"")&amp;""C""),"""")"),"")</f>
        <v/>
      </c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4"/>
      <c r="W159" s="24" t="str">
        <f t="shared" si="1"/>
        <v/>
      </c>
      <c r="X159" s="24" t="str">
        <f>IFERROR(__xludf.DUMMYFUNCTION("IFERROR(VALUE(REGEXEXTRACT(A159,""\b(\d+)/\d+\b"")),"""")"),"")</f>
        <v/>
      </c>
      <c r="Y159" s="24" t="str">
        <f>IFERROR(__xludf.DUMMYFUNCTION("IFERROR(VALUE(REGEXEXTRACT(A159,""\b\d+/(\d+)\b"")),"""")
"),"")</f>
        <v/>
      </c>
      <c r="Z159" s="24" t="str">
        <f t="array" ref="Z159">IFERROR(INDEX(CRV!BU:BU, MATCH(B159, CRV!A:A, 0)), "")</f>
        <v/>
      </c>
      <c r="AA159" s="24" t="str">
        <f t="array" ref="AA159">IFERROR(INDEX(CRV!BV:BV, MATCH(B159, CRV!A:A, 0))*X159+4.5*2+7, "")</f>
        <v/>
      </c>
      <c r="AB159" s="24" t="str">
        <f t="array" ref="AB159">IFERROR(IF(VALUE(XLOOKUP($B159,CRV!$A:$A,CRV!$BU:$BU))&lt;=5.5,"прямой пуск (DOL)","звезда-треугольник (SD)"),"")</f>
        <v/>
      </c>
      <c r="AC159" s="25" t="str">
        <f t="array" ref="AC159">IFERROR(INDEX(CRV!CA:CA, MATCH(B159, CRV!A:A, 0)), "")</f>
        <v/>
      </c>
      <c r="AD159" s="28"/>
      <c r="AE159" s="28"/>
    </row>
    <row r="160" ht="12.0" customHeight="1">
      <c r="A160" s="30" t="s">
        <v>219</v>
      </c>
      <c r="B160" s="24" t="str">
        <f>IFERROR(__xludf.DUMMYFUNCTION("IFERROR(IF(REGEXMATCH(REGEXEXTRACT(A160,""\bCRV\s*\d+(?:-\d+)+(?:-(?:A?BI|AI|BI))?\b""),""-(?:A?BI|AI|BI)$""),REGEXREPLACE(REGEXEXTRACT(A160,""\bCRV\s*\d+(?:-\d+)+(?:-(?:A?BI|AI|BI))?\b""),""-(A?BI|AI|BI)$"",""C$1""),REGEXEXTRACT(A160,""\bCRV\s*\d+(?:-\d+"&amp;")+(?:-(?:A?BI|AI|BI))?\b"")&amp;""C""),"""")"),"CRV 200-1CBI")</f>
        <v>CRV 200-1CBI</v>
      </c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4"/>
      <c r="W160" s="24">
        <f t="shared" si="1"/>
        <v>2</v>
      </c>
      <c r="X160" s="24">
        <f>IFERROR(__xludf.DUMMYFUNCTION("IFERROR(VALUE(REGEXEXTRACT(A160,""\b(\d+)/\d+\b"")),"""")"),1.0)</f>
        <v>1</v>
      </c>
      <c r="Y160" s="24">
        <f>IFERROR(__xludf.DUMMYFUNCTION("IFERROR(VALUE(REGEXEXTRACT(A160,""\b\d+/(\d+)\b"")),"""")
"),1.0)</f>
        <v>1</v>
      </c>
      <c r="Z160" s="24">
        <f t="array" ref="Z160">IFERROR(INDEX(CRV!BU:BU, MATCH(B160, CRV!A:A, 0)), "")</f>
        <v>18.5</v>
      </c>
      <c r="AA160" s="24">
        <f t="array" ref="AA160">IFERROR(INDEX(CRV!BV:BV, MATCH(B160, CRV!A:A, 0))*X160+4.5*2+7, "")</f>
        <v>50.2</v>
      </c>
      <c r="AB160" s="24" t="str">
        <f t="array" ref="AB160">IFERROR(IF(VALUE(XLOOKUP($B160,CRV!$A:$A,CRV!$BU:$BU))&lt;=5.5,"прямой пуск (DOL)","звезда-треугольник (SD)"),"")</f>
        <v>звезда-треугольник (SD)</v>
      </c>
      <c r="AC160" s="25" t="str">
        <f t="array" ref="AC160">IFERROR(INDEX(CRV!CA:CA, MATCH(B160, CRV!A:A, 0)), "")</f>
        <v>HUBE</v>
      </c>
      <c r="AD160" s="28"/>
      <c r="AE160" s="25" t="s">
        <v>76</v>
      </c>
    </row>
    <row r="161" ht="12.0" customHeight="1">
      <c r="A161" s="30" t="s">
        <v>220</v>
      </c>
      <c r="B161" s="24" t="str">
        <f>IFERROR(__xludf.DUMMYFUNCTION("IFERROR(IF(REGEXMATCH(REGEXEXTRACT(A161,""\bCRV\s*\d+(?:-\d+)+(?:-(?:A?BI|AI|BI))?\b""),""-(?:A?BI|AI|BI)$""),REGEXREPLACE(REGEXEXTRACT(A161,""\bCRV\s*\d+(?:-\d+)+(?:-(?:A?BI|AI|BI))?\b""),""-(A?BI|AI|BI)$"",""C$1""),REGEXEXTRACT(A161,""\bCRV\s*\d+(?:-\d+"&amp;")+(?:-(?:A?BI|AI|BI))?\b"")&amp;""C""),"""")"),"CRV 200-1CAI")</f>
        <v>CRV 200-1CAI</v>
      </c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4"/>
      <c r="W161" s="24">
        <f t="shared" si="1"/>
        <v>2</v>
      </c>
      <c r="X161" s="24">
        <f>IFERROR(__xludf.DUMMYFUNCTION("IFERROR(VALUE(REGEXEXTRACT(A161,""\b(\d+)/\d+\b"")),"""")"),1.0)</f>
        <v>1</v>
      </c>
      <c r="Y161" s="24">
        <f>IFERROR(__xludf.DUMMYFUNCTION("IFERROR(VALUE(REGEXEXTRACT(A161,""\b\d+/(\d+)\b"")),"""")
"),1.0)</f>
        <v>1</v>
      </c>
      <c r="Z161" s="24">
        <f t="array" ref="Z161">IFERROR(INDEX(CRV!BU:BU, MATCH(B161, CRV!A:A, 0)), "")</f>
        <v>22</v>
      </c>
      <c r="AA161" s="24">
        <f t="array" ref="AA161">IFERROR(INDEX(CRV!BV:BV, MATCH(B161, CRV!A:A, 0))*X161+4.5*2+7, "")</f>
        <v>56.5</v>
      </c>
      <c r="AB161" s="24" t="str">
        <f t="array" ref="AB161">IFERROR(IF(VALUE(XLOOKUP($B161,CRV!$A:$A,CRV!$BU:$BU))&lt;=5.5,"прямой пуск (DOL)","звезда-треугольник (SD)"),"")</f>
        <v>звезда-треугольник (SD)</v>
      </c>
      <c r="AC161" s="25" t="str">
        <f t="array" ref="AC161">IFERROR(INDEX(CRV!CA:CA, MATCH(B161, CRV!A:A, 0)), "")</f>
        <v>HUBE</v>
      </c>
      <c r="AD161" s="28"/>
      <c r="AE161" s="25" t="s">
        <v>76</v>
      </c>
    </row>
    <row r="162" ht="12.0" customHeight="1">
      <c r="A162" s="30" t="s">
        <v>221</v>
      </c>
      <c r="B162" s="24" t="str">
        <f>IFERROR(__xludf.DUMMYFUNCTION("IFERROR(IF(REGEXMATCH(REGEXEXTRACT(A162,""\bCRV\s*\d+(?:-\d+)+(?:-(?:A?BI|AI|BI))?\b""),""-(?:A?BI|AI|BI)$""),REGEXREPLACE(REGEXEXTRACT(A162,""\bCRV\s*\d+(?:-\d+)+(?:-(?:A?BI|AI|BI))?\b""),""-(A?BI|AI|BI)$"",""C$1""),REGEXEXTRACT(A162,""\bCRV\s*\d+(?:-\d+"&amp;")+(?:-(?:A?BI|AI|BI))?\b"")&amp;""C""),"""")"),"CRV 200-1C")</f>
        <v>CRV 200-1C</v>
      </c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4"/>
      <c r="W162" s="24">
        <f t="shared" si="1"/>
        <v>2</v>
      </c>
      <c r="X162" s="24">
        <f>IFERROR(__xludf.DUMMYFUNCTION("IFERROR(VALUE(REGEXEXTRACT(A162,""\b(\d+)/\d+\b"")),"""")"),1.0)</f>
        <v>1</v>
      </c>
      <c r="Y162" s="24">
        <f>IFERROR(__xludf.DUMMYFUNCTION("IFERROR(VALUE(REGEXEXTRACT(A162,""\b\d+/(\d+)\b"")),"""")
"),1.0)</f>
        <v>1</v>
      </c>
      <c r="Z162" s="24">
        <f t="array" ref="Z162">IFERROR(INDEX(CRV!BU:BU, MATCH(B162, CRV!A:A, 0)), "")</f>
        <v>30</v>
      </c>
      <c r="AA162" s="24">
        <f t="array" ref="AA162">IFERROR(INDEX(CRV!BV:BV, MATCH(B162, CRV!A:A, 0))*X162+4.5*2+7, "")</f>
        <v>70.9</v>
      </c>
      <c r="AB162" s="24" t="str">
        <f t="array" ref="AB162">IFERROR(IF(VALUE(XLOOKUP($B162,CRV!$A:$A,CRV!$BU:$BU))&lt;=5.5,"прямой пуск (DOL)","звезда-треугольник (SD)"),"")</f>
        <v>звезда-треугольник (SD)</v>
      </c>
      <c r="AC162" s="25" t="str">
        <f t="array" ref="AC162">IFERROR(INDEX(CRV!CA:CA, MATCH(B162, CRV!A:A, 0)), "")</f>
        <v>HUBE</v>
      </c>
      <c r="AD162" s="28"/>
      <c r="AE162" s="25" t="s">
        <v>76</v>
      </c>
    </row>
    <row r="163" ht="12.0" customHeight="1">
      <c r="A163" s="30" t="s">
        <v>222</v>
      </c>
      <c r="B163" s="24" t="str">
        <f>IFERROR(__xludf.DUMMYFUNCTION("IFERROR(IF(REGEXMATCH(REGEXEXTRACT(A163,""\bCRV\s*\d+(?:-\d+)+(?:-(?:A?BI|AI|BI))?\b""),""-(?:A?BI|AI|BI)$""),REGEXREPLACE(REGEXEXTRACT(A163,""\bCRV\s*\d+(?:-\d+)+(?:-(?:A?BI|AI|BI))?\b""),""-(A?BI|AI|BI)$"",""C$1""),REGEXEXTRACT(A163,""\bCRV\s*\d+(?:-\d+"&amp;")+(?:-(?:A?BI|AI|BI))?\b"")&amp;""C""),"""")"),"CRV 200-2CBI")</f>
        <v>CRV 200-2CBI</v>
      </c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4"/>
      <c r="W163" s="24">
        <f t="shared" si="1"/>
        <v>2</v>
      </c>
      <c r="X163" s="24">
        <f>IFERROR(__xludf.DUMMYFUNCTION("IFERROR(VALUE(REGEXEXTRACT(A163,""\b(\d+)/\d+\b"")),"""")"),1.0)</f>
        <v>1</v>
      </c>
      <c r="Y163" s="24">
        <f>IFERROR(__xludf.DUMMYFUNCTION("IFERROR(VALUE(REGEXEXTRACT(A163,""\b\d+/(\d+)\b"")),"""")
"),1.0)</f>
        <v>1</v>
      </c>
      <c r="Z163" s="24">
        <f t="array" ref="Z163">IFERROR(INDEX(CRV!BU:BU, MATCH(B163, CRV!A:A, 0)), "")</f>
        <v>37</v>
      </c>
      <c r="AA163" s="24">
        <f t="array" ref="AA163">IFERROR(INDEX(CRV!BV:BV, MATCH(B163, CRV!A:A, 0))*X163+4.5*2+7, "")</f>
        <v>83.4</v>
      </c>
      <c r="AB163" s="24" t="str">
        <f t="array" ref="AB163">IFERROR(IF(VALUE(XLOOKUP($B163,CRV!$A:$A,CRV!$BU:$BU))&lt;=5.5,"прямой пуск (DOL)","звезда-треугольник (SD)"),"")</f>
        <v>звезда-треугольник (SD)</v>
      </c>
      <c r="AC163" s="25" t="str">
        <f t="array" ref="AC163">IFERROR(INDEX(CRV!CA:CA, MATCH(B163, CRV!A:A, 0)), "")</f>
        <v>HUBE</v>
      </c>
      <c r="AD163" s="28"/>
      <c r="AE163" s="25" t="s">
        <v>76</v>
      </c>
    </row>
    <row r="164" ht="12.0" customHeight="1">
      <c r="A164" s="30" t="s">
        <v>223</v>
      </c>
      <c r="B164" s="24" t="str">
        <f>IFERROR(__xludf.DUMMYFUNCTION("IFERROR(IF(REGEXMATCH(REGEXEXTRACT(A164,""\bCRV\s*\d+(?:-\d+)+(?:-(?:A?BI|AI|BI))?\b""),""-(?:A?BI|AI|BI)$""),REGEXREPLACE(REGEXEXTRACT(A164,""\bCRV\s*\d+(?:-\d+)+(?:-(?:A?BI|AI|BI))?\b""),""-(A?BI|AI|BI)$"",""C$1""),REGEXEXTRACT(A164,""\bCRV\s*\d+(?:-\d+"&amp;")+(?:-(?:A?BI|AI|BI))?\b"")&amp;""C""),"""")"),"CRV 200-2CAI")</f>
        <v>CRV 200-2CAI</v>
      </c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4"/>
      <c r="W164" s="24">
        <f t="shared" si="1"/>
        <v>2</v>
      </c>
      <c r="X164" s="24">
        <f>IFERROR(__xludf.DUMMYFUNCTION("IFERROR(VALUE(REGEXEXTRACT(A164,""\b(\d+)/\d+\b"")),"""")"),1.0)</f>
        <v>1</v>
      </c>
      <c r="Y164" s="24">
        <f>IFERROR(__xludf.DUMMYFUNCTION("IFERROR(VALUE(REGEXEXTRACT(A164,""\b\d+/(\d+)\b"")),"""")
"),1.0)</f>
        <v>1</v>
      </c>
      <c r="Z164" s="24">
        <f t="array" ref="Z164">IFERROR(INDEX(CRV!BU:BU, MATCH(B164, CRV!A:A, 0)), "")</f>
        <v>45</v>
      </c>
      <c r="AA164" s="24">
        <f t="array" ref="AA164">IFERROR(INDEX(CRV!BV:BV, MATCH(B164, CRV!A:A, 0))*X164+4.5*2+7, "")</f>
        <v>96.8</v>
      </c>
      <c r="AB164" s="24" t="str">
        <f t="array" ref="AB164">IFERROR(IF(VALUE(XLOOKUP($B164,CRV!$A:$A,CRV!$BU:$BU))&lt;=5.5,"прямой пуск (DOL)","звезда-треугольник (SD)"),"")</f>
        <v>звезда-треугольник (SD)</v>
      </c>
      <c r="AC164" s="25" t="str">
        <f t="array" ref="AC164">IFERROR(INDEX(CRV!CA:CA, MATCH(B164, CRV!A:A, 0)), "")</f>
        <v>HUBE</v>
      </c>
      <c r="AD164" s="28"/>
      <c r="AE164" s="25" t="s">
        <v>76</v>
      </c>
    </row>
    <row r="165" ht="12.0" customHeight="1">
      <c r="A165" s="30" t="s">
        <v>224</v>
      </c>
      <c r="B165" s="24" t="str">
        <f>IFERROR(__xludf.DUMMYFUNCTION("IFERROR(IF(REGEXMATCH(REGEXEXTRACT(A165,""\bCRV\s*\d+(?:-\d+)+(?:-(?:A?BI|AI|BI))?\b""),""-(?:A?BI|AI|BI)$""),REGEXREPLACE(REGEXEXTRACT(A165,""\bCRV\s*\d+(?:-\d+)+(?:-(?:A?BI|AI|BI))?\b""),""-(A?BI|AI|BI)$"",""C$1""),REGEXEXTRACT(A165,""\bCRV\s*\d+(?:-\d+"&amp;")+(?:-(?:A?BI|AI|BI))?\b"")&amp;""C""),"""")"),"CRV 200-2-1CAI")</f>
        <v>CRV 200-2-1CAI</v>
      </c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4"/>
      <c r="W165" s="24">
        <f t="shared" si="1"/>
        <v>2</v>
      </c>
      <c r="X165" s="24">
        <f>IFERROR(__xludf.DUMMYFUNCTION("IFERROR(VALUE(REGEXEXTRACT(A165,""\b(\d+)/\d+\b"")),"""")"),1.0)</f>
        <v>1</v>
      </c>
      <c r="Y165" s="24">
        <f>IFERROR(__xludf.DUMMYFUNCTION("IFERROR(VALUE(REGEXEXTRACT(A165,""\b\d+/(\d+)\b"")),"""")
"),1.0)</f>
        <v>1</v>
      </c>
      <c r="Z165" s="24">
        <f t="array" ref="Z165">IFERROR(INDEX(CRV!BU:BU, MATCH(B165, CRV!A:A, 0)), "")</f>
        <v>55</v>
      </c>
      <c r="AA165" s="24">
        <f t="array" ref="AA165">IFERROR(INDEX(CRV!BV:BV, MATCH(B165, CRV!A:A, 0))*X165+4.5*2+7, "")</f>
        <v>114.5</v>
      </c>
      <c r="AB165" s="24" t="str">
        <f t="array" ref="AB165">IFERROR(IF(VALUE(XLOOKUP($B165,CRV!$A:$A,CRV!$BU:$BU))&lt;=5.5,"прямой пуск (DOL)","звезда-треугольник (SD)"),"")</f>
        <v>звезда-треугольник (SD)</v>
      </c>
      <c r="AC165" s="25" t="str">
        <f t="array" ref="AC165">IFERROR(INDEX(CRV!CA:CA, MATCH(B165, CRV!A:A, 0)), "")</f>
        <v>HUBE</v>
      </c>
      <c r="AD165" s="28"/>
      <c r="AE165" s="25" t="s">
        <v>76</v>
      </c>
    </row>
    <row r="166" ht="12.0" customHeight="1">
      <c r="A166" s="30" t="s">
        <v>225</v>
      </c>
      <c r="B166" s="24" t="str">
        <f>IFERROR(__xludf.DUMMYFUNCTION("IFERROR(IF(REGEXMATCH(REGEXEXTRACT(A166,""\bCRV\s*\d+(?:-\d+)+(?:-(?:A?BI|AI|BI))?\b""),""-(?:A?BI|AI|BI)$""),REGEXREPLACE(REGEXEXTRACT(A166,""\bCRV\s*\d+(?:-\d+)+(?:-(?:A?BI|AI|BI))?\b""),""-(A?BI|AI|BI)$"",""C$1""),REGEXEXTRACT(A166,""\bCRV\s*\d+(?:-\d+"&amp;")+(?:-(?:A?BI|AI|BI))?\b"")&amp;""C""),"""")"),"CRV 200-2C")</f>
        <v>CRV 200-2C</v>
      </c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4"/>
      <c r="W166" s="24">
        <f t="shared" si="1"/>
        <v>2</v>
      </c>
      <c r="X166" s="24">
        <f>IFERROR(__xludf.DUMMYFUNCTION("IFERROR(VALUE(REGEXEXTRACT(A166,""\b(\d+)/\d+\b"")),"""")"),1.0)</f>
        <v>1</v>
      </c>
      <c r="Y166" s="24">
        <f>IFERROR(__xludf.DUMMYFUNCTION("IFERROR(VALUE(REGEXEXTRACT(A166,""\b\d+/(\d+)\b"")),"""")
"),1.0)</f>
        <v>1</v>
      </c>
      <c r="Z166" s="24">
        <f t="array" ref="Z166">IFERROR(INDEX(CRV!BU:BU, MATCH(B166, CRV!A:A, 0)), "")</f>
        <v>55</v>
      </c>
      <c r="AA166" s="24">
        <f t="array" ref="AA166">IFERROR(INDEX(CRV!BV:BV, MATCH(B166, CRV!A:A, 0))*X166+4.5*2+7, "")</f>
        <v>114.5</v>
      </c>
      <c r="AB166" s="24" t="str">
        <f t="array" ref="AB166">IFERROR(IF(VALUE(XLOOKUP($B166,CRV!$A:$A,CRV!$BU:$BU))&lt;=5.5,"прямой пуск (DOL)","звезда-треугольник (SD)"),"")</f>
        <v>звезда-треугольник (SD)</v>
      </c>
      <c r="AC166" s="25" t="str">
        <f t="array" ref="AC166">IFERROR(INDEX(CRV!CA:CA, MATCH(B166, CRV!A:A, 0)), "")</f>
        <v>HUBE</v>
      </c>
      <c r="AD166" s="28"/>
      <c r="AE166" s="25" t="s">
        <v>76</v>
      </c>
    </row>
    <row r="167" ht="12.0" customHeight="1">
      <c r="A167" s="30" t="s">
        <v>226</v>
      </c>
      <c r="B167" s="24" t="str">
        <f>IFERROR(__xludf.DUMMYFUNCTION("IFERROR(IF(REGEXMATCH(REGEXEXTRACT(A167,""\bCRV\s*\d+(?:-\d+)+(?:-(?:A?BI|AI|BI))?\b""),""-(?:A?BI|AI|BI)$""),REGEXREPLACE(REGEXEXTRACT(A167,""\bCRV\s*\d+(?:-\d+)+(?:-(?:A?BI|AI|BI))?\b""),""-(A?BI|AI|BI)$"",""C$1""),REGEXEXTRACT(A167,""\bCRV\s*\d+(?:-\d+"&amp;")+(?:-(?:A?BI|AI|BI))?\b"")&amp;""C""),"""")"),"CRV 200-3-2CBI")</f>
        <v>CRV 200-3-2CBI</v>
      </c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4"/>
      <c r="W167" s="24">
        <f t="shared" si="1"/>
        <v>2</v>
      </c>
      <c r="X167" s="24">
        <f>IFERROR(__xludf.DUMMYFUNCTION("IFERROR(VALUE(REGEXEXTRACT(A167,""\b(\d+)/\d+\b"")),"""")"),1.0)</f>
        <v>1</v>
      </c>
      <c r="Y167" s="24">
        <f>IFERROR(__xludf.DUMMYFUNCTION("IFERROR(VALUE(REGEXEXTRACT(A167,""\b\d+/(\d+)\b"")),"""")
"),1.0)</f>
        <v>1</v>
      </c>
      <c r="Z167" s="24">
        <f t="array" ref="Z167">IFERROR(INDEX(CRV!BU:BU, MATCH(B167, CRV!A:A, 0)), "")</f>
        <v>75</v>
      </c>
      <c r="AA167" s="24">
        <f t="array" ref="AA167">IFERROR(INDEX(CRV!BV:BV, MATCH(B167, CRV!A:A, 0))*X167+4.5*2+7, "")</f>
        <v>149.7</v>
      </c>
      <c r="AB167" s="24" t="str">
        <f t="array" ref="AB167">IFERROR(IF(VALUE(XLOOKUP($B167,CRV!$A:$A,CRV!$BU:$BU))&lt;=5.5,"прямой пуск (DOL)","звезда-треугольник (SD)"),"")</f>
        <v>звезда-треугольник (SD)</v>
      </c>
      <c r="AC167" s="25" t="str">
        <f t="array" ref="AC167">IFERROR(INDEX(CRV!CA:CA, MATCH(B167, CRV!A:A, 0)), "")</f>
        <v>HUBE</v>
      </c>
      <c r="AD167" s="28"/>
      <c r="AE167" s="25" t="s">
        <v>76</v>
      </c>
    </row>
    <row r="168" ht="12.0" customHeight="1">
      <c r="A168" s="30" t="s">
        <v>227</v>
      </c>
      <c r="B168" s="24" t="str">
        <f>IFERROR(__xludf.DUMMYFUNCTION("IFERROR(IF(REGEXMATCH(REGEXEXTRACT(A168,""\bCRV\s*\d+(?:-\d+)+(?:-(?:A?BI|AI|BI))?\b""),""-(?:A?BI|AI|BI)$""),REGEXREPLACE(REGEXEXTRACT(A168,""\bCRV\s*\d+(?:-\d+)+(?:-(?:A?BI|AI|BI))?\b""),""-(A?BI|AI|BI)$"",""C$1""),REGEXEXTRACT(A168,""\bCRV\s*\d+(?:-\d+"&amp;")+(?:-(?:A?BI|AI|BI))?\b"")&amp;""C""),"""")"),"CRV 200-3-2CABI")</f>
        <v>CRV 200-3-2CABI</v>
      </c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4"/>
      <c r="W168" s="24">
        <f t="shared" si="1"/>
        <v>2</v>
      </c>
      <c r="X168" s="24">
        <f>IFERROR(__xludf.DUMMYFUNCTION("IFERROR(VALUE(REGEXEXTRACT(A168,""\b(\d+)/\d+\b"")),"""")"),1.0)</f>
        <v>1</v>
      </c>
      <c r="Y168" s="24">
        <f>IFERROR(__xludf.DUMMYFUNCTION("IFERROR(VALUE(REGEXEXTRACT(A168,""\b\d+/(\d+)\b"")),"""")
"),1.0)</f>
        <v>1</v>
      </c>
      <c r="Z168" s="24">
        <f t="array" ref="Z168">IFERROR(INDEX(CRV!BU:BU, MATCH(B168, CRV!A:A, 0)), "")</f>
        <v>75</v>
      </c>
      <c r="AA168" s="24">
        <f t="array" ref="AA168">IFERROR(INDEX(CRV!BV:BV, MATCH(B168, CRV!A:A, 0))*X168+4.5*2+7, "")</f>
        <v>149.7</v>
      </c>
      <c r="AB168" s="24" t="str">
        <f t="array" ref="AB168">IFERROR(IF(VALUE(XLOOKUP($B168,CRV!$A:$A,CRV!$BU:$BU))&lt;=5.5,"прямой пуск (DOL)","звезда-треугольник (SD)"),"")</f>
        <v>звезда-треугольник (SD)</v>
      </c>
      <c r="AC168" s="25" t="str">
        <f t="array" ref="AC168">IFERROR(INDEX(CRV!CA:CA, MATCH(B168, CRV!A:A, 0)), "")</f>
        <v>HUBE</v>
      </c>
      <c r="AD168" s="28"/>
      <c r="AE168" s="25" t="s">
        <v>76</v>
      </c>
    </row>
    <row r="169" ht="12.0" customHeight="1">
      <c r="A169" s="30" t="s">
        <v>228</v>
      </c>
      <c r="B169" s="24" t="str">
        <f>IFERROR(__xludf.DUMMYFUNCTION("IFERROR(IF(REGEXMATCH(REGEXEXTRACT(A169,""\bCRV\s*\d+(?:-\d+)+(?:-(?:A?BI|AI|BI))?\b""),""-(?:A?BI|AI|BI)$""),REGEXREPLACE(REGEXEXTRACT(A169,""\bCRV\s*\d+(?:-\d+)+(?:-(?:A?BI|AI|BI))?\b""),""-(A?BI|AI|BI)$"",""C$1""),REGEXEXTRACT(A169,""\bCRV\s*\d+(?:-\d+"&amp;")+(?:-(?:A?BI|AI|BI))?\b"")&amp;""C""),"""")"),"CRV 200-3-2CAI")</f>
        <v>CRV 200-3-2CAI</v>
      </c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4"/>
      <c r="W169" s="24">
        <f t="shared" si="1"/>
        <v>2</v>
      </c>
      <c r="X169" s="24">
        <f>IFERROR(__xludf.DUMMYFUNCTION("IFERROR(VALUE(REGEXEXTRACT(A169,""\b(\d+)/\d+\b"")),"""")"),1.0)</f>
        <v>1</v>
      </c>
      <c r="Y169" s="24">
        <f>IFERROR(__xludf.DUMMYFUNCTION("IFERROR(VALUE(REGEXEXTRACT(A169,""\b\d+/(\d+)\b"")),"""")
"),1.0)</f>
        <v>1</v>
      </c>
      <c r="Z169" s="24">
        <f t="array" ref="Z169">IFERROR(INDEX(CRV!BU:BU, MATCH(B169, CRV!A:A, 0)), "")</f>
        <v>75</v>
      </c>
      <c r="AA169" s="24">
        <f t="array" ref="AA169">IFERROR(INDEX(CRV!BV:BV, MATCH(B169, CRV!A:A, 0))*X169+4.5*2+7, "")</f>
        <v>149.7</v>
      </c>
      <c r="AB169" s="24" t="str">
        <f t="array" ref="AB169">IFERROR(IF(VALUE(XLOOKUP($B169,CRV!$A:$A,CRV!$BU:$BU))&lt;=5.5,"прямой пуск (DOL)","звезда-треугольник (SD)"),"")</f>
        <v>звезда-треугольник (SD)</v>
      </c>
      <c r="AC169" s="25" t="str">
        <f t="array" ref="AC169">IFERROR(INDEX(CRV!CA:CA, MATCH(B169, CRV!A:A, 0)), "")</f>
        <v>HUBE</v>
      </c>
      <c r="AD169" s="28"/>
      <c r="AE169" s="25" t="s">
        <v>76</v>
      </c>
    </row>
    <row r="170" ht="12.0" customHeight="1">
      <c r="A170" s="30" t="s">
        <v>229</v>
      </c>
      <c r="B170" s="24" t="str">
        <f>IFERROR(__xludf.DUMMYFUNCTION("IFERROR(IF(REGEXMATCH(REGEXEXTRACT(A170,""\bCRV\s*\d+(?:-\d+)+(?:-(?:A?BI|AI|BI))?\b""),""-(?:A?BI|AI|BI)$""),REGEXREPLACE(REGEXEXTRACT(A170,""\bCRV\s*\d+(?:-\d+)+(?:-(?:A?BI|AI|BI))?\b""),""-(A?BI|AI|BI)$"",""C$1""),REGEXEXTRACT(A170,""\bCRV\s*\d+(?:-\d+"&amp;")+(?:-(?:A?BI|AI|BI))?\b"")&amp;""C""),"""")"),"CRV 200-3-1CBI")</f>
        <v>CRV 200-3-1CBI</v>
      </c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4"/>
      <c r="W170" s="24">
        <f t="shared" si="1"/>
        <v>2</v>
      </c>
      <c r="X170" s="24">
        <f>IFERROR(__xludf.DUMMYFUNCTION("IFERROR(VALUE(REGEXEXTRACT(A170,""\b(\d+)/\d+\b"")),"""")"),1.0)</f>
        <v>1</v>
      </c>
      <c r="Y170" s="24">
        <f>IFERROR(__xludf.DUMMYFUNCTION("IFERROR(VALUE(REGEXEXTRACT(A170,""\b\d+/(\d+)\b"")),"""")
"),1.0)</f>
        <v>1</v>
      </c>
      <c r="Z170" s="24">
        <f t="array" ref="Z170">IFERROR(INDEX(CRV!BU:BU, MATCH(B170, CRV!A:A, 0)), "")</f>
        <v>75</v>
      </c>
      <c r="AA170" s="24">
        <f t="array" ref="AA170">IFERROR(INDEX(CRV!BV:BV, MATCH(B170, CRV!A:A, 0))*X170+4.5*2+7, "")</f>
        <v>149.7</v>
      </c>
      <c r="AB170" s="24" t="str">
        <f t="array" ref="AB170">IFERROR(IF(VALUE(XLOOKUP($B170,CRV!$A:$A,CRV!$BU:$BU))&lt;=5.5,"прямой пуск (DOL)","звезда-треугольник (SD)"),"")</f>
        <v>звезда-треугольник (SD)</v>
      </c>
      <c r="AC170" s="25" t="str">
        <f t="array" ref="AC170">IFERROR(INDEX(CRV!CA:CA, MATCH(B170, CRV!A:A, 0)), "")</f>
        <v>HUBE</v>
      </c>
      <c r="AD170" s="28"/>
      <c r="AE170" s="25" t="s">
        <v>76</v>
      </c>
    </row>
    <row r="171" ht="12.0" customHeight="1">
      <c r="A171" s="30" t="s">
        <v>230</v>
      </c>
      <c r="B171" s="24" t="str">
        <f>IFERROR(__xludf.DUMMYFUNCTION("IFERROR(IF(REGEXMATCH(REGEXEXTRACT(A171,""\bCRV\s*\d+(?:-\d+)+(?:-(?:A?BI|AI|BI))?\b""),""-(?:A?BI|AI|BI)$""),REGEXREPLACE(REGEXEXTRACT(A171,""\bCRV\s*\d+(?:-\d+)+(?:-(?:A?BI|AI|BI))?\b""),""-(A?BI|AI|BI)$"",""C$1""),REGEXEXTRACT(A171,""\bCRV\s*\d+(?:-\d+"&amp;")+(?:-(?:A?BI|AI|BI))?\b"")&amp;""C""),"""")"),"CRV 200-3-1CAI")</f>
        <v>CRV 200-3-1CAI</v>
      </c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4"/>
      <c r="W171" s="24">
        <f t="shared" si="1"/>
        <v>2</v>
      </c>
      <c r="X171" s="24">
        <f>IFERROR(__xludf.DUMMYFUNCTION("IFERROR(VALUE(REGEXEXTRACT(A171,""\b(\d+)/\d+\b"")),"""")"),1.0)</f>
        <v>1</v>
      </c>
      <c r="Y171" s="24">
        <f>IFERROR(__xludf.DUMMYFUNCTION("IFERROR(VALUE(REGEXEXTRACT(A171,""\b\d+/(\d+)\b"")),"""")
"),1.0)</f>
        <v>1</v>
      </c>
      <c r="Z171" s="24">
        <f t="array" ref="Z171">IFERROR(INDEX(CRV!BU:BU, MATCH(B171, CRV!A:A, 0)), "")</f>
        <v>75</v>
      </c>
      <c r="AA171" s="24">
        <f t="array" ref="AA171">IFERROR(INDEX(CRV!BV:BV, MATCH(B171, CRV!A:A, 0))*X171+4.5*2+7, "")</f>
        <v>149.7</v>
      </c>
      <c r="AB171" s="24" t="str">
        <f t="array" ref="AB171">IFERROR(IF(VALUE(XLOOKUP($B171,CRV!$A:$A,CRV!$BU:$BU))&lt;=5.5,"прямой пуск (DOL)","звезда-треугольник (SD)"),"")</f>
        <v>звезда-треугольник (SD)</v>
      </c>
      <c r="AC171" s="25" t="str">
        <f t="array" ref="AC171">IFERROR(INDEX(CRV!CA:CA, MATCH(B171, CRV!A:A, 0)), "")</f>
        <v>HUBE</v>
      </c>
      <c r="AD171" s="28"/>
      <c r="AE171" s="25" t="s">
        <v>76</v>
      </c>
    </row>
    <row r="172" ht="12.0" customHeight="1">
      <c r="A172" s="30" t="s">
        <v>231</v>
      </c>
      <c r="B172" s="24" t="str">
        <f>IFERROR(__xludf.DUMMYFUNCTION("IFERROR(IF(REGEXMATCH(REGEXEXTRACT(A172,""\bCRV\s*\d+(?:-\d+)+(?:-(?:A?BI|AI|BI))?\b""),""-(?:A?BI|AI|BI)$""),REGEXREPLACE(REGEXEXTRACT(A172,""\bCRV\s*\d+(?:-\d+)+(?:-(?:A?BI|AI|BI))?\b""),""-(A?BI|AI|BI)$"",""C$1""),REGEXEXTRACT(A172,""\bCRV\s*\d+(?:-\d+"&amp;")+(?:-(?:A?BI|AI|BI))?\b"")&amp;""C""),"""")"),"CRV 200-3C")</f>
        <v>CRV 200-3C</v>
      </c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4"/>
      <c r="W172" s="24">
        <f t="shared" si="1"/>
        <v>2</v>
      </c>
      <c r="X172" s="24">
        <f>IFERROR(__xludf.DUMMYFUNCTION("IFERROR(VALUE(REGEXEXTRACT(A172,""\b(\d+)/\d+\b"")),"""")"),1.0)</f>
        <v>1</v>
      </c>
      <c r="Y172" s="24">
        <f>IFERROR(__xludf.DUMMYFUNCTION("IFERROR(VALUE(REGEXEXTRACT(A172,""\b\d+/(\d+)\b"")),"""")
"),1.0)</f>
        <v>1</v>
      </c>
      <c r="Z172" s="24">
        <f t="array" ref="Z172">IFERROR(INDEX(CRV!BU:BU, MATCH(B172, CRV!A:A, 0)), "")</f>
        <v>90</v>
      </c>
      <c r="AA172" s="24">
        <f t="array" ref="AA172">IFERROR(INDEX(CRV!BV:BV, MATCH(B172, CRV!A:A, 0))*X172+4.5*2+7, "")</f>
        <v>175.9</v>
      </c>
      <c r="AB172" s="24" t="str">
        <f t="array" ref="AB172">IFERROR(IF(VALUE(XLOOKUP($B172,CRV!$A:$A,CRV!$BU:$BU))&lt;=5.5,"прямой пуск (DOL)","звезда-треугольник (SD)"),"")</f>
        <v>звезда-треугольник (SD)</v>
      </c>
      <c r="AC172" s="25" t="str">
        <f t="array" ref="AC172">IFERROR(INDEX(CRV!CA:CA, MATCH(B172, CRV!A:A, 0)), "")</f>
        <v>HUBE</v>
      </c>
      <c r="AD172" s="28"/>
      <c r="AE172" s="25" t="s">
        <v>76</v>
      </c>
    </row>
    <row r="173" ht="12.0" customHeight="1">
      <c r="A173" s="30" t="s">
        <v>232</v>
      </c>
      <c r="B173" s="24" t="str">
        <f>IFERROR(__xludf.DUMMYFUNCTION("IFERROR(IF(REGEXMATCH(REGEXEXTRACT(A173,""\bCRV\s*\d+(?:-\d+)+(?:-(?:A?BI|AI|BI))?\b""),""-(?:A?BI|AI|BI)$""),REGEXREPLACE(REGEXEXTRACT(A173,""\bCRV\s*\d+(?:-\d+)+(?:-(?:A?BI|AI|BI))?\b""),""-(A?BI|AI|BI)$"",""C$1""),REGEXEXTRACT(A173,""\bCRV\s*\d+(?:-\d+"&amp;")+(?:-(?:A?BI|AI|BI))?\b"")&amp;""C""),"""")"),"CRV 200-4-2CBI")</f>
        <v>CRV 200-4-2CBI</v>
      </c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4"/>
      <c r="W173" s="24">
        <f t="shared" si="1"/>
        <v>2</v>
      </c>
      <c r="X173" s="24">
        <f>IFERROR(__xludf.DUMMYFUNCTION("IFERROR(VALUE(REGEXEXTRACT(A173,""\b(\d+)/\d+\b"")),"""")"),1.0)</f>
        <v>1</v>
      </c>
      <c r="Y173" s="24">
        <f>IFERROR(__xludf.DUMMYFUNCTION("IFERROR(VALUE(REGEXEXTRACT(A173,""\b\d+/(\d+)\b"")),"""")
"),1.0)</f>
        <v>1</v>
      </c>
      <c r="Z173" s="24">
        <f t="array" ref="Z173">IFERROR(INDEX(CRV!BU:BU, MATCH(B173, CRV!A:A, 0)), "")</f>
        <v>90</v>
      </c>
      <c r="AA173" s="24">
        <f t="array" ref="AA173">IFERROR(INDEX(CRV!BV:BV, MATCH(B173, CRV!A:A, 0))*X173+4.5*2+7, "")</f>
        <v>175.9</v>
      </c>
      <c r="AB173" s="24" t="str">
        <f t="array" ref="AB173">IFERROR(IF(VALUE(XLOOKUP($B173,CRV!$A:$A,CRV!$BU:$BU))&lt;=5.5,"прямой пуск (DOL)","звезда-треугольник (SD)"),"")</f>
        <v>звезда-треугольник (SD)</v>
      </c>
      <c r="AC173" s="25" t="str">
        <f t="array" ref="AC173">IFERROR(INDEX(CRV!CA:CA, MATCH(B173, CRV!A:A, 0)), "")</f>
        <v>HUBE</v>
      </c>
      <c r="AD173" s="28"/>
      <c r="AE173" s="25" t="s">
        <v>76</v>
      </c>
    </row>
    <row r="174" ht="12.0" customHeight="1">
      <c r="A174" s="32" t="s">
        <v>233</v>
      </c>
      <c r="B174" s="24" t="str">
        <f>IFERROR(__xludf.DUMMYFUNCTION("IFERROR(IF(REGEXMATCH(REGEXEXTRACT(A174,""\bCRV\s*\d+(?:-\d+)+(?:-(?:A?BI|AI|BI))?\b""),""-(?:A?BI|AI|BI)$""),REGEXREPLACE(REGEXEXTRACT(A174,""\bCRV\s*\d+(?:-\d+)+(?:-(?:A?BI|AI|BI))?\b""),""-(A?BI|AI|BI)$"",""C$1""),REGEXEXTRACT(A174,""\bCRV\s*\d+(?:-\d+"&amp;")+(?:-(?:A?BI|AI|BI))?\b"")&amp;""C""),"""")"),"CRV 200-4-2CAI")</f>
        <v>CRV 200-4-2CAI</v>
      </c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4"/>
      <c r="W174" s="24">
        <f t="shared" si="1"/>
        <v>2</v>
      </c>
      <c r="X174" s="24">
        <f>IFERROR(__xludf.DUMMYFUNCTION("IFERROR(VALUE(REGEXEXTRACT(A174,""\b(\d+)/\d+\b"")),"""")"),1.0)</f>
        <v>1</v>
      </c>
      <c r="Y174" s="24">
        <f>IFERROR(__xludf.DUMMYFUNCTION("IFERROR(VALUE(REGEXEXTRACT(A174,""\b\d+/(\d+)\b"")),"""")
"),1.0)</f>
        <v>1</v>
      </c>
      <c r="Z174" s="24">
        <f t="array" ref="Z174">IFERROR(INDEX(CRV!BU:BU, MATCH(B174, CRV!A:A, 0)), "")</f>
        <v>110</v>
      </c>
      <c r="AA174" s="24">
        <f t="array" ref="AA174">IFERROR(INDEX(CRV!BV:BV, MATCH(B174, CRV!A:A, 0))*X174+4.5*2+7, "")</f>
        <v>211.1</v>
      </c>
      <c r="AB174" s="24" t="str">
        <f t="array" ref="AB174">IFERROR(IF(VALUE(XLOOKUP($B174,CRV!$A:$A,CRV!$BU:$BU))&lt;=5.5,"прямой пуск (DOL)","звезда-треугольник (SD)"),"")</f>
        <v>звезда-треугольник (SD)</v>
      </c>
      <c r="AC174" s="25" t="str">
        <f t="array" ref="AC174">IFERROR(INDEX(CRV!CA:CA, MATCH(B174, CRV!A:A, 0)), "")</f>
        <v>HUBE</v>
      </c>
      <c r="AD174" s="28"/>
      <c r="AE174" s="25" t="s">
        <v>76</v>
      </c>
    </row>
    <row r="175" ht="12.0" customHeight="1">
      <c r="A175" s="30" t="s">
        <v>234</v>
      </c>
      <c r="B175" s="24" t="str">
        <f>IFERROR(__xludf.DUMMYFUNCTION("IFERROR(IF(REGEXMATCH(REGEXEXTRACT(A175,""\bCRV\s*\d+(?:-\d+)+(?:-(?:A?BI|AI|BI))?\b""),""-(?:A?BI|AI|BI)$""),REGEXREPLACE(REGEXEXTRACT(A175,""\bCRV\s*\d+(?:-\d+)+(?:-(?:A?BI|AI|BI))?\b""),""-(A?BI|AI|BI)$"",""C$1""),REGEXEXTRACT(A175,""\bCRV\s*\d+(?:-\d+"&amp;")+(?:-(?:A?BI|AI|BI))?\b"")&amp;""C""),"""")"),"CRV 200-4-1CAI")</f>
        <v>CRV 200-4-1CAI</v>
      </c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4"/>
      <c r="W175" s="24">
        <f t="shared" si="1"/>
        <v>2</v>
      </c>
      <c r="X175" s="24">
        <f>IFERROR(__xludf.DUMMYFUNCTION("IFERROR(VALUE(REGEXEXTRACT(A175,""\b(\d+)/\d+\b"")),"""")"),1.0)</f>
        <v>1</v>
      </c>
      <c r="Y175" s="24">
        <f>IFERROR(__xludf.DUMMYFUNCTION("IFERROR(VALUE(REGEXEXTRACT(A175,""\b\d+/(\d+)\b"")),"""")
"),1.0)</f>
        <v>1</v>
      </c>
      <c r="Z175" s="24">
        <f t="array" ref="Z175">IFERROR(INDEX(CRV!BU:BU, MATCH(B175, CRV!A:A, 0)), "")</f>
        <v>110</v>
      </c>
      <c r="AA175" s="24">
        <f t="array" ref="AA175">IFERROR(INDEX(CRV!BV:BV, MATCH(B175, CRV!A:A, 0))*X175+4.5*2+7, "")</f>
        <v>211.1</v>
      </c>
      <c r="AB175" s="24" t="str">
        <f t="array" ref="AB175">IFERROR(IF(VALUE(XLOOKUP($B175,CRV!$A:$A,CRV!$BU:$BU))&lt;=5.5,"прямой пуск (DOL)","звезда-треугольник (SD)"),"")</f>
        <v>звезда-треугольник (SD)</v>
      </c>
      <c r="AC175" s="25" t="str">
        <f t="array" ref="AC175">IFERROR(INDEX(CRV!CA:CA, MATCH(B175, CRV!A:A, 0)), "")</f>
        <v>HUBE</v>
      </c>
      <c r="AD175" s="28"/>
      <c r="AE175" s="25" t="s">
        <v>76</v>
      </c>
    </row>
    <row r="176" ht="12.0" customHeight="1">
      <c r="A176" s="30" t="s">
        <v>235</v>
      </c>
      <c r="B176" s="24" t="str">
        <f>IFERROR(__xludf.DUMMYFUNCTION("IFERROR(IF(REGEXMATCH(REGEXEXTRACT(A176,""\bCRV\s*\d+(?:-\d+)+(?:-(?:A?BI|AI|BI))?\b""),""-(?:A?BI|AI|BI)$""),REGEXREPLACE(REGEXEXTRACT(A176,""\bCRV\s*\d+(?:-\d+)+(?:-(?:A?BI|AI|BI))?\b""),""-(A?BI|AI|BI)$"",""C$1""),REGEXEXTRACT(A176,""\bCRV\s*\d+(?:-\d+"&amp;")+(?:-(?:A?BI|AI|BI))?\b"")&amp;""C""),"""")"),"CRV 200-4C")</f>
        <v>CRV 200-4C</v>
      </c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4"/>
      <c r="W176" s="24">
        <f t="shared" si="1"/>
        <v>2</v>
      </c>
      <c r="X176" s="24">
        <f>IFERROR(__xludf.DUMMYFUNCTION("IFERROR(VALUE(REGEXEXTRACT(A176,""\b(\d+)/\d+\b"")),"""")"),1.0)</f>
        <v>1</v>
      </c>
      <c r="Y176" s="24">
        <f>IFERROR(__xludf.DUMMYFUNCTION("IFERROR(VALUE(REGEXEXTRACT(A176,""\b\d+/(\d+)\b"")),"""")
"),1.0)</f>
        <v>1</v>
      </c>
      <c r="Z176" s="24">
        <f t="array" ref="Z176">IFERROR(INDEX(CRV!BU:BU, MATCH(B176, CRV!A:A, 0)), "")</f>
        <v>110</v>
      </c>
      <c r="AA176" s="24">
        <f t="array" ref="AA176">IFERROR(INDEX(CRV!BV:BV, MATCH(B176, CRV!A:A, 0))*X176+4.5*2+7, "")</f>
        <v>211.1</v>
      </c>
      <c r="AB176" s="24" t="str">
        <f t="array" ref="AB176">IFERROR(IF(VALUE(XLOOKUP($B176,CRV!$A:$A,CRV!$BU:$BU))&lt;=5.5,"прямой пуск (DOL)","звезда-треугольник (SD)"),"")</f>
        <v>звезда-треугольник (SD)</v>
      </c>
      <c r="AC176" s="25" t="str">
        <f t="array" ref="AC176">IFERROR(INDEX(CRV!CA:CA, MATCH(B176, CRV!A:A, 0)), "")</f>
        <v>HUBE</v>
      </c>
      <c r="AD176" s="28"/>
      <c r="AE176" s="25" t="s">
        <v>76</v>
      </c>
    </row>
    <row r="177" ht="12.0" customHeight="1">
      <c r="A177" s="28"/>
      <c r="B177" s="24" t="str">
        <f>IFERROR(__xludf.DUMMYFUNCTION("IFERROR(IF(REGEXMATCH(REGEXEXTRACT(A177,""\bCRV\s*\d+(?:-\d+)+(?:-(?:A?BI|AI|BI))?\b""),""-(?:A?BI|AI|BI)$""),REGEXREPLACE(REGEXEXTRACT(A177,""\bCRV\s*\d+(?:-\d+)+(?:-(?:A?BI|AI|BI))?\b""),""-(A?BI|AI|BI)$"",""C$1""),REGEXEXTRACT(A177,""\bCRV\s*\d+(?:-\d+"&amp;")+(?:-(?:A?BI|AI|BI))?\b"")&amp;""C""),"""")"),"")</f>
        <v/>
      </c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4"/>
      <c r="W177" s="24" t="str">
        <f t="shared" si="1"/>
        <v/>
      </c>
      <c r="X177" s="24" t="str">
        <f>IFERROR(__xludf.DUMMYFUNCTION("IFERROR(VALUE(REGEXEXTRACT(A177,""\b(\d+)/\d+\b"")),"""")"),"")</f>
        <v/>
      </c>
      <c r="Y177" s="24" t="str">
        <f>IFERROR(__xludf.DUMMYFUNCTION("IFERROR(VALUE(REGEXEXTRACT(A177,""\b\d+/(\d+)\b"")),"""")
"),"")</f>
        <v/>
      </c>
      <c r="Z177" s="24" t="str">
        <f t="array" ref="Z177">IFERROR(INDEX(CRV!BU:BU, MATCH(B177, CRV!A:A, 0)), "")</f>
        <v/>
      </c>
      <c r="AA177" s="24" t="str">
        <f t="array" ref="AA177">IFERROR(INDEX(CRV!BV:BV, MATCH(B177, CRV!A:A, 0))*X177+4.5*2+7, "")</f>
        <v/>
      </c>
      <c r="AB177" s="24" t="str">
        <f t="array" ref="AB177">IFERROR(IF(VALUE(XLOOKUP($B177,CRV!$A:$A,CRV!$BU:$BU))&lt;=5.5,"прямой пуск (DOL)","звезда-треугольник (SD)"),"")</f>
        <v/>
      </c>
      <c r="AC177" s="25" t="str">
        <f t="array" ref="AC177">IFERROR(INDEX(CRV!CA:CA, MATCH(B177, CRV!A:A, 0)), "")</f>
        <v/>
      </c>
      <c r="AD177" s="28"/>
      <c r="AE177" s="28"/>
    </row>
    <row r="178" ht="12.0" customHeight="1">
      <c r="A178" s="30" t="s">
        <v>236</v>
      </c>
      <c r="B178" s="24" t="str">
        <f>IFERROR(__xludf.DUMMYFUNCTION("IFERROR(IF(REGEXMATCH(REGEXEXTRACT(A178,""\bCRV\s*\d+(?:-\d+)+(?:-(?:A?BI|AI|BI))?\b""),""-(?:A?BI|AI|BI)$""),REGEXREPLACE(REGEXEXTRACT(A178,""\bCRV\s*\d+(?:-\d+)+(?:-(?:A?BI|AI|BI))?\b""),""-(A?BI|AI|BI)$"",""C$1""),REGEXEXTRACT(A178,""\bCRV\s*\d+(?:-\d+"&amp;")+(?:-(?:A?BI|AI|BI))?\b"")&amp;""C""),"""")"),"CRV 320-1-1C")</f>
        <v>CRV 320-1-1C</v>
      </c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4"/>
      <c r="W178" s="24">
        <f t="shared" si="1"/>
        <v>2</v>
      </c>
      <c r="X178" s="24">
        <f>IFERROR(__xludf.DUMMYFUNCTION("IFERROR(VALUE(REGEXEXTRACT(A178,""\b(\d+)/\d+\b"")),"""")"),1.0)</f>
        <v>1</v>
      </c>
      <c r="Y178" s="24">
        <f>IFERROR(__xludf.DUMMYFUNCTION("IFERROR(VALUE(REGEXEXTRACT(A178,""\b\d+/(\d+)\b"")),"""")
"),1.0)</f>
        <v>1</v>
      </c>
      <c r="Z178" s="24">
        <f t="array" ref="Z178">IFERROR(INDEX(CRV!BU:BU, MATCH(B178, CRV!A:A, 0)), "")</f>
        <v>30</v>
      </c>
      <c r="AA178" s="24">
        <f t="array" ref="AA178">IFERROR(INDEX(CRV!BV:BV, MATCH(B178, CRV!A:A, 0))*X178+4.5*2+7, "")</f>
        <v>70.9</v>
      </c>
      <c r="AB178" s="24" t="str">
        <f t="array" ref="AB178">IFERROR(IF(VALUE(XLOOKUP($B178,CRV!$A:$A,CRV!$BU:$BU))&lt;=5.5,"прямой пуск (DOL)","звезда-треугольник (SD)"),"")</f>
        <v>звезда-треугольник (SD)</v>
      </c>
      <c r="AC178" s="25" t="str">
        <f t="array" ref="AC178">IFERROR(INDEX(CRV!CA:CA, MATCH(B178, CRV!A:A, 0)), "")</f>
        <v>HUBE</v>
      </c>
      <c r="AD178" s="28"/>
      <c r="AE178" s="25" t="s">
        <v>76</v>
      </c>
    </row>
    <row r="179" ht="12.0" customHeight="1">
      <c r="A179" s="30" t="s">
        <v>237</v>
      </c>
      <c r="B179" s="24" t="str">
        <f>IFERROR(__xludf.DUMMYFUNCTION("IFERROR(IF(REGEXMATCH(REGEXEXTRACT(A179,""\bCRV\s*\d+(?:-\d+)+(?:-(?:A?BI|AI|BI))?\b""),""-(?:A?BI|AI|BI)$""),REGEXREPLACE(REGEXEXTRACT(A179,""\bCRV\s*\d+(?:-\d+)+(?:-(?:A?BI|AI|BI))?\b""),""-(A?BI|AI|BI)$"",""C$1""),REGEXEXTRACT(A179,""\bCRV\s*\d+(?:-\d+"&amp;")+(?:-(?:A?BI|AI|BI))?\b"")&amp;""C""),"""")"),"CRV 320-1C")</f>
        <v>CRV 320-1C</v>
      </c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4"/>
      <c r="W179" s="24">
        <f t="shared" si="1"/>
        <v>2</v>
      </c>
      <c r="X179" s="24">
        <f>IFERROR(__xludf.DUMMYFUNCTION("IFERROR(VALUE(REGEXEXTRACT(A179,""\b(\d+)/\d+\b"")),"""")"),1.0)</f>
        <v>1</v>
      </c>
      <c r="Y179" s="24">
        <f>IFERROR(__xludf.DUMMYFUNCTION("IFERROR(VALUE(REGEXEXTRACT(A179,""\b\d+/(\d+)\b"")),"""")
"),1.0)</f>
        <v>1</v>
      </c>
      <c r="Z179" s="24">
        <f t="array" ref="Z179">IFERROR(INDEX(CRV!BU:BU, MATCH(B179, CRV!A:A, 0)), "")</f>
        <v>45</v>
      </c>
      <c r="AA179" s="24">
        <f t="array" ref="AA179">IFERROR(INDEX(CRV!BV:BV, MATCH(B179, CRV!A:A, 0))*X179+4.5*2+7, "")</f>
        <v>96.8</v>
      </c>
      <c r="AB179" s="24" t="str">
        <f t="array" ref="AB179">IFERROR(IF(VALUE(XLOOKUP($B179,CRV!$A:$A,CRV!$BU:$BU))&lt;=5.5,"прямой пуск (DOL)","звезда-треугольник (SD)"),"")</f>
        <v>звезда-треугольник (SD)</v>
      </c>
      <c r="AC179" s="25" t="str">
        <f t="array" ref="AC179">IFERROR(INDEX(CRV!CA:CA, MATCH(B179, CRV!A:A, 0)), "")</f>
        <v>HUBE</v>
      </c>
      <c r="AD179" s="28"/>
      <c r="AE179" s="25" t="s">
        <v>76</v>
      </c>
    </row>
    <row r="180" ht="12.0" customHeight="1">
      <c r="A180" s="30" t="s">
        <v>238</v>
      </c>
      <c r="B180" s="24" t="str">
        <f>IFERROR(__xludf.DUMMYFUNCTION("IFERROR(IF(REGEXMATCH(REGEXEXTRACT(A180,""\bCRV\s*\d+(?:-\d+)+(?:-(?:A?BI|AI|BI))?\b""),""-(?:A?BI|AI|BI)$""),REGEXREPLACE(REGEXEXTRACT(A180,""\bCRV\s*\d+(?:-\d+)+(?:-(?:A?BI|AI|BI))?\b""),""-(A?BI|AI|BI)$"",""C$1""),REGEXEXTRACT(A180,""\bCRV\s*\d+(?:-\d+"&amp;")+(?:-(?:A?BI|AI|BI))?\b"")&amp;""C""),"""")"),"CRV 320-2-2C")</f>
        <v>CRV 320-2-2C</v>
      </c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4"/>
      <c r="W180" s="24">
        <f t="shared" si="1"/>
        <v>2</v>
      </c>
      <c r="X180" s="24">
        <f>IFERROR(__xludf.DUMMYFUNCTION("IFERROR(VALUE(REGEXEXTRACT(A180,""\b(\d+)/\d+\b"")),"""")"),1.0)</f>
        <v>1</v>
      </c>
      <c r="Y180" s="24">
        <f>IFERROR(__xludf.DUMMYFUNCTION("IFERROR(VALUE(REGEXEXTRACT(A180,""\b\d+/(\d+)\b"")),"""")
"),1.0)</f>
        <v>1</v>
      </c>
      <c r="Z180" s="24">
        <f t="array" ref="Z180">IFERROR(INDEX(CRV!BU:BU, MATCH(B180, CRV!A:A, 0)), "")</f>
        <v>55</v>
      </c>
      <c r="AA180" s="24">
        <f t="array" ref="AA180">IFERROR(INDEX(CRV!BV:BV, MATCH(B180, CRV!A:A, 0))*X180+4.5*2+7, "")</f>
        <v>114.5</v>
      </c>
      <c r="AB180" s="24" t="str">
        <f t="array" ref="AB180">IFERROR(IF(VALUE(XLOOKUP($B180,CRV!$A:$A,CRV!$BU:$BU))&lt;=5.5,"прямой пуск (DOL)","звезда-треугольник (SD)"),"")</f>
        <v>звезда-треугольник (SD)</v>
      </c>
      <c r="AC180" s="25" t="str">
        <f t="array" ref="AC180">IFERROR(INDEX(CRV!CA:CA, MATCH(B180, CRV!A:A, 0)), "")</f>
        <v>HUBE</v>
      </c>
      <c r="AD180" s="28"/>
      <c r="AE180" s="25" t="s">
        <v>76</v>
      </c>
    </row>
    <row r="181" ht="12.0" customHeight="1">
      <c r="A181" s="30" t="s">
        <v>239</v>
      </c>
      <c r="B181" s="24" t="str">
        <f>IFERROR(__xludf.DUMMYFUNCTION("IFERROR(IF(REGEXMATCH(REGEXEXTRACT(A181,""\bCRV\s*\d+(?:-\d+)+(?:-(?:A?BI|AI|BI))?\b""),""-(?:A?BI|AI|BI)$""),REGEXREPLACE(REGEXEXTRACT(A181,""\bCRV\s*\d+(?:-\d+)+(?:-(?:A?BI|AI|BI))?\b""),""-(A?BI|AI|BI)$"",""C$1""),REGEXEXTRACT(A181,""\bCRV\s*\d+(?:-\d+"&amp;")+(?:-(?:A?BI|AI|BI))?\b"")&amp;""C""),"""")"),"CRV 320-2-1C")</f>
        <v>CRV 320-2-1C</v>
      </c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4"/>
      <c r="W181" s="24">
        <f t="shared" si="1"/>
        <v>2</v>
      </c>
      <c r="X181" s="24">
        <f>IFERROR(__xludf.DUMMYFUNCTION("IFERROR(VALUE(REGEXEXTRACT(A181,""\b(\d+)/\d+\b"")),"""")"),1.0)</f>
        <v>1</v>
      </c>
      <c r="Y181" s="24">
        <f>IFERROR(__xludf.DUMMYFUNCTION("IFERROR(VALUE(REGEXEXTRACT(A181,""\b\d+/(\d+)\b"")),"""")
"),1.0)</f>
        <v>1</v>
      </c>
      <c r="Z181" s="24">
        <f t="array" ref="Z181">IFERROR(INDEX(CRV!BU:BU, MATCH(B181, CRV!A:A, 0)), "")</f>
        <v>75</v>
      </c>
      <c r="AA181" s="24">
        <f t="array" ref="AA181">IFERROR(INDEX(CRV!BV:BV, MATCH(B181, CRV!A:A, 0))*X181+4.5*2+7, "")</f>
        <v>149.7</v>
      </c>
      <c r="AB181" s="24" t="str">
        <f t="array" ref="AB181">IFERROR(IF(VALUE(XLOOKUP($B181,CRV!$A:$A,CRV!$BU:$BU))&lt;=5.5,"прямой пуск (DOL)","звезда-треугольник (SD)"),"")</f>
        <v>звезда-треугольник (SD)</v>
      </c>
      <c r="AC181" s="25" t="str">
        <f t="array" ref="AC181">IFERROR(INDEX(CRV!CA:CA, MATCH(B181, CRV!A:A, 0)), "")</f>
        <v>HUBE</v>
      </c>
      <c r="AD181" s="28"/>
      <c r="AE181" s="25" t="s">
        <v>76</v>
      </c>
    </row>
    <row r="182" ht="12.0" customHeight="1">
      <c r="A182" s="30" t="s">
        <v>240</v>
      </c>
      <c r="B182" s="24" t="str">
        <f>IFERROR(__xludf.DUMMYFUNCTION("IFERROR(IF(REGEXMATCH(REGEXEXTRACT(A182,""\bCRV\s*\d+(?:-\d+)+(?:-(?:A?BI|AI|BI))?\b""),""-(?:A?BI|AI|BI)$""),REGEXREPLACE(REGEXEXTRACT(A182,""\bCRV\s*\d+(?:-\d+)+(?:-(?:A?BI|AI|BI))?\b""),""-(A?BI|AI|BI)$"",""C$1""),REGEXEXTRACT(A182,""\bCRV\s*\d+(?:-\d+"&amp;")+(?:-(?:A?BI|AI|BI))?\b"")&amp;""C""),"""")"),"CRV 320-2C")</f>
        <v>CRV 320-2C</v>
      </c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4"/>
      <c r="W182" s="24">
        <f t="shared" si="1"/>
        <v>2</v>
      </c>
      <c r="X182" s="24">
        <f>IFERROR(__xludf.DUMMYFUNCTION("IFERROR(VALUE(REGEXEXTRACT(A182,""\b(\d+)/\d+\b"")),"""")"),1.0)</f>
        <v>1</v>
      </c>
      <c r="Y182" s="24">
        <f>IFERROR(__xludf.DUMMYFUNCTION("IFERROR(VALUE(REGEXEXTRACT(A182,""\b\d+/(\d+)\b"")),"""")
"),1.0)</f>
        <v>1</v>
      </c>
      <c r="Z182" s="24">
        <f t="array" ref="Z182">IFERROR(INDEX(CRV!BU:BU, MATCH(B182, CRV!A:A, 0)), "")</f>
        <v>90</v>
      </c>
      <c r="AA182" s="24">
        <f t="array" ref="AA182">IFERROR(INDEX(CRV!BV:BV, MATCH(B182, CRV!A:A, 0))*X182+4.5*2+7, "")</f>
        <v>175.9</v>
      </c>
      <c r="AB182" s="24" t="str">
        <f t="array" ref="AB182">IFERROR(IF(VALUE(XLOOKUP($B182,CRV!$A:$A,CRV!$BU:$BU))&lt;=5.5,"прямой пуск (DOL)","звезда-треугольник (SD)"),"")</f>
        <v>звезда-треугольник (SD)</v>
      </c>
      <c r="AC182" s="25" t="str">
        <f t="array" ref="AC182">IFERROR(INDEX(CRV!CA:CA, MATCH(B182, CRV!A:A, 0)), "")</f>
        <v>HUBE</v>
      </c>
      <c r="AD182" s="28"/>
      <c r="AE182" s="25" t="s">
        <v>76</v>
      </c>
    </row>
    <row r="183" ht="12.0" customHeight="1">
      <c r="A183" s="30" t="s">
        <v>241</v>
      </c>
      <c r="B183" s="24" t="str">
        <f>IFERROR(__xludf.DUMMYFUNCTION("IFERROR(IF(REGEXMATCH(REGEXEXTRACT(A183,""\bCRV\s*\d+(?:-\d+)+(?:-(?:A?BI|AI|BI))?\b""),""-(?:A?BI|AI|BI)$""),REGEXREPLACE(REGEXEXTRACT(A183,""\bCRV\s*\d+(?:-\d+)+(?:-(?:A?BI|AI|BI))?\b""),""-(A?BI|AI|BI)$"",""C$1""),REGEXEXTRACT(A183,""\bCRV\s*\d+(?:-\d+"&amp;")+(?:-(?:A?BI|AI|BI))?\b"")&amp;""C""),"""")"),"CRV 320-3-2C")</f>
        <v>CRV 320-3-2C</v>
      </c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4"/>
      <c r="W183" s="24">
        <f t="shared" si="1"/>
        <v>2</v>
      </c>
      <c r="X183" s="24">
        <f>IFERROR(__xludf.DUMMYFUNCTION("IFERROR(VALUE(REGEXEXTRACT(A183,""\b(\d+)/\d+\b"")),"""")"),1.0)</f>
        <v>1</v>
      </c>
      <c r="Y183" s="24">
        <f>IFERROR(__xludf.DUMMYFUNCTION("IFERROR(VALUE(REGEXEXTRACT(A183,""\b\d+/(\d+)\b"")),"""")
"),1.0)</f>
        <v>1</v>
      </c>
      <c r="Z183" s="24">
        <f t="array" ref="Z183">IFERROR(INDEX(CRV!BU:BU, MATCH(B183, CRV!A:A, 0)), "")</f>
        <v>110</v>
      </c>
      <c r="AA183" s="24">
        <f t="array" ref="AA183">IFERROR(INDEX(CRV!BV:BV, MATCH(B183, CRV!A:A, 0))*X183+4.5*2+7, "")</f>
        <v>211.1</v>
      </c>
      <c r="AB183" s="24" t="str">
        <f t="array" ref="AB183">IFERROR(IF(VALUE(XLOOKUP($B183,CRV!$A:$A,CRV!$BU:$BU))&lt;=5.5,"прямой пуск (DOL)","звезда-треугольник (SD)"),"")</f>
        <v>звезда-треугольник (SD)</v>
      </c>
      <c r="AC183" s="25" t="str">
        <f t="array" ref="AC183">IFERROR(INDEX(CRV!CA:CA, MATCH(B183, CRV!A:A, 0)), "")</f>
        <v>HUBE</v>
      </c>
      <c r="AD183" s="28"/>
      <c r="AE183" s="25" t="s">
        <v>76</v>
      </c>
    </row>
    <row r="184" ht="12.0" customHeight="1">
      <c r="A184" s="30" t="s">
        <v>242</v>
      </c>
      <c r="B184" s="24" t="str">
        <f>IFERROR(__xludf.DUMMYFUNCTION("IFERROR(IF(REGEXMATCH(REGEXEXTRACT(A184,""\bCRV\s*\d+(?:-\d+)+(?:-(?:A?BI|AI|BI))?\b""),""-(?:A?BI|AI|BI)$""),REGEXREPLACE(REGEXEXTRACT(A184,""\bCRV\s*\d+(?:-\d+)+(?:-(?:A?BI|AI|BI))?\b""),""-(A?BI|AI|BI)$"",""C$1""),REGEXEXTRACT(A184,""\bCRV\s*\d+(?:-\d+"&amp;")+(?:-(?:A?BI|AI|BI))?\b"")&amp;""C""),"""")"),"CRV 320-3-1C")</f>
        <v>CRV 320-3-1C</v>
      </c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4"/>
      <c r="W184" s="24">
        <f t="shared" si="1"/>
        <v>2</v>
      </c>
      <c r="X184" s="24">
        <f>IFERROR(__xludf.DUMMYFUNCTION("IFERROR(VALUE(REGEXEXTRACT(A184,""\b(\d+)/\d+\b"")),"""")"),1.0)</f>
        <v>1</v>
      </c>
      <c r="Y184" s="24">
        <f>IFERROR(__xludf.DUMMYFUNCTION("IFERROR(VALUE(REGEXEXTRACT(A184,""\b\d+/(\d+)\b"")),"""")
"),1.0)</f>
        <v>1</v>
      </c>
      <c r="Z184" s="24">
        <f t="array" ref="Z184">IFERROR(INDEX(CRV!BU:BU, MATCH(B184, CRV!A:A, 0)), "")</f>
        <v>110</v>
      </c>
      <c r="AA184" s="24">
        <f t="array" ref="AA184">IFERROR(INDEX(CRV!BV:BV, MATCH(B184, CRV!A:A, 0))*X184+4.5*2+7, "")</f>
        <v>211.1</v>
      </c>
      <c r="AB184" s="24" t="str">
        <f t="array" ref="AB184">IFERROR(IF(VALUE(XLOOKUP($B184,CRV!$A:$A,CRV!$BU:$BU))&lt;=5.5,"прямой пуск (DOL)","звезда-треугольник (SD)"),"")</f>
        <v>звезда-треугольник (SD)</v>
      </c>
      <c r="AC184" s="25" t="str">
        <f t="array" ref="AC184">IFERROR(INDEX(CRV!CA:CA, MATCH(B184, CRV!A:A, 0)), "")</f>
        <v>HUBE</v>
      </c>
      <c r="AD184" s="28"/>
      <c r="AE184" s="25" t="s">
        <v>76</v>
      </c>
    </row>
    <row r="185" ht="12.0" customHeight="1">
      <c r="A185" s="28"/>
      <c r="B185" s="24" t="str">
        <f>IFERROR(__xludf.DUMMYFUNCTION("IFERROR(IF(REGEXMATCH(REGEXEXTRACT(A185,""\bCRV\s*\d+(?:-\d+)+(?:-(?:A?BI|AI|BI))?\b""),""-(?:A?BI|AI|BI)$""),REGEXREPLACE(REGEXEXTRACT(A185,""\bCRV\s*\d+(?:-\d+)+(?:-(?:A?BI|AI|BI))?\b""),""-(A?BI|AI|BI)$"",""C$1""),REGEXEXTRACT(A185,""\bCRV\s*\d+(?:-\d+"&amp;")+(?:-(?:A?BI|AI|BI))?\b"")&amp;""C""),"""")"),"")</f>
        <v/>
      </c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4"/>
      <c r="W185" s="24" t="str">
        <f t="shared" si="1"/>
        <v/>
      </c>
      <c r="X185" s="24" t="str">
        <f>IFERROR(__xludf.DUMMYFUNCTION("IFERROR(VALUE(REGEXEXTRACT(A185,""\b(\d+)/\d+\b"")),"""")"),"")</f>
        <v/>
      </c>
      <c r="Y185" s="24" t="str">
        <f>IFERROR(__xludf.DUMMYFUNCTION("IFERROR(VALUE(REGEXEXTRACT(A185,""\b\d+/(\d+)\b"")),"""")
"),"")</f>
        <v/>
      </c>
      <c r="Z185" s="24" t="str">
        <f t="array" ref="Z185">IFERROR(INDEX(CRV!BU:BU, MATCH(B185, CRV!A:A, 0)), "")</f>
        <v/>
      </c>
      <c r="AA185" s="24" t="str">
        <f t="array" ref="AA185">IFERROR(INDEX(CRV!BV:BV, MATCH(B185, CRV!A:A, 0))*X185+4.5*2+7, "")</f>
        <v/>
      </c>
      <c r="AB185" s="24" t="str">
        <f t="array" ref="AB185">IFERROR(IF(VALUE(XLOOKUP($B185,CRV!$A:$A,CRV!$BU:$BU))&lt;=5.5,"прямой пуск (DOL)","звезда-треугольник (SD)"),"")</f>
        <v/>
      </c>
      <c r="AC185" s="25" t="str">
        <f t="array" ref="AC185">IFERROR(INDEX(CRV!CA:CA, MATCH(B185, CRV!A:A, 0)), "")</f>
        <v/>
      </c>
      <c r="AD185" s="28"/>
      <c r="AE185" s="28"/>
    </row>
    <row r="186" ht="12.0" customHeight="1">
      <c r="A186" s="25" t="s">
        <v>243</v>
      </c>
      <c r="B186" s="24" t="str">
        <f>IFERROR(__xludf.DUMMYFUNCTION("IFERROR(IF(REGEXMATCH(REGEXEXTRACT(A186,""\bCRV\s*\d+(?:-\d+)+(?:-(?:A?BI|AI|BI))?\b""),""-(?:A?BI|AI|BI)$""),REGEXREPLACE(REGEXEXTRACT(A186,""\bCRV\s*\d+(?:-\d+)+(?:-(?:A?BI|AI|BI))?\b""),""-(A?BI|AI|BI)$"",""C$1""),REGEXEXTRACT(A186,""\bCRV\s*\d+(?:-\d+"&amp;")+(?:-(?:A?BI|AI|BI))?\b"")&amp;""C""),"""")"),"CRV 10-1C")</f>
        <v>CRV 10-1C</v>
      </c>
      <c r="C186" s="24">
        <v>1850.0</v>
      </c>
      <c r="D186" s="24">
        <v>613.0</v>
      </c>
      <c r="E186" s="24">
        <v>180.0</v>
      </c>
      <c r="F186" s="24">
        <v>565.0</v>
      </c>
      <c r="G186" s="24">
        <v>520.0</v>
      </c>
      <c r="H186" s="24">
        <v>1549.0</v>
      </c>
      <c r="I186" s="24">
        <v>1085.0</v>
      </c>
      <c r="J186" s="24">
        <v>2210.0</v>
      </c>
      <c r="K186" s="24">
        <v>427.0</v>
      </c>
      <c r="L186" s="24" t="s">
        <v>244</v>
      </c>
      <c r="M186" s="24" t="s">
        <v>244</v>
      </c>
      <c r="N186" s="24">
        <v>385.0</v>
      </c>
      <c r="O186" s="24">
        <v>100.0</v>
      </c>
      <c r="P186" s="24"/>
      <c r="Q186" s="25" t="s">
        <v>245</v>
      </c>
      <c r="R186" s="24">
        <v>1200.0</v>
      </c>
      <c r="S186" s="24">
        <v>800.0</v>
      </c>
      <c r="T186" s="24">
        <v>860.0</v>
      </c>
      <c r="U186" s="24">
        <v>450.0</v>
      </c>
      <c r="V186" s="24"/>
      <c r="W186" s="24">
        <f t="shared" si="1"/>
        <v>3</v>
      </c>
      <c r="X186" s="24">
        <f>IFERROR(__xludf.DUMMYFUNCTION("IFERROR(VALUE(REGEXEXTRACT(A186,""\b(\d+)/\d+\b"")),"""")"),2.0)</f>
        <v>2</v>
      </c>
      <c r="Y186" s="24">
        <f>IFERROR(__xludf.DUMMYFUNCTION("IFERROR(VALUE(REGEXEXTRACT(A186,""\b\d+/(\d+)\b"")),"""")
"),1.0)</f>
        <v>1</v>
      </c>
      <c r="Z186" s="24">
        <f t="array" ref="Z186">IFERROR(INDEX(CRV!BU:BU, MATCH(B186, CRV!A:A, 0)), "")</f>
        <v>0.37</v>
      </c>
      <c r="AA186" s="24">
        <f t="array" ref="AA186">IFERROR(INDEX(CRV!BV:BV, MATCH(B186, CRV!A:A, 0))*X186+4.5*2+7, "")</f>
        <v>19.2</v>
      </c>
      <c r="AB186" s="24" t="str">
        <f t="array" ref="AB186">IFERROR(IF(VALUE(XLOOKUP($B186,CRV!$A:$A,CRV!$BU:$BU))&lt;=5.5,"прямой пуск (DOL)","звезда-треугольник (SD)"),"")</f>
        <v>прямой пуск (DOL)</v>
      </c>
      <c r="AC186" s="25" t="str">
        <f t="array" ref="AC186">IFERROR(INDEX(CRV!CA:CA, MATCH(B186, CRV!A:A, 0)), "")</f>
        <v>HQQE</v>
      </c>
      <c r="AD186" s="25">
        <v>317.0</v>
      </c>
      <c r="AE186" s="24">
        <v>7.5211422E7</v>
      </c>
    </row>
    <row r="187" ht="12.0" customHeight="1">
      <c r="A187" s="25" t="s">
        <v>246</v>
      </c>
      <c r="B187" s="24" t="str">
        <f>IFERROR(__xludf.DUMMYFUNCTION("IFERROR(IF(REGEXMATCH(REGEXEXTRACT(A187,""\bCRV\s*\d+(?:-\d+)+(?:-(?:A?BI|AI|BI))?\b""),""-(?:A?BI|AI|BI)$""),REGEXREPLACE(REGEXEXTRACT(A187,""\bCRV\s*\d+(?:-\d+)+(?:-(?:A?BI|AI|BI))?\b""),""-(A?BI|AI|BI)$"",""C$1""),REGEXEXTRACT(A187,""\bCRV\s*\d+(?:-\d+"&amp;")+(?:-(?:A?BI|AI|BI))?\b"")&amp;""C""),"""")"),"CRV 10-2C")</f>
        <v>CRV 10-2C</v>
      </c>
      <c r="C187" s="24">
        <v>1850.0</v>
      </c>
      <c r="D187" s="24">
        <v>643.0</v>
      </c>
      <c r="E187" s="24">
        <v>180.0</v>
      </c>
      <c r="F187" s="24">
        <v>565.0</v>
      </c>
      <c r="G187" s="24">
        <v>520.0</v>
      </c>
      <c r="H187" s="24">
        <v>1549.0</v>
      </c>
      <c r="I187" s="24">
        <v>1085.0</v>
      </c>
      <c r="J187" s="24">
        <v>2210.0</v>
      </c>
      <c r="K187" s="24">
        <v>427.0</v>
      </c>
      <c r="L187" s="24" t="s">
        <v>244</v>
      </c>
      <c r="M187" s="24" t="s">
        <v>244</v>
      </c>
      <c r="N187" s="24">
        <v>385.0</v>
      </c>
      <c r="O187" s="24">
        <v>100.0</v>
      </c>
      <c r="P187" s="24"/>
      <c r="Q187" s="25" t="s">
        <v>245</v>
      </c>
      <c r="R187" s="24">
        <v>1200.0</v>
      </c>
      <c r="S187" s="24">
        <v>800.0</v>
      </c>
      <c r="T187" s="24">
        <v>860.0</v>
      </c>
      <c r="U187" s="24">
        <v>450.0</v>
      </c>
      <c r="V187" s="24"/>
      <c r="W187" s="24">
        <f t="shared" si="1"/>
        <v>3</v>
      </c>
      <c r="X187" s="24">
        <f>IFERROR(__xludf.DUMMYFUNCTION("IFERROR(VALUE(REGEXEXTRACT(A187,""\b(\d+)/\d+\b"")),"""")"),2.0)</f>
        <v>2</v>
      </c>
      <c r="Y187" s="24">
        <f>IFERROR(__xludf.DUMMYFUNCTION("IFERROR(VALUE(REGEXEXTRACT(A187,""\b\d+/(\d+)\b"")),"""")
"),1.0)</f>
        <v>1</v>
      </c>
      <c r="Z187" s="24">
        <f t="array" ref="Z187">IFERROR(INDEX(CRV!BU:BU, MATCH(B187, CRV!A:A, 0)), "")</f>
        <v>0.75</v>
      </c>
      <c r="AA187" s="24">
        <f t="array" ref="AA187">IFERROR(INDEX(CRV!BV:BV, MATCH(B187, CRV!A:A, 0))*X187+4.5*2+7, "")</f>
        <v>22</v>
      </c>
      <c r="AB187" s="24" t="str">
        <f t="array" ref="AB187">IFERROR(IF(VALUE(XLOOKUP($B187,CRV!$A:$A,CRV!$BU:$BU))&lt;=5.5,"прямой пуск (DOL)","звезда-треугольник (SD)"),"")</f>
        <v>прямой пуск (DOL)</v>
      </c>
      <c r="AC187" s="25" t="str">
        <f t="array" ref="AC187">IFERROR(INDEX(CRV!CA:CA, MATCH(B187, CRV!A:A, 0)), "")</f>
        <v>HQQE</v>
      </c>
      <c r="AD187" s="25">
        <v>323.0</v>
      </c>
      <c r="AE187" s="24">
        <v>7.5211423E7</v>
      </c>
    </row>
    <row r="188" ht="12.0" customHeight="1">
      <c r="A188" s="25" t="s">
        <v>247</v>
      </c>
      <c r="B188" s="24" t="str">
        <f>IFERROR(__xludf.DUMMYFUNCTION("IFERROR(IF(REGEXMATCH(REGEXEXTRACT(A188,""\bCRV\s*\d+(?:-\d+)+(?:-(?:A?BI|AI|BI))?\b""),""-(?:A?BI|AI|BI)$""),REGEXREPLACE(REGEXEXTRACT(A188,""\bCRV\s*\d+(?:-\d+)+(?:-(?:A?BI|AI|BI))?\b""),""-(A?BI|AI|BI)$"",""C$1""),REGEXEXTRACT(A188,""\bCRV\s*\d+(?:-\d+"&amp;")+(?:-(?:A?BI|AI|BI))?\b"")&amp;""C""),"""")"),"CRV 10-3C")</f>
        <v>CRV 10-3C</v>
      </c>
      <c r="C188" s="24">
        <v>1850.0</v>
      </c>
      <c r="D188" s="24">
        <v>710.0</v>
      </c>
      <c r="E188" s="24">
        <v>180.0</v>
      </c>
      <c r="F188" s="24">
        <v>565.0</v>
      </c>
      <c r="G188" s="24">
        <v>520.0</v>
      </c>
      <c r="H188" s="24">
        <v>1549.0</v>
      </c>
      <c r="I188" s="24">
        <v>1085.0</v>
      </c>
      <c r="J188" s="24">
        <v>2210.0</v>
      </c>
      <c r="K188" s="24">
        <v>427.0</v>
      </c>
      <c r="L188" s="24" t="s">
        <v>244</v>
      </c>
      <c r="M188" s="24" t="s">
        <v>244</v>
      </c>
      <c r="N188" s="24">
        <v>385.0</v>
      </c>
      <c r="O188" s="24">
        <v>100.0</v>
      </c>
      <c r="P188" s="24"/>
      <c r="Q188" s="25" t="s">
        <v>245</v>
      </c>
      <c r="R188" s="24">
        <v>1200.0</v>
      </c>
      <c r="S188" s="24">
        <v>800.0</v>
      </c>
      <c r="T188" s="24">
        <v>860.0</v>
      </c>
      <c r="U188" s="24">
        <v>450.0</v>
      </c>
      <c r="V188" s="24"/>
      <c r="W188" s="24">
        <f t="shared" si="1"/>
        <v>3</v>
      </c>
      <c r="X188" s="24">
        <f>IFERROR(__xludf.DUMMYFUNCTION("IFERROR(VALUE(REGEXEXTRACT(A188,""\b(\d+)/\d+\b"")),"""")"),2.0)</f>
        <v>2</v>
      </c>
      <c r="Y188" s="24">
        <f>IFERROR(__xludf.DUMMYFUNCTION("IFERROR(VALUE(REGEXEXTRACT(A188,""\b\d+/(\d+)\b"")),"""")
"),1.0)</f>
        <v>1</v>
      </c>
      <c r="Z188" s="24">
        <f t="array" ref="Z188">IFERROR(INDEX(CRV!BU:BU, MATCH(B188, CRV!A:A, 0)), "")</f>
        <v>1.1</v>
      </c>
      <c r="AA188" s="24">
        <f t="array" ref="AA188">IFERROR(INDEX(CRV!BV:BV, MATCH(B188, CRV!A:A, 0))*X188+4.5*2+7, "")</f>
        <v>24.4</v>
      </c>
      <c r="AB188" s="24" t="str">
        <f t="array" ref="AB188">IFERROR(IF(VALUE(XLOOKUP($B188,CRV!$A:$A,CRV!$BU:$BU))&lt;=5.5,"прямой пуск (DOL)","звезда-треугольник (SD)"),"")</f>
        <v>прямой пуск (DOL)</v>
      </c>
      <c r="AC188" s="25" t="str">
        <f t="array" ref="AC188">IFERROR(INDEX(CRV!CA:CA, MATCH(B188, CRV!A:A, 0)), "")</f>
        <v>HQQE</v>
      </c>
      <c r="AD188" s="25">
        <v>335.0</v>
      </c>
      <c r="AE188" s="24">
        <v>7.5211424E7</v>
      </c>
    </row>
    <row r="189" ht="12.0" customHeight="1">
      <c r="A189" s="25" t="s">
        <v>248</v>
      </c>
      <c r="B189" s="24" t="str">
        <f>IFERROR(__xludf.DUMMYFUNCTION("IFERROR(IF(REGEXMATCH(REGEXEXTRACT(A189,""\bCRV\s*\d+(?:-\d+)+(?:-(?:A?BI|AI|BI))?\b""),""-(?:A?BI|AI|BI)$""),REGEXREPLACE(REGEXEXTRACT(A189,""\bCRV\s*\d+(?:-\d+)+(?:-(?:A?BI|AI|BI))?\b""),""-(A?BI|AI|BI)$"",""C$1""),REGEXEXTRACT(A189,""\bCRV\s*\d+(?:-\d+"&amp;")+(?:-(?:A?BI|AI|BI))?\b"")&amp;""C""),"""")"),"CRV 10-4C")</f>
        <v>CRV 10-4C</v>
      </c>
      <c r="C189" s="24">
        <v>1850.0</v>
      </c>
      <c r="D189" s="24">
        <v>740.0</v>
      </c>
      <c r="E189" s="24">
        <v>180.0</v>
      </c>
      <c r="F189" s="24">
        <v>565.0</v>
      </c>
      <c r="G189" s="24">
        <v>520.0</v>
      </c>
      <c r="H189" s="24">
        <v>1549.0</v>
      </c>
      <c r="I189" s="24">
        <v>1085.0</v>
      </c>
      <c r="J189" s="24">
        <v>2210.0</v>
      </c>
      <c r="K189" s="24">
        <v>427.0</v>
      </c>
      <c r="L189" s="24" t="s">
        <v>244</v>
      </c>
      <c r="M189" s="24" t="s">
        <v>244</v>
      </c>
      <c r="N189" s="24">
        <v>385.0</v>
      </c>
      <c r="O189" s="24">
        <v>100.0</v>
      </c>
      <c r="P189" s="24"/>
      <c r="Q189" s="25" t="s">
        <v>245</v>
      </c>
      <c r="R189" s="24">
        <v>1200.0</v>
      </c>
      <c r="S189" s="24">
        <v>800.0</v>
      </c>
      <c r="T189" s="24">
        <v>860.0</v>
      </c>
      <c r="U189" s="24">
        <v>450.0</v>
      </c>
      <c r="V189" s="24"/>
      <c r="W189" s="24">
        <f t="shared" si="1"/>
        <v>3</v>
      </c>
      <c r="X189" s="24">
        <f>IFERROR(__xludf.DUMMYFUNCTION("IFERROR(VALUE(REGEXEXTRACT(A189,""\b(\d+)/\d+\b"")),"""")"),2.0)</f>
        <v>2</v>
      </c>
      <c r="Y189" s="24">
        <f>IFERROR(__xludf.DUMMYFUNCTION("IFERROR(VALUE(REGEXEXTRACT(A189,""\b\d+/(\d+)\b"")),"""")
"),1.0)</f>
        <v>1</v>
      </c>
      <c r="Z189" s="24">
        <f t="array" ref="Z189">IFERROR(INDEX(CRV!BU:BU, MATCH(B189, CRV!A:A, 0)), "")</f>
        <v>1.5</v>
      </c>
      <c r="AA189" s="24">
        <f t="array" ref="AA189">IFERROR(INDEX(CRV!BV:BV, MATCH(B189, CRV!A:A, 0))*X189+4.5*2+7, "")</f>
        <v>27.2</v>
      </c>
      <c r="AB189" s="24" t="str">
        <f t="array" ref="AB189">IFERROR(IF(VALUE(XLOOKUP($B189,CRV!$A:$A,CRV!$BU:$BU))&lt;=5.5,"прямой пуск (DOL)","звезда-треугольник (SD)"),"")</f>
        <v>прямой пуск (DOL)</v>
      </c>
      <c r="AC189" s="25" t="str">
        <f t="array" ref="AC189">IFERROR(INDEX(CRV!CA:CA, MATCH(B189, CRV!A:A, 0)), "")</f>
        <v>HQQE</v>
      </c>
      <c r="AD189" s="25">
        <v>359.0</v>
      </c>
      <c r="AE189" s="24">
        <v>7.5211425E7</v>
      </c>
    </row>
    <row r="190" ht="12.0" customHeight="1">
      <c r="A190" s="25" t="s">
        <v>249</v>
      </c>
      <c r="B190" s="24" t="str">
        <f>IFERROR(__xludf.DUMMYFUNCTION("IFERROR(IF(REGEXMATCH(REGEXEXTRACT(A190,""\bCRV\s*\d+(?:-\d+)+(?:-(?:A?BI|AI|BI))?\b""),""-(?:A?BI|AI|BI)$""),REGEXREPLACE(REGEXEXTRACT(A190,""\bCRV\s*\d+(?:-\d+)+(?:-(?:A?BI|AI|BI))?\b""),""-(A?BI|AI|BI)$"",""C$1""),REGEXEXTRACT(A190,""\bCRV\s*\d+(?:-\d+"&amp;")+(?:-(?:A?BI|AI|BI))?\b"")&amp;""C""),"""")"),"CRV 10-5C")</f>
        <v>CRV 10-5C</v>
      </c>
      <c r="C190" s="24">
        <v>1850.0</v>
      </c>
      <c r="D190" s="24">
        <v>822.0</v>
      </c>
      <c r="E190" s="24">
        <v>180.0</v>
      </c>
      <c r="F190" s="24">
        <v>565.0</v>
      </c>
      <c r="G190" s="24">
        <v>520.0</v>
      </c>
      <c r="H190" s="24">
        <v>1549.0</v>
      </c>
      <c r="I190" s="24">
        <v>1085.0</v>
      </c>
      <c r="J190" s="24">
        <v>2210.0</v>
      </c>
      <c r="K190" s="24">
        <v>427.0</v>
      </c>
      <c r="L190" s="24" t="s">
        <v>244</v>
      </c>
      <c r="M190" s="24" t="s">
        <v>244</v>
      </c>
      <c r="N190" s="24">
        <v>385.0</v>
      </c>
      <c r="O190" s="24">
        <v>100.0</v>
      </c>
      <c r="P190" s="24"/>
      <c r="Q190" s="25" t="s">
        <v>245</v>
      </c>
      <c r="R190" s="24">
        <v>1200.0</v>
      </c>
      <c r="S190" s="24">
        <v>800.0</v>
      </c>
      <c r="T190" s="24">
        <v>860.0</v>
      </c>
      <c r="U190" s="24">
        <v>450.0</v>
      </c>
      <c r="V190" s="24"/>
      <c r="W190" s="24">
        <f t="shared" si="1"/>
        <v>3</v>
      </c>
      <c r="X190" s="24">
        <f>IFERROR(__xludf.DUMMYFUNCTION("IFERROR(VALUE(REGEXEXTRACT(A190,""\b(\d+)/\d+\b"")),"""")"),2.0)</f>
        <v>2</v>
      </c>
      <c r="Y190" s="24">
        <f>IFERROR(__xludf.DUMMYFUNCTION("IFERROR(VALUE(REGEXEXTRACT(A190,""\b\d+/(\d+)\b"")),"""")
"),1.0)</f>
        <v>1</v>
      </c>
      <c r="Z190" s="24">
        <f t="array" ref="Z190">IFERROR(INDEX(CRV!BU:BU, MATCH(B190, CRV!A:A, 0)), "")</f>
        <v>2.2</v>
      </c>
      <c r="AA190" s="24">
        <f t="array" ref="AA190">IFERROR(INDEX(CRV!BV:BV, MATCH(B190, CRV!A:A, 0))*X190+4.5*2+7, "")</f>
        <v>31.8</v>
      </c>
      <c r="AB190" s="24" t="str">
        <f t="array" ref="AB190">IFERROR(IF(VALUE(XLOOKUP($B190,CRV!$A:$A,CRV!$BU:$BU))&lt;=5.5,"прямой пуск (DOL)","звезда-треугольник (SD)"),"")</f>
        <v>прямой пуск (DOL)</v>
      </c>
      <c r="AC190" s="25" t="str">
        <f t="array" ref="AC190">IFERROR(INDEX(CRV!CA:CA, MATCH(B190, CRV!A:A, 0)), "")</f>
        <v>HQQE</v>
      </c>
      <c r="AD190" s="25">
        <v>362.0</v>
      </c>
      <c r="AE190" s="24">
        <v>7.5211426E7</v>
      </c>
    </row>
    <row r="191" ht="12.0" customHeight="1">
      <c r="A191" s="25" t="s">
        <v>250</v>
      </c>
      <c r="B191" s="24" t="str">
        <f>IFERROR(__xludf.DUMMYFUNCTION("IFERROR(IF(REGEXMATCH(REGEXEXTRACT(A191,""\bCRV\s*\d+(?:-\d+)+(?:-(?:A?BI|AI|BI))?\b""),""-(?:A?BI|AI|BI)$""),REGEXREPLACE(REGEXEXTRACT(A191,""\bCRV\s*\d+(?:-\d+)+(?:-(?:A?BI|AI|BI))?\b""),""-(A?BI|AI|BI)$"",""C$1""),REGEXEXTRACT(A191,""\bCRV\s*\d+(?:-\d+"&amp;")+(?:-(?:A?BI|AI|BI))?\b"")&amp;""C""),"""")"),"CRV 10-6C")</f>
        <v>CRV 10-6C</v>
      </c>
      <c r="C191" s="24">
        <v>1850.0</v>
      </c>
      <c r="D191" s="24">
        <v>852.0</v>
      </c>
      <c r="E191" s="24">
        <v>180.0</v>
      </c>
      <c r="F191" s="24">
        <v>565.0</v>
      </c>
      <c r="G191" s="24">
        <v>520.0</v>
      </c>
      <c r="H191" s="24">
        <v>1549.0</v>
      </c>
      <c r="I191" s="24">
        <v>1085.0</v>
      </c>
      <c r="J191" s="24">
        <v>2210.0</v>
      </c>
      <c r="K191" s="24">
        <v>427.0</v>
      </c>
      <c r="L191" s="24" t="s">
        <v>244</v>
      </c>
      <c r="M191" s="24" t="s">
        <v>244</v>
      </c>
      <c r="N191" s="24">
        <v>385.0</v>
      </c>
      <c r="O191" s="24">
        <v>100.0</v>
      </c>
      <c r="P191" s="24"/>
      <c r="Q191" s="25" t="s">
        <v>245</v>
      </c>
      <c r="R191" s="24">
        <v>1200.0</v>
      </c>
      <c r="S191" s="24">
        <v>800.0</v>
      </c>
      <c r="T191" s="24">
        <v>860.0</v>
      </c>
      <c r="U191" s="24">
        <v>450.0</v>
      </c>
      <c r="V191" s="24"/>
      <c r="W191" s="24">
        <f t="shared" si="1"/>
        <v>3</v>
      </c>
      <c r="X191" s="24">
        <f>IFERROR(__xludf.DUMMYFUNCTION("IFERROR(VALUE(REGEXEXTRACT(A191,""\b(\d+)/\d+\b"")),"""")"),2.0)</f>
        <v>2</v>
      </c>
      <c r="Y191" s="24">
        <f>IFERROR(__xludf.DUMMYFUNCTION("IFERROR(VALUE(REGEXEXTRACT(A191,""\b\d+/(\d+)\b"")),"""")
"),1.0)</f>
        <v>1</v>
      </c>
      <c r="Z191" s="24">
        <f t="array" ref="Z191">IFERROR(INDEX(CRV!BU:BU, MATCH(B191, CRV!A:A, 0)), "")</f>
        <v>2.2</v>
      </c>
      <c r="AA191" s="24">
        <f t="array" ref="AA191">IFERROR(INDEX(CRV!BV:BV, MATCH(B191, CRV!A:A, 0))*X191+4.5*2+7, "")</f>
        <v>31.8</v>
      </c>
      <c r="AB191" s="24" t="str">
        <f t="array" ref="AB191">IFERROR(IF(VALUE(XLOOKUP($B191,CRV!$A:$A,CRV!$BU:$BU))&lt;=5.5,"прямой пуск (DOL)","звезда-треугольник (SD)"),"")</f>
        <v>прямой пуск (DOL)</v>
      </c>
      <c r="AC191" s="25" t="str">
        <f t="array" ref="AC191">IFERROR(INDEX(CRV!CA:CA, MATCH(B191, CRV!A:A, 0)), "")</f>
        <v>HQQE</v>
      </c>
      <c r="AD191" s="25">
        <v>365.0</v>
      </c>
      <c r="AE191" s="24">
        <v>7.5211386E7</v>
      </c>
    </row>
    <row r="192" ht="12.0" customHeight="1">
      <c r="A192" s="25" t="s">
        <v>251</v>
      </c>
      <c r="B192" s="24" t="str">
        <f>IFERROR(__xludf.DUMMYFUNCTION("IFERROR(IF(REGEXMATCH(REGEXEXTRACT(A192,""\bCRV\s*\d+(?:-\d+)+(?:-(?:A?BI|AI|BI))?\b""),""-(?:A?BI|AI|BI)$""),REGEXREPLACE(REGEXEXTRACT(A192,""\bCRV\s*\d+(?:-\d+)+(?:-(?:A?BI|AI|BI))?\b""),""-(A?BI|AI|BI)$"",""C$1""),REGEXEXTRACT(A192,""\bCRV\s*\d+(?:-\d+"&amp;")+(?:-(?:A?BI|AI|BI))?\b"")&amp;""C""),"""")"),"CRV 10-9C")</f>
        <v>CRV 10-9C</v>
      </c>
      <c r="C192" s="24">
        <v>1850.0</v>
      </c>
      <c r="D192" s="24">
        <v>962.0</v>
      </c>
      <c r="E192" s="24">
        <v>180.0</v>
      </c>
      <c r="F192" s="24">
        <v>565.0</v>
      </c>
      <c r="G192" s="24">
        <v>520.0</v>
      </c>
      <c r="H192" s="24">
        <v>1549.0</v>
      </c>
      <c r="I192" s="24">
        <v>1085.0</v>
      </c>
      <c r="J192" s="24">
        <v>2210.0</v>
      </c>
      <c r="K192" s="24">
        <v>427.0</v>
      </c>
      <c r="L192" s="24" t="s">
        <v>244</v>
      </c>
      <c r="M192" s="24" t="s">
        <v>244</v>
      </c>
      <c r="N192" s="24">
        <v>385.0</v>
      </c>
      <c r="O192" s="24">
        <v>100.0</v>
      </c>
      <c r="P192" s="24"/>
      <c r="Q192" s="25" t="s">
        <v>245</v>
      </c>
      <c r="R192" s="24">
        <v>1200.0</v>
      </c>
      <c r="S192" s="24">
        <v>800.0</v>
      </c>
      <c r="T192" s="24">
        <v>860.0</v>
      </c>
      <c r="U192" s="24">
        <v>450.0</v>
      </c>
      <c r="V192" s="24"/>
      <c r="W192" s="24">
        <f t="shared" si="1"/>
        <v>3</v>
      </c>
      <c r="X192" s="24">
        <f>IFERROR(__xludf.DUMMYFUNCTION("IFERROR(VALUE(REGEXEXTRACT(A192,""\b(\d+)/\d+\b"")),"""")"),2.0)</f>
        <v>2</v>
      </c>
      <c r="Y192" s="24">
        <f>IFERROR(__xludf.DUMMYFUNCTION("IFERROR(VALUE(REGEXEXTRACT(A192,""\b\d+/(\d+)\b"")),"""")
"),1.0)</f>
        <v>1</v>
      </c>
      <c r="Z192" s="24">
        <f t="array" ref="Z192">IFERROR(INDEX(CRV!BU:BU, MATCH(B192, CRV!A:A, 0)), "")</f>
        <v>3</v>
      </c>
      <c r="AA192" s="24">
        <f t="array" ref="AA192">IFERROR(INDEX(CRV!BV:BV, MATCH(B192, CRV!A:A, 0))*X192+4.5*2+7, "")</f>
        <v>36.8</v>
      </c>
      <c r="AB192" s="24" t="str">
        <f t="array" ref="AB192">IFERROR(IF(VALUE(XLOOKUP($B192,CRV!$A:$A,CRV!$BU:$BU))&lt;=5.5,"прямой пуск (DOL)","звезда-треугольник (SD)"),"")</f>
        <v>прямой пуск (DOL)</v>
      </c>
      <c r="AC192" s="25" t="str">
        <f t="array" ref="AC192">IFERROR(INDEX(CRV!CA:CA, MATCH(B192, CRV!A:A, 0)), "")</f>
        <v>HQQE</v>
      </c>
      <c r="AD192" s="25">
        <v>389.0</v>
      </c>
      <c r="AE192" s="24">
        <v>7.5211427E7</v>
      </c>
    </row>
    <row r="193" ht="12.0" customHeight="1">
      <c r="A193" s="25" t="s">
        <v>252</v>
      </c>
      <c r="B193" s="24" t="str">
        <f>IFERROR(__xludf.DUMMYFUNCTION("IFERROR(IF(REGEXMATCH(REGEXEXTRACT(A193,""\bCRV\s*\d+(?:-\d+)+(?:-(?:A?BI|AI|BI))?\b""),""-(?:A?BI|AI|BI)$""),REGEXREPLACE(REGEXEXTRACT(A193,""\bCRV\s*\d+(?:-\d+)+(?:-(?:A?BI|AI|BI))?\b""),""-(A?BI|AI|BI)$"",""C$1""),REGEXEXTRACT(A193,""\bCRV\s*\d+(?:-\d+"&amp;")+(?:-(?:A?BI|AI|BI))?\b"")&amp;""C""),"""")"),"CRV 10-12C")</f>
        <v>CRV 10-12C</v>
      </c>
      <c r="C193" s="24">
        <v>1850.0</v>
      </c>
      <c r="D193" s="24">
        <v>1085.0</v>
      </c>
      <c r="E193" s="24">
        <v>180.0</v>
      </c>
      <c r="F193" s="24">
        <v>565.0</v>
      </c>
      <c r="G193" s="24">
        <v>520.0</v>
      </c>
      <c r="H193" s="24">
        <v>1549.0</v>
      </c>
      <c r="I193" s="24">
        <v>1085.0</v>
      </c>
      <c r="J193" s="24">
        <v>2210.0</v>
      </c>
      <c r="K193" s="24">
        <v>427.0</v>
      </c>
      <c r="L193" s="24" t="s">
        <v>244</v>
      </c>
      <c r="M193" s="24" t="s">
        <v>244</v>
      </c>
      <c r="N193" s="24">
        <v>385.0</v>
      </c>
      <c r="O193" s="24">
        <v>100.0</v>
      </c>
      <c r="P193" s="24"/>
      <c r="Q193" s="25" t="s">
        <v>245</v>
      </c>
      <c r="R193" s="24">
        <v>1200.0</v>
      </c>
      <c r="S193" s="24">
        <v>800.0</v>
      </c>
      <c r="T193" s="24">
        <v>860.0</v>
      </c>
      <c r="U193" s="24">
        <v>450.0</v>
      </c>
      <c r="V193" s="24"/>
      <c r="W193" s="24">
        <f t="shared" si="1"/>
        <v>3</v>
      </c>
      <c r="X193" s="24">
        <f>IFERROR(__xludf.DUMMYFUNCTION("IFERROR(VALUE(REGEXEXTRACT(A193,""\b(\d+)/\d+\b"")),"""")"),2.0)</f>
        <v>2</v>
      </c>
      <c r="Y193" s="24">
        <f>IFERROR(__xludf.DUMMYFUNCTION("IFERROR(VALUE(REGEXEXTRACT(A193,""\b\d+/(\d+)\b"")),"""")
"),1.0)</f>
        <v>1</v>
      </c>
      <c r="Z193" s="24">
        <f t="array" ref="Z193">IFERROR(INDEX(CRV!BU:BU, MATCH(B193, CRV!A:A, 0)), "")</f>
        <v>4</v>
      </c>
      <c r="AA193" s="24">
        <f t="array" ref="AA193">IFERROR(INDEX(CRV!BV:BV, MATCH(B193, CRV!A:A, 0))*X193+4.5*2+7, "")</f>
        <v>31.6</v>
      </c>
      <c r="AB193" s="24" t="str">
        <f t="array" ref="AB193">IFERROR(IF(VALUE(XLOOKUP($B193,CRV!$A:$A,CRV!$BU:$BU))&lt;=5.5,"прямой пуск (DOL)","звезда-треугольник (SD)"),"")</f>
        <v>прямой пуск (DOL)</v>
      </c>
      <c r="AC193" s="25" t="str">
        <f t="array" ref="AC193">IFERROR(INDEX(CRV!CA:CA, MATCH(B193, CRV!A:A, 0)), "")</f>
        <v>HQQE</v>
      </c>
      <c r="AD193" s="25">
        <v>431.0</v>
      </c>
      <c r="AE193" s="24">
        <v>7.5211428E7</v>
      </c>
    </row>
    <row r="194" ht="12.0" customHeight="1">
      <c r="A194" s="25" t="s">
        <v>253</v>
      </c>
      <c r="B194" s="24" t="str">
        <f>IFERROR(__xludf.DUMMYFUNCTION("IFERROR(IF(REGEXMATCH(REGEXEXTRACT(A194,""\bCRV\s*\d+(?:-\d+)+(?:-(?:A?BI|AI|BI))?\b""),""-(?:A?BI|AI|BI)$""),REGEXREPLACE(REGEXEXTRACT(A194,""\bCRV\s*\d+(?:-\d+)+(?:-(?:A?BI|AI|BI))?\b""),""-(A?BI|AI|BI)$"",""C$1""),REGEXEXTRACT(A194,""\bCRV\s*\d+(?:-\d+"&amp;")+(?:-(?:A?BI|AI|BI))?\b"")&amp;""C""),"""")"),"CRV 10-14C")</f>
        <v>CRV 10-14C</v>
      </c>
      <c r="C194" s="24">
        <v>1850.0</v>
      </c>
      <c r="D194" s="24">
        <v>1226.0</v>
      </c>
      <c r="E194" s="24">
        <v>180.0</v>
      </c>
      <c r="F194" s="24">
        <v>565.0</v>
      </c>
      <c r="G194" s="24">
        <v>520.0</v>
      </c>
      <c r="H194" s="24">
        <v>1549.0</v>
      </c>
      <c r="I194" s="24">
        <v>1085.0</v>
      </c>
      <c r="J194" s="24">
        <v>2210.0</v>
      </c>
      <c r="K194" s="24">
        <v>427.0</v>
      </c>
      <c r="L194" s="24" t="s">
        <v>244</v>
      </c>
      <c r="M194" s="24" t="s">
        <v>244</v>
      </c>
      <c r="N194" s="24">
        <v>385.0</v>
      </c>
      <c r="O194" s="24">
        <v>100.0</v>
      </c>
      <c r="P194" s="24"/>
      <c r="Q194" s="25" t="s">
        <v>245</v>
      </c>
      <c r="R194" s="24">
        <v>1200.0</v>
      </c>
      <c r="S194" s="24">
        <v>800.0</v>
      </c>
      <c r="T194" s="24">
        <v>860.0</v>
      </c>
      <c r="U194" s="24">
        <v>450.0</v>
      </c>
      <c r="V194" s="24"/>
      <c r="W194" s="24">
        <f t="shared" si="1"/>
        <v>3</v>
      </c>
      <c r="X194" s="24">
        <f>IFERROR(__xludf.DUMMYFUNCTION("IFERROR(VALUE(REGEXEXTRACT(A194,""\b(\d+)/\d+\b"")),"""")"),2.0)</f>
        <v>2</v>
      </c>
      <c r="Y194" s="24">
        <f>IFERROR(__xludf.DUMMYFUNCTION("IFERROR(VALUE(REGEXEXTRACT(A194,""\b\d+/(\d+)\b"")),"""")
"),1.0)</f>
        <v>1</v>
      </c>
      <c r="Z194" s="24">
        <f t="array" ref="Z194">IFERROR(INDEX(CRV!BU:BU, MATCH(B194, CRV!A:A, 0)), "")</f>
        <v>5.5</v>
      </c>
      <c r="AA194" s="24">
        <f t="array" ref="AA194">IFERROR(INDEX(CRV!BV:BV, MATCH(B194, CRV!A:A, 0))*X194+4.5*2+7, "")</f>
        <v>37.2</v>
      </c>
      <c r="AB194" s="24" t="str">
        <f t="array" ref="AB194">IFERROR(IF(VALUE(XLOOKUP($B194,CRV!$A:$A,CRV!$BU:$BU))&lt;=5.5,"прямой пуск (DOL)","звезда-треугольник (SD)"),"")</f>
        <v>прямой пуск (DOL)</v>
      </c>
      <c r="AC194" s="25" t="str">
        <f t="array" ref="AC194">IFERROR(INDEX(CRV!CA:CA, MATCH(B194, CRV!A:A, 0)), "")</f>
        <v>HQQE</v>
      </c>
      <c r="AD194" s="25">
        <v>497.0</v>
      </c>
      <c r="AE194" s="24">
        <v>7.5211429E7</v>
      </c>
    </row>
    <row r="195" ht="12.0" customHeight="1">
      <c r="A195" s="25" t="s">
        <v>254</v>
      </c>
      <c r="B195" s="24" t="str">
        <f>IFERROR(__xludf.DUMMYFUNCTION("IFERROR(IF(REGEXMATCH(REGEXEXTRACT(A195,""\bCRV\s*\d+(?:-\d+)+(?:-(?:A?BI|AI|BI))?\b""),""-(?:A?BI|AI|BI)$""),REGEXREPLACE(REGEXEXTRACT(A195,""\bCRV\s*\d+(?:-\d+)+(?:-(?:A?BI|AI|BI))?\b""),""-(A?BI|AI|BI)$"",""C$1""),REGEXEXTRACT(A195,""\bCRV\s*\d+(?:-\d+"&amp;")+(?:-(?:A?BI|AI|BI))?\b"")&amp;""C""),"""")"),"CRV 10-16C")</f>
        <v>CRV 10-16C</v>
      </c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4"/>
      <c r="W195" s="24">
        <f t="shared" si="1"/>
        <v>3</v>
      </c>
      <c r="X195" s="24">
        <f>IFERROR(__xludf.DUMMYFUNCTION("IFERROR(VALUE(REGEXEXTRACT(A195,""\b(\d+)/\d+\b"")),"""")"),2.0)</f>
        <v>2</v>
      </c>
      <c r="Y195" s="24">
        <f>IFERROR(__xludf.DUMMYFUNCTION("IFERROR(VALUE(REGEXEXTRACT(A195,""\b\d+/(\d+)\b"")),"""")
"),1.0)</f>
        <v>1</v>
      </c>
      <c r="Z195" s="24">
        <f t="array" ref="Z195">IFERROR(INDEX(CRV!BU:BU, MATCH(B195, CRV!A:A, 0)), "")</f>
        <v>5.5</v>
      </c>
      <c r="AA195" s="24">
        <f t="array" ref="AA195">IFERROR(INDEX(CRV!BV:BV, MATCH(B195, CRV!A:A, 0))*X195+4.5*2+7, "")</f>
        <v>37.2</v>
      </c>
      <c r="AB195" s="24" t="str">
        <f t="array" ref="AB195">IFERROR(IF(VALUE(XLOOKUP($B195,CRV!$A:$A,CRV!$BU:$BU))&lt;=5.5,"прямой пуск (DOL)","звезда-треугольник (SD)"),"")</f>
        <v>прямой пуск (DOL)</v>
      </c>
      <c r="AC195" s="25" t="str">
        <f t="array" ref="AC195">IFERROR(INDEX(CRV!CA:CA, MATCH(B195, CRV!A:A, 0)), "")</f>
        <v>HQQE</v>
      </c>
      <c r="AD195" s="29"/>
      <c r="AE195" s="28"/>
    </row>
    <row r="196" ht="12.0" customHeight="1">
      <c r="A196" s="25" t="s">
        <v>255</v>
      </c>
      <c r="B196" s="24" t="str">
        <f>IFERROR(__xludf.DUMMYFUNCTION("IFERROR(IF(REGEXMATCH(REGEXEXTRACT(A196,""\bCRV\s*\d+(?:-\d+)+(?:-(?:A?BI|AI|BI))?\b""),""-(?:A?BI|AI|BI)$""),REGEXREPLACE(REGEXEXTRACT(A196,""\bCRV\s*\d+(?:-\d+)+(?:-(?:A?BI|AI|BI))?\b""),""-(A?BI|AI|BI)$"",""C$1""),REGEXEXTRACT(A196,""\bCRV\s*\d+(?:-\d+"&amp;")+(?:-(?:A?BI|AI|BI))?\b"")&amp;""C""),"""")"),"CRV 10-18C")</f>
        <v>CRV 10-18C</v>
      </c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4"/>
      <c r="W196" s="24">
        <f t="shared" si="1"/>
        <v>3</v>
      </c>
      <c r="X196" s="24">
        <f>IFERROR(__xludf.DUMMYFUNCTION("IFERROR(VALUE(REGEXEXTRACT(A196,""\b(\d+)/\d+\b"")),"""")"),2.0)</f>
        <v>2</v>
      </c>
      <c r="Y196" s="24">
        <f>IFERROR(__xludf.DUMMYFUNCTION("IFERROR(VALUE(REGEXEXTRACT(A196,""\b\d+/(\d+)\b"")),"""")
"),1.0)</f>
        <v>1</v>
      </c>
      <c r="Z196" s="24">
        <f t="array" ref="Z196">IFERROR(INDEX(CRV!BU:BU, MATCH(B196, CRV!A:A, 0)), "")</f>
        <v>7.5</v>
      </c>
      <c r="AA196" s="24">
        <f t="array" ref="AA196">IFERROR(INDEX(CRV!BV:BV, MATCH(B196, CRV!A:A, 0))*X196+4.5*2+7, "")</f>
        <v>44.8</v>
      </c>
      <c r="AB196" s="24" t="str">
        <f t="array" ref="AB196">IFERROR(IF(VALUE(XLOOKUP($B196,CRV!$A:$A,CRV!$BU:$BU))&lt;=5.5,"прямой пуск (DOL)","звезда-треугольник (SD)"),"")</f>
        <v>звезда-треугольник (SD)</v>
      </c>
      <c r="AC196" s="25" t="str">
        <f t="array" ref="AC196">IFERROR(INDEX(CRV!CA:CA, MATCH(B196, CRV!A:A, 0)), "")</f>
        <v>HQQE</v>
      </c>
      <c r="AD196" s="29"/>
      <c r="AE196" s="28"/>
    </row>
    <row r="197" ht="12.0" customHeight="1">
      <c r="A197" s="25" t="s">
        <v>256</v>
      </c>
      <c r="B197" s="24" t="str">
        <f>IFERROR(__xludf.DUMMYFUNCTION("IFERROR(IF(REGEXMATCH(REGEXEXTRACT(A197,""\bCRV\s*\d+(?:-\d+)+(?:-(?:A?BI|AI|BI))?\b""),""-(?:A?BI|AI|BI)$""),REGEXREPLACE(REGEXEXTRACT(A197,""\bCRV\s*\d+(?:-\d+)+(?:-(?:A?BI|AI|BI))?\b""),""-(A?BI|AI|BI)$"",""C$1""),REGEXEXTRACT(A197,""\bCRV\s*\d+(?:-\d+"&amp;")+(?:-(?:A?BI|AI|BI))?\b"")&amp;""C""),"""")"),"CRV 10-20C")</f>
        <v>CRV 10-20C</v>
      </c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4"/>
      <c r="W197" s="24">
        <f t="shared" si="1"/>
        <v>3</v>
      </c>
      <c r="X197" s="24">
        <f>IFERROR(__xludf.DUMMYFUNCTION("IFERROR(VALUE(REGEXEXTRACT(A197,""\b(\d+)/\d+\b"")),"""")"),2.0)</f>
        <v>2</v>
      </c>
      <c r="Y197" s="24">
        <f>IFERROR(__xludf.DUMMYFUNCTION("IFERROR(VALUE(REGEXEXTRACT(A197,""\b\d+/(\d+)\b"")),"""")
"),1.0)</f>
        <v>1</v>
      </c>
      <c r="Z197" s="24">
        <f t="array" ref="Z197">IFERROR(INDEX(CRV!BU:BU, MATCH(B197, CRV!A:A, 0)), "")</f>
        <v>7.5</v>
      </c>
      <c r="AA197" s="24">
        <f t="array" ref="AA197">IFERROR(INDEX(CRV!BV:BV, MATCH(B197, CRV!A:A, 0))*X197+4.5*2+7, "")</f>
        <v>44.8</v>
      </c>
      <c r="AB197" s="24" t="str">
        <f t="array" ref="AB197">IFERROR(IF(VALUE(XLOOKUP($B197,CRV!$A:$A,CRV!$BU:$BU))&lt;=5.5,"прямой пуск (DOL)","звезда-треугольник (SD)"),"")</f>
        <v>звезда-треугольник (SD)</v>
      </c>
      <c r="AC197" s="25" t="str">
        <f t="array" ref="AC197">IFERROR(INDEX(CRV!CA:CA, MATCH(B197, CRV!A:A, 0)), "")</f>
        <v>HQQE</v>
      </c>
      <c r="AD197" s="29"/>
      <c r="AE197" s="28"/>
    </row>
    <row r="198" ht="12.0" customHeight="1">
      <c r="A198" s="26" t="s">
        <v>257</v>
      </c>
      <c r="B198" s="24" t="str">
        <f>IFERROR(__xludf.DUMMYFUNCTION("IFERROR(IF(REGEXMATCH(REGEXEXTRACT(A198,""\bCRV\s*\d+(?:-\d+)+(?:-(?:A?BI|AI|BI))?\b""),""-(?:A?BI|AI|BI)$""),REGEXREPLACE(REGEXEXTRACT(A198,""\bCRV\s*\d+(?:-\d+)+(?:-(?:A?BI|AI|BI))?\b""),""-(A?BI|AI|BI)$"",""C$1""),REGEXEXTRACT(A198,""\bCRV\s*\d+(?:-\d+"&amp;")+(?:-(?:A?BI|AI|BI))?\b"")&amp;""C""),"""")"),"CRV 10-22C")</f>
        <v>CRV 10-22C</v>
      </c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4"/>
      <c r="W198" s="24">
        <f t="shared" si="1"/>
        <v>3</v>
      </c>
      <c r="X198" s="24">
        <f>IFERROR(__xludf.DUMMYFUNCTION("IFERROR(VALUE(REGEXEXTRACT(A198,""\b(\d+)/\d+\b"")),"""")"),2.0)</f>
        <v>2</v>
      </c>
      <c r="Y198" s="24">
        <f>IFERROR(__xludf.DUMMYFUNCTION("IFERROR(VALUE(REGEXEXTRACT(A198,""\b\d+/(\d+)\b"")),"""")
"),1.0)</f>
        <v>1</v>
      </c>
      <c r="Z198" s="24">
        <f t="array" ref="Z198">IFERROR(INDEX(CRV!BU:BU, MATCH(B198, CRV!A:A, 0)), "")</f>
        <v>7.5</v>
      </c>
      <c r="AA198" s="24">
        <f t="array" ref="AA198">IFERROR(INDEX(CRV!BV:BV, MATCH(B198, CRV!A:A, 0))*X198+4.5*2+7, "")</f>
        <v>44.8</v>
      </c>
      <c r="AB198" s="24" t="str">
        <f t="array" ref="AB198">IFERROR(IF(VALUE(XLOOKUP($B198,CRV!$A:$A,CRV!$BU:$BU))&lt;=5.5,"прямой пуск (DOL)","звезда-треугольник (SD)"),"")</f>
        <v>звезда-треугольник (SD)</v>
      </c>
      <c r="AC198" s="25" t="str">
        <f t="array" ref="AC198">IFERROR(INDEX(CRV!CA:CA, MATCH(B198, CRV!A:A, 0)), "")</f>
        <v>HQQE</v>
      </c>
      <c r="AD198" s="29"/>
      <c r="AE198" s="28"/>
    </row>
    <row r="199" ht="12.0" customHeight="1">
      <c r="A199" s="28"/>
      <c r="B199" s="24" t="str">
        <f>IFERROR(__xludf.DUMMYFUNCTION("IFERROR(IF(REGEXMATCH(REGEXEXTRACT(A199,""\bCRV\s*\d+(?:-\d+)+(?:-(?:A?BI|AI|BI))?\b""),""-(?:A?BI|AI|BI)$""),REGEXREPLACE(REGEXEXTRACT(A199,""\bCRV\s*\d+(?:-\d+)+(?:-(?:A?BI|AI|BI))?\b""),""-(A?BI|AI|BI)$"",""C$1""),REGEXEXTRACT(A199,""\bCRV\s*\d+(?:-\d+"&amp;")+(?:-(?:A?BI|AI|BI))?\b"")&amp;""C""),"""")"),"")</f>
        <v/>
      </c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4"/>
      <c r="W199" s="24" t="str">
        <f t="shared" si="1"/>
        <v/>
      </c>
      <c r="X199" s="24" t="str">
        <f>IFERROR(__xludf.DUMMYFUNCTION("IFERROR(VALUE(REGEXEXTRACT(A199,""\b(\d+)/\d+\b"")),"""")"),"")</f>
        <v/>
      </c>
      <c r="Y199" s="24" t="str">
        <f>IFERROR(__xludf.DUMMYFUNCTION("IFERROR(VALUE(REGEXEXTRACT(A199,""\b\d+/(\d+)\b"")),"""")
"),"")</f>
        <v/>
      </c>
      <c r="Z199" s="24" t="str">
        <f t="array" ref="Z199">IFERROR(INDEX(CRV!BU:BU, MATCH(B199, CRV!A:A, 0)), "")</f>
        <v/>
      </c>
      <c r="AA199" s="24" t="str">
        <f t="array" ref="AA199">IFERROR(INDEX(CRV!BV:BV, MATCH(B199, CRV!A:A, 0))*X199+4.5*2+7, "")</f>
        <v/>
      </c>
      <c r="AB199" s="24" t="str">
        <f t="array" ref="AB199">IFERROR(IF(VALUE(XLOOKUP($B199,CRV!$A:$A,CRV!$BU:$BU))&lt;=5.5,"прямой пуск (DOL)","звезда-треугольник (SD)"),"")</f>
        <v/>
      </c>
      <c r="AC199" s="25" t="str">
        <f t="array" ref="AC199">IFERROR(INDEX(CRV!CA:CA, MATCH(B199, CRV!A:A, 0)), "")</f>
        <v/>
      </c>
      <c r="AD199" s="29"/>
      <c r="AE199" s="28"/>
    </row>
    <row r="200" ht="12.0" customHeight="1">
      <c r="A200" s="29" t="s">
        <v>258</v>
      </c>
      <c r="B200" s="24" t="str">
        <f>IFERROR(__xludf.DUMMYFUNCTION("IFERROR(IF(REGEXMATCH(REGEXEXTRACT(A200,""\bCRV\s*\d+(?:-\d+)+(?:-(?:A?BI|AI|BI))?\b""),""-(?:A?BI|AI|BI)$""),REGEXREPLACE(REGEXEXTRACT(A200,""\bCRV\s*\d+(?:-\d+)+(?:-(?:A?BI|AI|BI))?\b""),""-(A?BI|AI|BI)$"",""C$1""),REGEXEXTRACT(A200,""\bCRV\s*\d+(?:-\d+"&amp;")+(?:-(?:A?BI|AI|BI))?\b"")&amp;""C""),"""")"),"CRV 15-1C")</f>
        <v>CRV 15-1C</v>
      </c>
      <c r="C200" s="28">
        <v>1850.0</v>
      </c>
      <c r="D200" s="28">
        <v>672.0</v>
      </c>
      <c r="E200" s="28">
        <v>190.0</v>
      </c>
      <c r="F200" s="28">
        <v>585.0</v>
      </c>
      <c r="G200" s="28">
        <v>540.0</v>
      </c>
      <c r="H200" s="28">
        <v>1589.0</v>
      </c>
      <c r="I200" s="28">
        <v>1125.0</v>
      </c>
      <c r="J200" s="28">
        <v>2210.0</v>
      </c>
      <c r="K200" s="28">
        <v>427.0</v>
      </c>
      <c r="L200" s="28" t="s">
        <v>244</v>
      </c>
      <c r="M200" s="28" t="s">
        <v>244</v>
      </c>
      <c r="N200" s="28">
        <v>385.0</v>
      </c>
      <c r="O200" s="28">
        <v>100.0</v>
      </c>
      <c r="P200" s="28"/>
      <c r="Q200" s="29" t="s">
        <v>245</v>
      </c>
      <c r="R200" s="28">
        <v>1200.0</v>
      </c>
      <c r="S200" s="28">
        <v>800.0</v>
      </c>
      <c r="T200" s="28">
        <v>860.0</v>
      </c>
      <c r="U200" s="28">
        <v>450.0</v>
      </c>
      <c r="V200" s="24"/>
      <c r="W200" s="24">
        <f t="shared" si="1"/>
        <v>3</v>
      </c>
      <c r="X200" s="24">
        <f>IFERROR(__xludf.DUMMYFUNCTION("IFERROR(VALUE(REGEXEXTRACT(A200,""\b(\d+)/\d+\b"")),"""")"),2.0)</f>
        <v>2</v>
      </c>
      <c r="Y200" s="24">
        <f>IFERROR(__xludf.DUMMYFUNCTION("IFERROR(VALUE(REGEXEXTRACT(A200,""\b\d+/(\d+)\b"")),"""")
"),1.0)</f>
        <v>1</v>
      </c>
      <c r="Z200" s="24">
        <f t="array" ref="Z200">IFERROR(INDEX(CRV!BU:BU, MATCH(B200, CRV!A:A, 0)), "")</f>
        <v>1.1</v>
      </c>
      <c r="AA200" s="24">
        <f t="array" ref="AA200">IFERROR(INDEX(CRV!BV:BV, MATCH(B200, CRV!A:A, 0))*X200+4.5*2+7, "")</f>
        <v>24.4</v>
      </c>
      <c r="AB200" s="24" t="str">
        <f t="array" ref="AB200">IFERROR(IF(VALUE(XLOOKUP($B200,CRV!$A:$A,CRV!$BU:$BU))&lt;=5.5,"прямой пуск (DOL)","звезда-треугольник (SD)"),"")</f>
        <v>прямой пуск (DOL)</v>
      </c>
      <c r="AC200" s="25" t="str">
        <f t="array" ref="AC200">IFERROR(INDEX(CRV!CA:CA, MATCH(B200, CRV!A:A, 0)), "")</f>
        <v>HQQE</v>
      </c>
      <c r="AD200" s="29">
        <v>359.0</v>
      </c>
      <c r="AE200" s="28">
        <v>7.521143E7</v>
      </c>
    </row>
    <row r="201" ht="12.0" customHeight="1">
      <c r="A201" s="29" t="s">
        <v>259</v>
      </c>
      <c r="B201" s="24" t="str">
        <f>IFERROR(__xludf.DUMMYFUNCTION("IFERROR(IF(REGEXMATCH(REGEXEXTRACT(A201,""\bCRV\s*\d+(?:-\d+)+(?:-(?:A?BI|AI|BI))?\b""),""-(?:A?BI|AI|BI)$""),REGEXREPLACE(REGEXEXTRACT(A201,""\bCRV\s*\d+(?:-\d+)+(?:-(?:A?BI|AI|BI))?\b""),""-(A?BI|AI|BI)$"",""C$1""),REGEXEXTRACT(A201,""\bCRV\s*\d+(?:-\d+"&amp;")+(?:-(?:A?BI|AI|BI))?\b"")&amp;""C""),"""")"),"CRV 15-2C")</f>
        <v>CRV 15-2C</v>
      </c>
      <c r="C201" s="28">
        <v>1850.0</v>
      </c>
      <c r="D201" s="28">
        <v>769.0</v>
      </c>
      <c r="E201" s="28">
        <v>190.0</v>
      </c>
      <c r="F201" s="28">
        <v>585.0</v>
      </c>
      <c r="G201" s="28">
        <v>540.0</v>
      </c>
      <c r="H201" s="28">
        <v>1589.0</v>
      </c>
      <c r="I201" s="28">
        <v>1125.0</v>
      </c>
      <c r="J201" s="28">
        <v>2210.0</v>
      </c>
      <c r="K201" s="28">
        <v>427.0</v>
      </c>
      <c r="L201" s="28" t="s">
        <v>244</v>
      </c>
      <c r="M201" s="28" t="s">
        <v>244</v>
      </c>
      <c r="N201" s="28">
        <v>385.0</v>
      </c>
      <c r="O201" s="28">
        <v>100.0</v>
      </c>
      <c r="P201" s="28"/>
      <c r="Q201" s="29" t="s">
        <v>245</v>
      </c>
      <c r="R201" s="28">
        <v>1200.0</v>
      </c>
      <c r="S201" s="28">
        <v>800.0</v>
      </c>
      <c r="T201" s="28">
        <v>860.0</v>
      </c>
      <c r="U201" s="28">
        <v>450.0</v>
      </c>
      <c r="V201" s="24"/>
      <c r="W201" s="24">
        <f t="shared" si="1"/>
        <v>3</v>
      </c>
      <c r="X201" s="24">
        <f>IFERROR(__xludf.DUMMYFUNCTION("IFERROR(VALUE(REGEXEXTRACT(A201,""\b(\d+)/\d+\b"")),"""")"),2.0)</f>
        <v>2</v>
      </c>
      <c r="Y201" s="24">
        <f>IFERROR(__xludf.DUMMYFUNCTION("IFERROR(VALUE(REGEXEXTRACT(A201,""\b\d+/(\d+)\b"")),"""")
"),1.0)</f>
        <v>1</v>
      </c>
      <c r="Z201" s="24">
        <f t="array" ref="Z201">IFERROR(INDEX(CRV!BU:BU, MATCH(B201, CRV!A:A, 0)), "")</f>
        <v>2.2</v>
      </c>
      <c r="AA201" s="24">
        <f t="array" ref="AA201">IFERROR(INDEX(CRV!BV:BV, MATCH(B201, CRV!A:A, 0))*X201+4.5*2+7, "")</f>
        <v>31.8</v>
      </c>
      <c r="AB201" s="24" t="str">
        <f t="array" ref="AB201">IFERROR(IF(VALUE(XLOOKUP($B201,CRV!$A:$A,CRV!$BU:$BU))&lt;=5.5,"прямой пуск (DOL)","звезда-треугольник (SD)"),"")</f>
        <v>прямой пуск (DOL)</v>
      </c>
      <c r="AC201" s="25" t="str">
        <f t="array" ref="AC201">IFERROR(INDEX(CRV!CA:CA, MATCH(B201, CRV!A:A, 0)), "")</f>
        <v>HQQE</v>
      </c>
      <c r="AD201" s="29">
        <v>383.0</v>
      </c>
      <c r="AE201" s="28">
        <v>7.5211431E7</v>
      </c>
    </row>
    <row r="202" ht="12.0" customHeight="1">
      <c r="A202" s="29" t="s">
        <v>260</v>
      </c>
      <c r="B202" s="24" t="str">
        <f>IFERROR(__xludf.DUMMYFUNCTION("IFERROR(IF(REGEXMATCH(REGEXEXTRACT(A202,""\bCRV\s*\d+(?:-\d+)+(?:-(?:A?BI|AI|BI))?\b""),""-(?:A?BI|AI|BI)$""),REGEXREPLACE(REGEXEXTRACT(A202,""\bCRV\s*\d+(?:-\d+)+(?:-(?:A?BI|AI|BI))?\b""),""-(A?BI|AI|BI)$"",""C$1""),REGEXEXTRACT(A202,""\bCRV\s*\d+(?:-\d+"&amp;")+(?:-(?:A?BI|AI|BI))?\b"")&amp;""C""),"""")"),"CRV 15-3C")</f>
        <v>CRV 15-3C</v>
      </c>
      <c r="C202" s="28">
        <v>1850.0</v>
      </c>
      <c r="D202" s="28">
        <v>834.0</v>
      </c>
      <c r="E202" s="28">
        <v>190.0</v>
      </c>
      <c r="F202" s="28">
        <v>585.0</v>
      </c>
      <c r="G202" s="28">
        <v>540.0</v>
      </c>
      <c r="H202" s="28">
        <v>1589.0</v>
      </c>
      <c r="I202" s="28">
        <v>1125.0</v>
      </c>
      <c r="J202" s="28">
        <v>2210.0</v>
      </c>
      <c r="K202" s="28">
        <v>427.0</v>
      </c>
      <c r="L202" s="28" t="s">
        <v>244</v>
      </c>
      <c r="M202" s="28" t="s">
        <v>244</v>
      </c>
      <c r="N202" s="28">
        <v>385.0</v>
      </c>
      <c r="O202" s="28">
        <v>100.0</v>
      </c>
      <c r="P202" s="28"/>
      <c r="Q202" s="29" t="s">
        <v>245</v>
      </c>
      <c r="R202" s="28">
        <v>1200.0</v>
      </c>
      <c r="S202" s="28">
        <v>800.0</v>
      </c>
      <c r="T202" s="28">
        <v>860.0</v>
      </c>
      <c r="U202" s="28">
        <v>450.0</v>
      </c>
      <c r="V202" s="24"/>
      <c r="W202" s="24">
        <f t="shared" si="1"/>
        <v>3</v>
      </c>
      <c r="X202" s="24">
        <f>IFERROR(__xludf.DUMMYFUNCTION("IFERROR(VALUE(REGEXEXTRACT(A202,""\b(\d+)/\d+\b"")),"""")"),2.0)</f>
        <v>2</v>
      </c>
      <c r="Y202" s="24">
        <f>IFERROR(__xludf.DUMMYFUNCTION("IFERROR(VALUE(REGEXEXTRACT(A202,""\b\d+/(\d+)\b"")),"""")
"),1.0)</f>
        <v>1</v>
      </c>
      <c r="Z202" s="24">
        <f t="array" ref="Z202">IFERROR(INDEX(CRV!BU:BU, MATCH(B202, CRV!A:A, 0)), "")</f>
        <v>3</v>
      </c>
      <c r="AA202" s="24">
        <f t="array" ref="AA202">IFERROR(INDEX(CRV!BV:BV, MATCH(B202, CRV!A:A, 0))*X202+4.5*2+7, "")</f>
        <v>36.8</v>
      </c>
      <c r="AB202" s="24" t="str">
        <f t="array" ref="AB202">IFERROR(IF(VALUE(XLOOKUP($B202,CRV!$A:$A,CRV!$BU:$BU))&lt;=5.5,"прямой пуск (DOL)","звезда-треугольник (SD)"),"")</f>
        <v>прямой пуск (DOL)</v>
      </c>
      <c r="AC202" s="25" t="str">
        <f t="array" ref="AC202">IFERROR(INDEX(CRV!CA:CA, MATCH(B202, CRV!A:A, 0)), "")</f>
        <v>HQQE</v>
      </c>
      <c r="AD202" s="29">
        <v>398.0</v>
      </c>
      <c r="AE202" s="28">
        <v>7.5211432E7</v>
      </c>
    </row>
    <row r="203" ht="12.0" customHeight="1">
      <c r="A203" s="29" t="s">
        <v>261</v>
      </c>
      <c r="B203" s="24" t="str">
        <f>IFERROR(__xludf.DUMMYFUNCTION("IFERROR(IF(REGEXMATCH(REGEXEXTRACT(A203,""\bCRV\s*\d+(?:-\d+)+(?:-(?:A?BI|AI|BI))?\b""),""-(?:A?BI|AI|BI)$""),REGEXREPLACE(REGEXEXTRACT(A203,""\bCRV\s*\d+(?:-\d+)+(?:-(?:A?BI|AI|BI))?\b""),""-(A?BI|AI|BI)$"",""C$1""),REGEXEXTRACT(A203,""\bCRV\s*\d+(?:-\d+"&amp;")+(?:-(?:A?BI|AI|BI))?\b"")&amp;""C""),"""")"),"CRV 15-4C")</f>
        <v>CRV 15-4C</v>
      </c>
      <c r="C203" s="28">
        <v>1850.0</v>
      </c>
      <c r="D203" s="28">
        <v>912.0</v>
      </c>
      <c r="E203" s="28">
        <v>190.0</v>
      </c>
      <c r="F203" s="28">
        <v>585.0</v>
      </c>
      <c r="G203" s="28">
        <v>540.0</v>
      </c>
      <c r="H203" s="28">
        <v>1589.0</v>
      </c>
      <c r="I203" s="28">
        <v>1125.0</v>
      </c>
      <c r="J203" s="28">
        <v>2210.0</v>
      </c>
      <c r="K203" s="28">
        <v>427.0</v>
      </c>
      <c r="L203" s="28" t="s">
        <v>244</v>
      </c>
      <c r="M203" s="28" t="s">
        <v>244</v>
      </c>
      <c r="N203" s="28">
        <v>385.0</v>
      </c>
      <c r="O203" s="28">
        <v>100.0</v>
      </c>
      <c r="P203" s="28"/>
      <c r="Q203" s="29" t="s">
        <v>245</v>
      </c>
      <c r="R203" s="28">
        <v>1200.0</v>
      </c>
      <c r="S203" s="28">
        <v>800.0</v>
      </c>
      <c r="T203" s="28">
        <v>860.0</v>
      </c>
      <c r="U203" s="28">
        <v>450.0</v>
      </c>
      <c r="V203" s="24"/>
      <c r="W203" s="24">
        <f t="shared" si="1"/>
        <v>3</v>
      </c>
      <c r="X203" s="24">
        <f>IFERROR(__xludf.DUMMYFUNCTION("IFERROR(VALUE(REGEXEXTRACT(A203,""\b(\d+)/\d+\b"")),"""")"),2.0)</f>
        <v>2</v>
      </c>
      <c r="Y203" s="24">
        <f>IFERROR(__xludf.DUMMYFUNCTION("IFERROR(VALUE(REGEXEXTRACT(A203,""\b\d+/(\d+)\b"")),"""")
"),1.0)</f>
        <v>1</v>
      </c>
      <c r="Z203" s="24">
        <f t="array" ref="Z203">IFERROR(INDEX(CRV!BU:BU, MATCH(B203, CRV!A:A, 0)), "")</f>
        <v>4</v>
      </c>
      <c r="AA203" s="24">
        <f t="array" ref="AA203">IFERROR(INDEX(CRV!BV:BV, MATCH(B203, CRV!A:A, 0))*X203+4.5*2+7, "")</f>
        <v>31.6</v>
      </c>
      <c r="AB203" s="24" t="str">
        <f t="array" ref="AB203">IFERROR(IF(VALUE(XLOOKUP($B203,CRV!$A:$A,CRV!$BU:$BU))&lt;=5.5,"прямой пуск (DOL)","звезда-треугольник (SD)"),"")</f>
        <v>прямой пуск (DOL)</v>
      </c>
      <c r="AC203" s="25" t="str">
        <f t="array" ref="AC203">IFERROR(INDEX(CRV!CA:CA, MATCH(B203, CRV!A:A, 0)), "")</f>
        <v>HQQE</v>
      </c>
      <c r="AD203" s="29">
        <v>437.0</v>
      </c>
      <c r="AE203" s="28">
        <v>7.5211433E7</v>
      </c>
    </row>
    <row r="204" ht="12.0" customHeight="1">
      <c r="A204" s="29" t="s">
        <v>262</v>
      </c>
      <c r="B204" s="24" t="str">
        <f>IFERROR(__xludf.DUMMYFUNCTION("IFERROR(IF(REGEXMATCH(REGEXEXTRACT(A204,""\bCRV\s*\d+(?:-\d+)+(?:-(?:A?BI|AI|BI))?\b""),""-(?:A?BI|AI|BI)$""),REGEXREPLACE(REGEXEXTRACT(A204,""\bCRV\s*\d+(?:-\d+)+(?:-(?:A?BI|AI|BI))?\b""),""-(A?BI|AI|BI)$"",""C$1""),REGEXEXTRACT(A204,""\bCRV\s*\d+(?:-\d+"&amp;")+(?:-(?:A?BI|AI|BI))?\b"")&amp;""C""),"""")"),"CRV 15-5C")</f>
        <v>CRV 15-5C</v>
      </c>
      <c r="C204" s="28">
        <v>1850.0</v>
      </c>
      <c r="D204" s="28">
        <v>957.0</v>
      </c>
      <c r="E204" s="28">
        <v>190.0</v>
      </c>
      <c r="F204" s="28">
        <v>585.0</v>
      </c>
      <c r="G204" s="28">
        <v>540.0</v>
      </c>
      <c r="H204" s="28">
        <v>1589.0</v>
      </c>
      <c r="I204" s="28">
        <v>1125.0</v>
      </c>
      <c r="J204" s="28">
        <v>2210.0</v>
      </c>
      <c r="K204" s="28">
        <v>427.0</v>
      </c>
      <c r="L204" s="28" t="s">
        <v>244</v>
      </c>
      <c r="M204" s="28" t="s">
        <v>244</v>
      </c>
      <c r="N204" s="28">
        <v>385.0</v>
      </c>
      <c r="O204" s="28">
        <v>100.0</v>
      </c>
      <c r="P204" s="28"/>
      <c r="Q204" s="29" t="s">
        <v>245</v>
      </c>
      <c r="R204" s="28">
        <v>1200.0</v>
      </c>
      <c r="S204" s="28">
        <v>800.0</v>
      </c>
      <c r="T204" s="28">
        <v>860.0</v>
      </c>
      <c r="U204" s="28">
        <v>450.0</v>
      </c>
      <c r="V204" s="24"/>
      <c r="W204" s="24">
        <f t="shared" si="1"/>
        <v>3</v>
      </c>
      <c r="X204" s="24">
        <f>IFERROR(__xludf.DUMMYFUNCTION("IFERROR(VALUE(REGEXEXTRACT(A204,""\b(\d+)/\d+\b"")),"""")"),2.0)</f>
        <v>2</v>
      </c>
      <c r="Y204" s="24">
        <f>IFERROR(__xludf.DUMMYFUNCTION("IFERROR(VALUE(REGEXEXTRACT(A204,""\b\d+/(\d+)\b"")),"""")
"),1.0)</f>
        <v>1</v>
      </c>
      <c r="Z204" s="24">
        <f t="array" ref="Z204">IFERROR(INDEX(CRV!BU:BU, MATCH(B204, CRV!A:A, 0)), "")</f>
        <v>4</v>
      </c>
      <c r="AA204" s="24">
        <f t="array" ref="AA204">IFERROR(INDEX(CRV!BV:BV, MATCH(B204, CRV!A:A, 0))*X204+4.5*2+7, "")</f>
        <v>31.6</v>
      </c>
      <c r="AB204" s="24" t="str">
        <f t="array" ref="AB204">IFERROR(IF(VALUE(XLOOKUP($B204,CRV!$A:$A,CRV!$BU:$BU))&lt;=5.5,"прямой пуск (DOL)","звезда-треугольник (SD)"),"")</f>
        <v>прямой пуск (DOL)</v>
      </c>
      <c r="AC204" s="25" t="str">
        <f t="array" ref="AC204">IFERROR(INDEX(CRV!CA:CA, MATCH(B204, CRV!A:A, 0)), "")</f>
        <v>HQQE</v>
      </c>
      <c r="AD204" s="29">
        <v>440.0</v>
      </c>
      <c r="AE204" s="28">
        <v>7.5211434E7</v>
      </c>
    </row>
    <row r="205" ht="12.0" customHeight="1">
      <c r="A205" s="29" t="s">
        <v>263</v>
      </c>
      <c r="B205" s="24" t="str">
        <f>IFERROR(__xludf.DUMMYFUNCTION("IFERROR(IF(REGEXMATCH(REGEXEXTRACT(A205,""\bCRV\s*\d+(?:-\d+)+(?:-(?:A?BI|AI|BI))?\b""),""-(?:A?BI|AI|BI)$""),REGEXREPLACE(REGEXEXTRACT(A205,""\bCRV\s*\d+(?:-\d+)+(?:-(?:A?BI|AI|BI))?\b""),""-(A?BI|AI|BI)$"",""C$1""),REGEXEXTRACT(A205,""\bCRV\s*\d+(?:-\d+"&amp;")+(?:-(?:A?BI|AI|BI))?\b"")&amp;""C""),"""")"),"CRV 15-6C")</f>
        <v>CRV 15-6C</v>
      </c>
      <c r="C205" s="28">
        <v>1850.0</v>
      </c>
      <c r="D205" s="28">
        <v>1083.0</v>
      </c>
      <c r="E205" s="28">
        <v>190.0</v>
      </c>
      <c r="F205" s="28">
        <v>585.0</v>
      </c>
      <c r="G205" s="28">
        <v>540.0</v>
      </c>
      <c r="H205" s="28">
        <v>1589.0</v>
      </c>
      <c r="I205" s="28">
        <v>1125.0</v>
      </c>
      <c r="J205" s="28">
        <v>2210.0</v>
      </c>
      <c r="K205" s="28">
        <v>427.0</v>
      </c>
      <c r="L205" s="28" t="s">
        <v>244</v>
      </c>
      <c r="M205" s="28" t="s">
        <v>244</v>
      </c>
      <c r="N205" s="28">
        <v>385.0</v>
      </c>
      <c r="O205" s="28">
        <v>100.0</v>
      </c>
      <c r="P205" s="28"/>
      <c r="Q205" s="29" t="s">
        <v>245</v>
      </c>
      <c r="R205" s="28">
        <v>1200.0</v>
      </c>
      <c r="S205" s="28">
        <v>800.0</v>
      </c>
      <c r="T205" s="28">
        <v>860.0</v>
      </c>
      <c r="U205" s="28">
        <v>450.0</v>
      </c>
      <c r="V205" s="24"/>
      <c r="W205" s="24">
        <f t="shared" si="1"/>
        <v>3</v>
      </c>
      <c r="X205" s="24">
        <f>IFERROR(__xludf.DUMMYFUNCTION("IFERROR(VALUE(REGEXEXTRACT(A205,""\b(\d+)/\d+\b"")),"""")"),2.0)</f>
        <v>2</v>
      </c>
      <c r="Y205" s="24">
        <f>IFERROR(__xludf.DUMMYFUNCTION("IFERROR(VALUE(REGEXEXTRACT(A205,""\b\d+/(\d+)\b"")),"""")
"),1.0)</f>
        <v>1</v>
      </c>
      <c r="Z205" s="24">
        <f t="array" ref="Z205">IFERROR(INDEX(CRV!BU:BU, MATCH(B205, CRV!A:A, 0)), "")</f>
        <v>5.5</v>
      </c>
      <c r="AA205" s="24">
        <f t="array" ref="AA205">IFERROR(INDEX(CRV!BV:BV, MATCH(B205, CRV!A:A, 0))*X205+4.5*2+7, "")</f>
        <v>37.2</v>
      </c>
      <c r="AB205" s="24" t="str">
        <f t="array" ref="AB205">IFERROR(IF(VALUE(XLOOKUP($B205,CRV!$A:$A,CRV!$BU:$BU))&lt;=5.5,"прямой пуск (DOL)","звезда-треугольник (SD)"),"")</f>
        <v>прямой пуск (DOL)</v>
      </c>
      <c r="AC205" s="25" t="str">
        <f t="array" ref="AC205">IFERROR(INDEX(CRV!CA:CA, MATCH(B205, CRV!A:A, 0)), "")</f>
        <v>HQQE</v>
      </c>
      <c r="AD205" s="29">
        <v>506.0</v>
      </c>
      <c r="AE205" s="28">
        <v>7.5211435E7</v>
      </c>
    </row>
    <row r="206" ht="12.0" customHeight="1">
      <c r="A206" s="29" t="s">
        <v>264</v>
      </c>
      <c r="B206" s="24" t="str">
        <f>IFERROR(__xludf.DUMMYFUNCTION("IFERROR(IF(REGEXMATCH(REGEXEXTRACT(A206,""\bCRV\s*\d+(?:-\d+)+(?:-(?:A?BI|AI|BI))?\b""),""-(?:A?BI|AI|BI)$""),REGEXREPLACE(REGEXEXTRACT(A206,""\bCRV\s*\d+(?:-\d+)+(?:-(?:A?BI|AI|BI))?\b""),""-(A?BI|AI|BI)$"",""C$1""),REGEXEXTRACT(A206,""\bCRV\s*\d+(?:-\d+"&amp;")+(?:-(?:A?BI|AI|BI))?\b"")&amp;""C""),"""")"),"CRV 15-7C")</f>
        <v>CRV 15-7C</v>
      </c>
      <c r="C206" s="28">
        <v>1850.0</v>
      </c>
      <c r="D206" s="28">
        <v>1128.0</v>
      </c>
      <c r="E206" s="28">
        <v>190.0</v>
      </c>
      <c r="F206" s="28">
        <v>585.0</v>
      </c>
      <c r="G206" s="28">
        <v>540.0</v>
      </c>
      <c r="H206" s="28">
        <v>1589.0</v>
      </c>
      <c r="I206" s="28">
        <v>1125.0</v>
      </c>
      <c r="J206" s="28">
        <v>2210.0</v>
      </c>
      <c r="K206" s="28">
        <v>427.0</v>
      </c>
      <c r="L206" s="28" t="s">
        <v>244</v>
      </c>
      <c r="M206" s="28" t="s">
        <v>244</v>
      </c>
      <c r="N206" s="28">
        <v>385.0</v>
      </c>
      <c r="O206" s="28">
        <v>100.0</v>
      </c>
      <c r="P206" s="28"/>
      <c r="Q206" s="29" t="s">
        <v>245</v>
      </c>
      <c r="R206" s="28">
        <v>1200.0</v>
      </c>
      <c r="S206" s="28">
        <v>800.0</v>
      </c>
      <c r="T206" s="28">
        <v>860.0</v>
      </c>
      <c r="U206" s="28">
        <v>450.0</v>
      </c>
      <c r="V206" s="24"/>
      <c r="W206" s="24">
        <f t="shared" si="1"/>
        <v>3</v>
      </c>
      <c r="X206" s="24">
        <f>IFERROR(__xludf.DUMMYFUNCTION("IFERROR(VALUE(REGEXEXTRACT(A206,""\b(\d+)/\d+\b"")),"""")"),2.0)</f>
        <v>2</v>
      </c>
      <c r="Y206" s="24">
        <f>IFERROR(__xludf.DUMMYFUNCTION("IFERROR(VALUE(REGEXEXTRACT(A206,""\b\d+/(\d+)\b"")),"""")
"),1.0)</f>
        <v>1</v>
      </c>
      <c r="Z206" s="24">
        <f t="array" ref="Z206">IFERROR(INDEX(CRV!BU:BU, MATCH(B206, CRV!A:A, 0)), "")</f>
        <v>5.5</v>
      </c>
      <c r="AA206" s="24">
        <f t="array" ref="AA206">IFERROR(INDEX(CRV!BV:BV, MATCH(B206, CRV!A:A, 0))*X206+4.5*2+7, "")</f>
        <v>37.2</v>
      </c>
      <c r="AB206" s="24" t="str">
        <f t="array" ref="AB206">IFERROR(IF(VALUE(XLOOKUP($B206,CRV!$A:$A,CRV!$BU:$BU))&lt;=5.5,"прямой пуск (DOL)","звезда-треугольник (SD)"),"")</f>
        <v>прямой пуск (DOL)</v>
      </c>
      <c r="AC206" s="25" t="str">
        <f t="array" ref="AC206">IFERROR(INDEX(CRV!CA:CA, MATCH(B206, CRV!A:A, 0)), "")</f>
        <v>HQQE</v>
      </c>
      <c r="AD206" s="29">
        <v>512.0</v>
      </c>
      <c r="AE206" s="28">
        <v>7.5211436E7</v>
      </c>
    </row>
    <row r="207" ht="12.0" customHeight="1">
      <c r="A207" s="29" t="s">
        <v>265</v>
      </c>
      <c r="B207" s="24" t="str">
        <f>IFERROR(__xludf.DUMMYFUNCTION("IFERROR(IF(REGEXMATCH(REGEXEXTRACT(A207,""\bCRV\s*\d+(?:-\d+)+(?:-(?:A?BI|AI|BI))?\b""),""-(?:A?BI|AI|BI)$""),REGEXREPLACE(REGEXEXTRACT(A207,""\bCRV\s*\d+(?:-\d+)+(?:-(?:A?BI|AI|BI))?\b""),""-(A?BI|AI|BI)$"",""C$1""),REGEXEXTRACT(A207,""\bCRV\s*\d+(?:-\d+"&amp;")+(?:-(?:A?BI|AI|BI))?\b"")&amp;""C""),"""")"),"CRV 15-8C")</f>
        <v>CRV 15-8C</v>
      </c>
      <c r="C207" s="28">
        <v>1850.0</v>
      </c>
      <c r="D207" s="28">
        <v>1211.0</v>
      </c>
      <c r="E207" s="28">
        <v>190.0</v>
      </c>
      <c r="F207" s="28">
        <v>585.0</v>
      </c>
      <c r="G207" s="28">
        <v>540.0</v>
      </c>
      <c r="H207" s="28">
        <v>1589.0</v>
      </c>
      <c r="I207" s="28">
        <v>1125.0</v>
      </c>
      <c r="J207" s="28">
        <v>2210.0</v>
      </c>
      <c r="K207" s="28">
        <v>427.0</v>
      </c>
      <c r="L207" s="28" t="s">
        <v>244</v>
      </c>
      <c r="M207" s="28" t="s">
        <v>244</v>
      </c>
      <c r="N207" s="28">
        <v>385.0</v>
      </c>
      <c r="O207" s="28">
        <v>100.0</v>
      </c>
      <c r="P207" s="28"/>
      <c r="Q207" s="29" t="s">
        <v>245</v>
      </c>
      <c r="R207" s="28">
        <v>1200.0</v>
      </c>
      <c r="S207" s="28">
        <v>800.0</v>
      </c>
      <c r="T207" s="28">
        <v>860.0</v>
      </c>
      <c r="U207" s="28">
        <v>450.0</v>
      </c>
      <c r="V207" s="24"/>
      <c r="W207" s="24">
        <f t="shared" si="1"/>
        <v>3</v>
      </c>
      <c r="X207" s="24">
        <f>IFERROR(__xludf.DUMMYFUNCTION("IFERROR(VALUE(REGEXEXTRACT(A207,""\b(\d+)/\d+\b"")),"""")"),2.0)</f>
        <v>2</v>
      </c>
      <c r="Y207" s="24">
        <f>IFERROR(__xludf.DUMMYFUNCTION("IFERROR(VALUE(REGEXEXTRACT(A207,""\b\d+/(\d+)\b"")),"""")
"),1.0)</f>
        <v>1</v>
      </c>
      <c r="Z207" s="24">
        <f t="array" ref="Z207">IFERROR(INDEX(CRV!BU:BU, MATCH(B207, CRV!A:A, 0)), "")</f>
        <v>7.5</v>
      </c>
      <c r="AA207" s="24">
        <f t="array" ref="AA207">IFERROR(INDEX(CRV!BV:BV, MATCH(B207, CRV!A:A, 0))*X207+4.5*2+7, "")</f>
        <v>44.8</v>
      </c>
      <c r="AB207" s="24" t="str">
        <f t="array" ref="AB207">IFERROR(IF(VALUE(XLOOKUP($B207,CRV!$A:$A,CRV!$BU:$BU))&lt;=5.5,"прямой пуск (DOL)","звезда-треугольник (SD)"),"")</f>
        <v>звезда-треугольник (SD)</v>
      </c>
      <c r="AC207" s="25" t="str">
        <f t="array" ref="AC207">IFERROR(INDEX(CRV!CA:CA, MATCH(B207, CRV!A:A, 0)), "")</f>
        <v>HQQE</v>
      </c>
      <c r="AD207" s="29">
        <v>524.0</v>
      </c>
      <c r="AE207" s="28">
        <v>7.5211437E7</v>
      </c>
    </row>
    <row r="208" ht="12.0" customHeight="1">
      <c r="A208" s="29" t="s">
        <v>266</v>
      </c>
      <c r="B208" s="24" t="str">
        <f>IFERROR(__xludf.DUMMYFUNCTION("IFERROR(IF(REGEXMATCH(REGEXEXTRACT(A208,""\bCRV\s*\d+(?:-\d+)+(?:-(?:A?BI|AI|BI))?\b""),""-(?:A?BI|AI|BI)$""),REGEXREPLACE(REGEXEXTRACT(A208,""\bCRV\s*\d+(?:-\d+)+(?:-(?:A?BI|AI|BI))?\b""),""-(A?BI|AI|BI)$"",""C$1""),REGEXEXTRACT(A208,""\bCRV\s*\d+(?:-\d+"&amp;")+(?:-(?:A?BI|AI|BI))?\b"")&amp;""C""),"""")"),"CRV 15-9C")</f>
        <v>CRV 15-9C</v>
      </c>
      <c r="C208" s="28">
        <v>1850.0</v>
      </c>
      <c r="D208" s="28">
        <v>1256.0</v>
      </c>
      <c r="E208" s="28">
        <v>190.0</v>
      </c>
      <c r="F208" s="28">
        <v>585.0</v>
      </c>
      <c r="G208" s="28">
        <v>540.0</v>
      </c>
      <c r="H208" s="28">
        <v>1589.0</v>
      </c>
      <c r="I208" s="28">
        <v>1125.0</v>
      </c>
      <c r="J208" s="28">
        <v>2210.0</v>
      </c>
      <c r="K208" s="28">
        <v>427.0</v>
      </c>
      <c r="L208" s="28" t="s">
        <v>244</v>
      </c>
      <c r="M208" s="28" t="s">
        <v>244</v>
      </c>
      <c r="N208" s="28">
        <v>385.0</v>
      </c>
      <c r="O208" s="28">
        <v>100.0</v>
      </c>
      <c r="P208" s="28"/>
      <c r="Q208" s="29" t="s">
        <v>245</v>
      </c>
      <c r="R208" s="28">
        <v>1200.0</v>
      </c>
      <c r="S208" s="28">
        <v>800.0</v>
      </c>
      <c r="T208" s="28">
        <v>860.0</v>
      </c>
      <c r="U208" s="28">
        <v>450.0</v>
      </c>
      <c r="V208" s="24"/>
      <c r="W208" s="24">
        <f t="shared" si="1"/>
        <v>3</v>
      </c>
      <c r="X208" s="24">
        <f>IFERROR(__xludf.DUMMYFUNCTION("IFERROR(VALUE(REGEXEXTRACT(A208,""\b(\d+)/\d+\b"")),"""")"),2.0)</f>
        <v>2</v>
      </c>
      <c r="Y208" s="24">
        <f>IFERROR(__xludf.DUMMYFUNCTION("IFERROR(VALUE(REGEXEXTRACT(A208,""\b\d+/(\d+)\b"")),"""")
"),1.0)</f>
        <v>1</v>
      </c>
      <c r="Z208" s="24">
        <f t="array" ref="Z208">IFERROR(INDEX(CRV!BU:BU, MATCH(B208, CRV!A:A, 0)), "")</f>
        <v>7.5</v>
      </c>
      <c r="AA208" s="24">
        <f t="array" ref="AA208">IFERROR(INDEX(CRV!BV:BV, MATCH(B208, CRV!A:A, 0))*X208+4.5*2+7, "")</f>
        <v>44.8</v>
      </c>
      <c r="AB208" s="24" t="str">
        <f t="array" ref="AB208">IFERROR(IF(VALUE(XLOOKUP($B208,CRV!$A:$A,CRV!$BU:$BU))&lt;=5.5,"прямой пуск (DOL)","звезда-треугольник (SD)"),"")</f>
        <v>звезда-треугольник (SD)</v>
      </c>
      <c r="AC208" s="25" t="str">
        <f t="array" ref="AC208">IFERROR(INDEX(CRV!CA:CA, MATCH(B208, CRV!A:A, 0)), "")</f>
        <v>HQQE</v>
      </c>
      <c r="AD208" s="29">
        <v>527.0</v>
      </c>
      <c r="AE208" s="28">
        <v>7.5211438E7</v>
      </c>
    </row>
    <row r="209" ht="12.0" customHeight="1">
      <c r="A209" s="29" t="s">
        <v>267</v>
      </c>
      <c r="B209" s="24" t="str">
        <f>IFERROR(__xludf.DUMMYFUNCTION("IFERROR(IF(REGEXMATCH(REGEXEXTRACT(A209,""\bCRV\s*\d+(?:-\d+)+(?:-(?:A?BI|AI|BI))?\b""),""-(?:A?BI|AI|BI)$""),REGEXREPLACE(REGEXEXTRACT(A209,""\bCRV\s*\d+(?:-\d+)+(?:-(?:A?BI|AI|BI))?\b""),""-(A?BI|AI|BI)$"",""C$1""),REGEXEXTRACT(A209,""\bCRV\s*\d+(?:-\d+"&amp;")+(?:-(?:A?BI|AI|BI))?\b"")&amp;""C""),"""")"),"CRV 15-10C")</f>
        <v>CRV 15-10C</v>
      </c>
      <c r="C209" s="28">
        <v>1850.0</v>
      </c>
      <c r="D209" s="28">
        <v>1417.0</v>
      </c>
      <c r="E209" s="28">
        <v>190.0</v>
      </c>
      <c r="F209" s="28">
        <v>585.0</v>
      </c>
      <c r="G209" s="28">
        <v>540.0</v>
      </c>
      <c r="H209" s="28">
        <v>1589.0</v>
      </c>
      <c r="I209" s="28">
        <v>1125.0</v>
      </c>
      <c r="J209" s="28">
        <v>2210.0</v>
      </c>
      <c r="K209" s="28">
        <v>427.0</v>
      </c>
      <c r="L209" s="28" t="s">
        <v>244</v>
      </c>
      <c r="M209" s="28" t="s">
        <v>244</v>
      </c>
      <c r="N209" s="28">
        <v>385.0</v>
      </c>
      <c r="O209" s="28">
        <v>100.0</v>
      </c>
      <c r="P209" s="28"/>
      <c r="Q209" s="29" t="s">
        <v>245</v>
      </c>
      <c r="R209" s="28">
        <v>1200.0</v>
      </c>
      <c r="S209" s="28">
        <v>800.0</v>
      </c>
      <c r="T209" s="28">
        <v>860.0</v>
      </c>
      <c r="U209" s="28">
        <v>450.0</v>
      </c>
      <c r="V209" s="24"/>
      <c r="W209" s="24">
        <f t="shared" si="1"/>
        <v>3</v>
      </c>
      <c r="X209" s="24">
        <f>IFERROR(__xludf.DUMMYFUNCTION("IFERROR(VALUE(REGEXEXTRACT(A209,""\b(\d+)/\d+\b"")),"""")"),2.0)</f>
        <v>2</v>
      </c>
      <c r="Y209" s="24">
        <f>IFERROR(__xludf.DUMMYFUNCTION("IFERROR(VALUE(REGEXEXTRACT(A209,""\b\d+/(\d+)\b"")),"""")
"),1.0)</f>
        <v>1</v>
      </c>
      <c r="Z209" s="24">
        <f t="array" ref="Z209">IFERROR(INDEX(CRV!BU:BU, MATCH(B209, CRV!A:A, 0)), "")</f>
        <v>11</v>
      </c>
      <c r="AA209" s="24">
        <f t="array" ref="AA209">IFERROR(INDEX(CRV!BV:BV, MATCH(B209, CRV!A:A, 0))*X209+4.5*2+7, "")</f>
        <v>57.2</v>
      </c>
      <c r="AB209" s="24" t="str">
        <f t="array" ref="AB209">IFERROR(IF(VALUE(XLOOKUP($B209,CRV!$A:$A,CRV!$BU:$BU))&lt;=5.5,"прямой пуск (DOL)","звезда-треугольник (SD)"),"")</f>
        <v>звезда-треугольник (SD)</v>
      </c>
      <c r="AC209" s="25" t="str">
        <f t="array" ref="AC209">IFERROR(INDEX(CRV!CA:CA, MATCH(B209, CRV!A:A, 0)), "")</f>
        <v>HQQE</v>
      </c>
      <c r="AD209" s="29">
        <v>596.0</v>
      </c>
      <c r="AE209" s="28">
        <v>7.5211439E7</v>
      </c>
    </row>
    <row r="210" ht="12.0" customHeight="1">
      <c r="A210" s="29" t="s">
        <v>268</v>
      </c>
      <c r="B210" s="24" t="str">
        <f>IFERROR(__xludf.DUMMYFUNCTION("IFERROR(IF(REGEXMATCH(REGEXEXTRACT(A210,""\bCRV\s*\d+(?:-\d+)+(?:-(?:A?BI|AI|BI))?\b""),""-(?:A?BI|AI|BI)$""),REGEXREPLACE(REGEXEXTRACT(A210,""\bCRV\s*\d+(?:-\d+)+(?:-(?:A?BI|AI|BI))?\b""),""-(A?BI|AI|BI)$"",""C$1""),REGEXEXTRACT(A210,""\bCRV\s*\d+(?:-\d+"&amp;")+(?:-(?:A?BI|AI|BI))?\b"")&amp;""C""),"""")"),"CRV 15-12C")</f>
        <v>CRV 15-12C</v>
      </c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>
        <f t="shared" si="1"/>
        <v>3</v>
      </c>
      <c r="X210" s="24">
        <f>IFERROR(__xludf.DUMMYFUNCTION("IFERROR(VALUE(REGEXEXTRACT(A210,""\b(\d+)/\d+\b"")),"""")"),2.0)</f>
        <v>2</v>
      </c>
      <c r="Y210" s="24">
        <f>IFERROR(__xludf.DUMMYFUNCTION("IFERROR(VALUE(REGEXEXTRACT(A210,""\b\d+/(\d+)\b"")),"""")
"),1.0)</f>
        <v>1</v>
      </c>
      <c r="Z210" s="24">
        <f t="array" ref="Z210">IFERROR(INDEX(CRV!BU:BU, MATCH(B210, CRV!A:A, 0)), "")</f>
        <v>11</v>
      </c>
      <c r="AA210" s="24">
        <f t="array" ref="AA210">IFERROR(INDEX(CRV!BV:BV, MATCH(B210, CRV!A:A, 0))*X210+4.5*2+7, "")</f>
        <v>57.2</v>
      </c>
      <c r="AB210" s="24" t="str">
        <f t="array" ref="AB210">IFERROR(IF(VALUE(XLOOKUP($B210,CRV!$A:$A,CRV!$BU:$BU))&lt;=5.5,"прямой пуск (DOL)","звезда-треугольник (SD)"),"")</f>
        <v>звезда-треугольник (SD)</v>
      </c>
      <c r="AC210" s="25" t="str">
        <f t="array" ref="AC210">IFERROR(INDEX(CRV!CA:CA, MATCH(B210, CRV!A:A, 0)), "")</f>
        <v>HQQE</v>
      </c>
      <c r="AD210" s="25"/>
      <c r="AE210" s="24"/>
    </row>
    <row r="211" ht="12.0" customHeight="1">
      <c r="A211" s="29" t="s">
        <v>269</v>
      </c>
      <c r="B211" s="24" t="str">
        <f>IFERROR(__xludf.DUMMYFUNCTION("IFERROR(IF(REGEXMATCH(REGEXEXTRACT(A211,""\bCRV\s*\d+(?:-\d+)+(?:-(?:A?BI|AI|BI))?\b""),""-(?:A?BI|AI|BI)$""),REGEXREPLACE(REGEXEXTRACT(A211,""\bCRV\s*\d+(?:-\d+)+(?:-(?:A?BI|AI|BI))?\b""),""-(A?BI|AI|BI)$"",""C$1""),REGEXEXTRACT(A211,""\bCRV\s*\d+(?:-\d+"&amp;")+(?:-(?:A?BI|AI|BI))?\b"")&amp;""C""),"""")"),"CRV 15-14C")</f>
        <v>CRV 15-14C</v>
      </c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>
        <f t="shared" si="1"/>
        <v>3</v>
      </c>
      <c r="X211" s="24">
        <f>IFERROR(__xludf.DUMMYFUNCTION("IFERROR(VALUE(REGEXEXTRACT(A211,""\b(\d+)/\d+\b"")),"""")"),2.0)</f>
        <v>2</v>
      </c>
      <c r="Y211" s="24">
        <f>IFERROR(__xludf.DUMMYFUNCTION("IFERROR(VALUE(REGEXEXTRACT(A211,""\b\d+/(\d+)\b"")),"""")
"),1.0)</f>
        <v>1</v>
      </c>
      <c r="Z211" s="24">
        <f t="array" ref="Z211">IFERROR(INDEX(CRV!BU:BU, MATCH(B211, CRV!A:A, 0)), "")</f>
        <v>11</v>
      </c>
      <c r="AA211" s="24">
        <f t="array" ref="AA211">IFERROR(INDEX(CRV!BV:BV, MATCH(B211, CRV!A:A, 0))*X211+4.5*2+7, "")</f>
        <v>57.2</v>
      </c>
      <c r="AB211" s="24" t="str">
        <f t="array" ref="AB211">IFERROR(IF(VALUE(XLOOKUP($B211,CRV!$A:$A,CRV!$BU:$BU))&lt;=5.5,"прямой пуск (DOL)","звезда-треугольник (SD)"),"")</f>
        <v>звезда-треугольник (SD)</v>
      </c>
      <c r="AC211" s="25" t="str">
        <f t="array" ref="AC211">IFERROR(INDEX(CRV!CA:CA, MATCH(B211, CRV!A:A, 0)), "")</f>
        <v>HQQE</v>
      </c>
      <c r="AD211" s="25"/>
      <c r="AE211" s="24"/>
    </row>
    <row r="212" ht="12.0" customHeight="1">
      <c r="A212" s="29" t="s">
        <v>270</v>
      </c>
      <c r="B212" s="24" t="str">
        <f>IFERROR(__xludf.DUMMYFUNCTION("IFERROR(IF(REGEXMATCH(REGEXEXTRACT(A212,""\bCRV\s*\d+(?:-\d+)+(?:-(?:A?BI|AI|BI))?\b""),""-(?:A?BI|AI|BI)$""),REGEXREPLACE(REGEXEXTRACT(A212,""\bCRV\s*\d+(?:-\d+)+(?:-(?:A?BI|AI|BI))?\b""),""-(A?BI|AI|BI)$"",""C$1""),REGEXEXTRACT(A212,""\bCRV\s*\d+(?:-\d+"&amp;")+(?:-(?:A?BI|AI|BI))?\b"")&amp;""C""),"""")"),"CRV 15-17C")</f>
        <v>CRV 15-17C</v>
      </c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>
        <f t="shared" si="1"/>
        <v>3</v>
      </c>
      <c r="X212" s="24">
        <f>IFERROR(__xludf.DUMMYFUNCTION("IFERROR(VALUE(REGEXEXTRACT(A212,""\b(\d+)/\d+\b"")),"""")"),2.0)</f>
        <v>2</v>
      </c>
      <c r="Y212" s="24">
        <f>IFERROR(__xludf.DUMMYFUNCTION("IFERROR(VALUE(REGEXEXTRACT(A212,""\b\d+/(\d+)\b"")),"""")
"),1.0)</f>
        <v>1</v>
      </c>
      <c r="Z212" s="24">
        <f t="array" ref="Z212">IFERROR(INDEX(CRV!BU:BU, MATCH(B212, CRV!A:A, 0)), "")</f>
        <v>15</v>
      </c>
      <c r="AA212" s="24">
        <f t="array" ref="AA212">IFERROR(INDEX(CRV!BV:BV, MATCH(B212, CRV!A:A, 0))*X212+4.5*2+7, "")</f>
        <v>71.8</v>
      </c>
      <c r="AB212" s="24" t="str">
        <f t="array" ref="AB212">IFERROR(IF(VALUE(XLOOKUP($B212,CRV!$A:$A,CRV!$BU:$BU))&lt;=5.5,"прямой пуск (DOL)","звезда-треугольник (SD)"),"")</f>
        <v>звезда-треугольник (SD)</v>
      </c>
      <c r="AC212" s="25" t="str">
        <f t="array" ref="AC212">IFERROR(INDEX(CRV!CA:CA, MATCH(B212, CRV!A:A, 0)), "")</f>
        <v>HQQE</v>
      </c>
      <c r="AD212" s="25"/>
      <c r="AE212" s="24"/>
    </row>
    <row r="213" ht="12.0" customHeight="1">
      <c r="A213" s="24"/>
      <c r="B213" s="24" t="str">
        <f>IFERROR(__xludf.DUMMYFUNCTION("IFERROR(IF(REGEXMATCH(REGEXEXTRACT(A213,""\bCRV\s*\d+(?:-\d+)+(?:-(?:A?BI|AI|BI))?\b""),""-(?:A?BI|AI|BI)$""),REGEXREPLACE(REGEXEXTRACT(A213,""\bCRV\s*\d+(?:-\d+)+(?:-(?:A?BI|AI|BI))?\b""),""-(A?BI|AI|BI)$"",""C$1""),REGEXEXTRACT(A213,""\bCRV\s*\d+(?:-\d+"&amp;")+(?:-(?:A?BI|AI|BI))?\b"")&amp;""C""),"""")"),"")</f>
        <v/>
      </c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 t="str">
        <f t="shared" si="1"/>
        <v/>
      </c>
      <c r="X213" s="24" t="str">
        <f>IFERROR(__xludf.DUMMYFUNCTION("IFERROR(VALUE(REGEXEXTRACT(A213,""\b(\d+)/\d+\b"")),"""")"),"")</f>
        <v/>
      </c>
      <c r="Y213" s="24" t="str">
        <f>IFERROR(__xludf.DUMMYFUNCTION("IFERROR(VALUE(REGEXEXTRACT(A213,""\b\d+/(\d+)\b"")),"""")
"),"")</f>
        <v/>
      </c>
      <c r="Z213" s="24" t="str">
        <f t="array" ref="Z213">IFERROR(INDEX(CRV!BU:BU, MATCH(B213, CRV!A:A, 0)), "")</f>
        <v/>
      </c>
      <c r="AA213" s="24" t="str">
        <f t="array" ref="AA213">IFERROR(INDEX(CRV!BV:BV, MATCH(B213, CRV!A:A, 0))*X213+4.5*2+7, "")</f>
        <v/>
      </c>
      <c r="AB213" s="24" t="str">
        <f t="array" ref="AB213">IFERROR(IF(VALUE(XLOOKUP($B213,CRV!$A:$A,CRV!$BU:$BU))&lt;=5.5,"прямой пуск (DOL)","звезда-треугольник (SD)"),"")</f>
        <v/>
      </c>
      <c r="AC213" s="25" t="str">
        <f t="array" ref="AC213">IFERROR(INDEX(CRV!CA:CA, MATCH(B213, CRV!A:A, 0)), "")</f>
        <v/>
      </c>
      <c r="AD213" s="25"/>
      <c r="AE213" s="24"/>
    </row>
    <row r="214" ht="12.0" customHeight="1">
      <c r="A214" s="25" t="s">
        <v>271</v>
      </c>
      <c r="B214" s="24" t="str">
        <f>IFERROR(__xludf.DUMMYFUNCTION("IFERROR(IF(REGEXMATCH(REGEXEXTRACT(A214,""\bCRV\s*\d+(?:-\d+)+(?:-(?:A?BI|AI|BI))?\b""),""-(?:A?BI|AI|BI)$""),REGEXREPLACE(REGEXEXTRACT(A214,""\bCRV\s*\d+(?:-\d+)+(?:-(?:A?BI|AI|BI))?\b""),""-(A?BI|AI|BI)$"",""C$1""),REGEXEXTRACT(A214,""\bCRV\s*\d+(?:-\d+"&amp;")+(?:-(?:A?BI|AI|BI))?\b"")&amp;""C""),"""")"),"CRV 20-1C")</f>
        <v>CRV 20-1C</v>
      </c>
      <c r="C214" s="24">
        <v>1850.0</v>
      </c>
      <c r="D214" s="24">
        <v>672.0</v>
      </c>
      <c r="E214" s="24">
        <v>190.0</v>
      </c>
      <c r="F214" s="24">
        <v>595.0</v>
      </c>
      <c r="G214" s="24">
        <v>550.0</v>
      </c>
      <c r="H214" s="24">
        <v>1680.0</v>
      </c>
      <c r="I214" s="24">
        <v>1145.0</v>
      </c>
      <c r="J214" s="24">
        <v>2210.0</v>
      </c>
      <c r="K214" s="24">
        <v>427.0</v>
      </c>
      <c r="L214" s="24" t="s">
        <v>244</v>
      </c>
      <c r="M214" s="24" t="s">
        <v>244</v>
      </c>
      <c r="N214" s="24">
        <v>385.0</v>
      </c>
      <c r="O214" s="24">
        <v>100.0</v>
      </c>
      <c r="P214" s="24"/>
      <c r="Q214" s="25" t="s">
        <v>245</v>
      </c>
      <c r="R214" s="24">
        <v>1200.0</v>
      </c>
      <c r="S214" s="24">
        <v>800.0</v>
      </c>
      <c r="T214" s="24">
        <v>860.0</v>
      </c>
      <c r="U214" s="24">
        <v>450.0</v>
      </c>
      <c r="V214" s="24"/>
      <c r="W214" s="24">
        <f t="shared" si="1"/>
        <v>3</v>
      </c>
      <c r="X214" s="24">
        <f>IFERROR(__xludf.DUMMYFUNCTION("IFERROR(VALUE(REGEXEXTRACT(A214,""\b(\d+)/\d+\b"")),"""")"),2.0)</f>
        <v>2</v>
      </c>
      <c r="Y214" s="24">
        <f>IFERROR(__xludf.DUMMYFUNCTION("IFERROR(VALUE(REGEXEXTRACT(A214,""\b\d+/(\d+)\b"")),"""")
"),1.0)</f>
        <v>1</v>
      </c>
      <c r="Z214" s="24">
        <f t="array" ref="Z214">IFERROR(INDEX(CRV!BU:BU, MATCH(B214, CRV!A:A, 0)), "")</f>
        <v>1.1</v>
      </c>
      <c r="AA214" s="24">
        <f t="array" ref="AA214">IFERROR(INDEX(CRV!BV:BV, MATCH(B214, CRV!A:A, 0))*X214+4.5*2+7, "")</f>
        <v>24.4</v>
      </c>
      <c r="AB214" s="24" t="str">
        <f t="array" ref="AB214">IFERROR(IF(VALUE(XLOOKUP($B214,CRV!$A:$A,CRV!$BU:$BU))&lt;=5.5,"прямой пуск (DOL)","звезда-треугольник (SD)"),"")</f>
        <v>прямой пуск (DOL)</v>
      </c>
      <c r="AC214" s="25" t="str">
        <f t="array" ref="AC214">IFERROR(INDEX(CRV!CA:CA, MATCH(B214, CRV!A:A, 0)), "")</f>
        <v>HQQE</v>
      </c>
      <c r="AD214" s="25">
        <v>347.0</v>
      </c>
      <c r="AE214" s="24">
        <v>7.521144E7</v>
      </c>
    </row>
    <row r="215" ht="12.0" customHeight="1">
      <c r="A215" s="25" t="s">
        <v>272</v>
      </c>
      <c r="B215" s="24" t="str">
        <f>IFERROR(__xludf.DUMMYFUNCTION("IFERROR(IF(REGEXMATCH(REGEXEXTRACT(A215,""\bCRV\s*\d+(?:-\d+)+(?:-(?:A?BI|AI|BI))?\b""),""-(?:A?BI|AI|BI)$""),REGEXREPLACE(REGEXEXTRACT(A215,""\bCRV\s*\d+(?:-\d+)+(?:-(?:A?BI|AI|BI))?\b""),""-(A?BI|AI|BI)$"",""C$1""),REGEXEXTRACT(A215,""\bCRV\s*\d+(?:-\d+"&amp;")+(?:-(?:A?BI|AI|BI))?\b"")&amp;""C""),"""")"),"CRV 20-2C")</f>
        <v>CRV 20-2C</v>
      </c>
      <c r="C215" s="24">
        <v>1850.0</v>
      </c>
      <c r="D215" s="24">
        <v>769.0</v>
      </c>
      <c r="E215" s="24">
        <v>190.0</v>
      </c>
      <c r="F215" s="24">
        <v>595.0</v>
      </c>
      <c r="G215" s="24">
        <v>550.0</v>
      </c>
      <c r="H215" s="24">
        <v>1680.0</v>
      </c>
      <c r="I215" s="24">
        <v>1145.0</v>
      </c>
      <c r="J215" s="24">
        <v>2210.0</v>
      </c>
      <c r="K215" s="24">
        <v>427.0</v>
      </c>
      <c r="L215" s="24" t="s">
        <v>244</v>
      </c>
      <c r="M215" s="24" t="s">
        <v>244</v>
      </c>
      <c r="N215" s="24">
        <v>385.0</v>
      </c>
      <c r="O215" s="24">
        <v>100.0</v>
      </c>
      <c r="P215" s="24"/>
      <c r="Q215" s="25" t="s">
        <v>245</v>
      </c>
      <c r="R215" s="24">
        <v>1200.0</v>
      </c>
      <c r="S215" s="24">
        <v>800.0</v>
      </c>
      <c r="T215" s="24">
        <v>860.0</v>
      </c>
      <c r="U215" s="24">
        <v>450.0</v>
      </c>
      <c r="V215" s="24"/>
      <c r="W215" s="24">
        <f t="shared" si="1"/>
        <v>3</v>
      </c>
      <c r="X215" s="24">
        <f>IFERROR(__xludf.DUMMYFUNCTION("IFERROR(VALUE(REGEXEXTRACT(A215,""\b(\d+)/\d+\b"")),"""")"),2.0)</f>
        <v>2</v>
      </c>
      <c r="Y215" s="24">
        <f>IFERROR(__xludf.DUMMYFUNCTION("IFERROR(VALUE(REGEXEXTRACT(A215,""\b\d+/(\d+)\b"")),"""")
"),1.0)</f>
        <v>1</v>
      </c>
      <c r="Z215" s="24">
        <f t="array" ref="Z215">IFERROR(INDEX(CRV!BU:BU, MATCH(B215, CRV!A:A, 0)), "")</f>
        <v>2.2</v>
      </c>
      <c r="AA215" s="24">
        <f t="array" ref="AA215">IFERROR(INDEX(CRV!BV:BV, MATCH(B215, CRV!A:A, 0))*X215+4.5*2+7, "")</f>
        <v>31.8</v>
      </c>
      <c r="AB215" s="24" t="str">
        <f t="array" ref="AB215">IFERROR(IF(VALUE(XLOOKUP($B215,CRV!$A:$A,CRV!$BU:$BU))&lt;=5.5,"прямой пуск (DOL)","звезда-треугольник (SD)"),"")</f>
        <v>прямой пуск (DOL)</v>
      </c>
      <c r="AC215" s="25" t="str">
        <f t="array" ref="AC215">IFERROR(INDEX(CRV!CA:CA, MATCH(B215, CRV!A:A, 0)), "")</f>
        <v>HQQE</v>
      </c>
      <c r="AD215" s="25">
        <v>380.0</v>
      </c>
      <c r="AE215" s="24">
        <v>7.5211441E7</v>
      </c>
    </row>
    <row r="216" ht="12.0" customHeight="1">
      <c r="A216" s="25" t="s">
        <v>273</v>
      </c>
      <c r="B216" s="24" t="str">
        <f>IFERROR(__xludf.DUMMYFUNCTION("IFERROR(IF(REGEXMATCH(REGEXEXTRACT(A216,""\bCRV\s*\d+(?:-\d+)+(?:-(?:A?BI|AI|BI))?\b""),""-(?:A?BI|AI|BI)$""),REGEXREPLACE(REGEXEXTRACT(A216,""\bCRV\s*\d+(?:-\d+)+(?:-(?:A?BI|AI|BI))?\b""),""-(A?BI|AI|BI)$"",""C$1""),REGEXEXTRACT(A216,""\bCRV\s*\d+(?:-\d+"&amp;")+(?:-(?:A?BI|AI|BI))?\b"")&amp;""C""),"""")"),"CRV 20-3C")</f>
        <v>CRV 20-3C</v>
      </c>
      <c r="C216" s="24">
        <v>1850.0</v>
      </c>
      <c r="D216" s="24">
        <v>867.0</v>
      </c>
      <c r="E216" s="24">
        <v>190.0</v>
      </c>
      <c r="F216" s="24">
        <v>595.0</v>
      </c>
      <c r="G216" s="24">
        <v>550.0</v>
      </c>
      <c r="H216" s="24">
        <v>1680.0</v>
      </c>
      <c r="I216" s="24">
        <v>1145.0</v>
      </c>
      <c r="J216" s="24">
        <v>2210.0</v>
      </c>
      <c r="K216" s="24">
        <v>427.0</v>
      </c>
      <c r="L216" s="24" t="s">
        <v>244</v>
      </c>
      <c r="M216" s="24" t="s">
        <v>244</v>
      </c>
      <c r="N216" s="24">
        <v>385.0</v>
      </c>
      <c r="O216" s="24">
        <v>100.0</v>
      </c>
      <c r="P216" s="24"/>
      <c r="Q216" s="25" t="s">
        <v>245</v>
      </c>
      <c r="R216" s="24">
        <v>1200.0</v>
      </c>
      <c r="S216" s="24">
        <v>800.0</v>
      </c>
      <c r="T216" s="24">
        <v>860.0</v>
      </c>
      <c r="U216" s="24">
        <v>450.0</v>
      </c>
      <c r="V216" s="24"/>
      <c r="W216" s="24">
        <f t="shared" si="1"/>
        <v>3</v>
      </c>
      <c r="X216" s="24">
        <f>IFERROR(__xludf.DUMMYFUNCTION("IFERROR(VALUE(REGEXEXTRACT(A216,""\b(\d+)/\d+\b"")),"""")"),2.0)</f>
        <v>2</v>
      </c>
      <c r="Y216" s="24">
        <f>IFERROR(__xludf.DUMMYFUNCTION("IFERROR(VALUE(REGEXEXTRACT(A216,""\b\d+/(\d+)\b"")),"""")
"),1.0)</f>
        <v>1</v>
      </c>
      <c r="Z216" s="24">
        <f t="array" ref="Z216">IFERROR(INDEX(CRV!BU:BU, MATCH(B216, CRV!A:A, 0)), "")</f>
        <v>4</v>
      </c>
      <c r="AA216" s="24">
        <f t="array" ref="AA216">IFERROR(INDEX(CRV!BV:BV, MATCH(B216, CRV!A:A, 0))*X216+4.5*2+7, "")</f>
        <v>31.6</v>
      </c>
      <c r="AB216" s="24" t="str">
        <f t="array" ref="AB216">IFERROR(IF(VALUE(XLOOKUP($B216,CRV!$A:$A,CRV!$BU:$BU))&lt;=5.5,"прямой пуск (DOL)","звезда-треугольник (SD)"),"")</f>
        <v>прямой пуск (DOL)</v>
      </c>
      <c r="AC216" s="25" t="str">
        <f t="array" ref="AC216">IFERROR(INDEX(CRV!CA:CA, MATCH(B216, CRV!A:A, 0)), "")</f>
        <v>HQQE</v>
      </c>
      <c r="AD216" s="25">
        <v>422.0</v>
      </c>
      <c r="AE216" s="24">
        <v>7.5211442E7</v>
      </c>
    </row>
    <row r="217" ht="12.0" customHeight="1">
      <c r="A217" s="25" t="s">
        <v>274</v>
      </c>
      <c r="B217" s="24" t="str">
        <f>IFERROR(__xludf.DUMMYFUNCTION("IFERROR(IF(REGEXMATCH(REGEXEXTRACT(A217,""\bCRV\s*\d+(?:-\d+)+(?:-(?:A?BI|AI|BI))?\b""),""-(?:A?BI|AI|BI)$""),REGEXREPLACE(REGEXEXTRACT(A217,""\bCRV\s*\d+(?:-\d+)+(?:-(?:A?BI|AI|BI))?\b""),""-(A?BI|AI|BI)$"",""C$1""),REGEXEXTRACT(A217,""\bCRV\s*\d+(?:-\d+"&amp;")+(?:-(?:A?BI|AI|BI))?\b"")&amp;""C""),"""")"),"CRV 20-4C")</f>
        <v>CRV 20-4C</v>
      </c>
      <c r="C217" s="24">
        <v>1850.0</v>
      </c>
      <c r="D217" s="24">
        <v>993.0</v>
      </c>
      <c r="E217" s="24">
        <v>190.0</v>
      </c>
      <c r="F217" s="24">
        <v>595.0</v>
      </c>
      <c r="G217" s="24">
        <v>550.0</v>
      </c>
      <c r="H217" s="24">
        <v>1680.0</v>
      </c>
      <c r="I217" s="24">
        <v>1145.0</v>
      </c>
      <c r="J217" s="24">
        <v>2210.0</v>
      </c>
      <c r="K217" s="24">
        <v>427.0</v>
      </c>
      <c r="L217" s="24" t="s">
        <v>244</v>
      </c>
      <c r="M217" s="24" t="s">
        <v>244</v>
      </c>
      <c r="N217" s="24">
        <v>385.0</v>
      </c>
      <c r="O217" s="24">
        <v>100.0</v>
      </c>
      <c r="P217" s="24"/>
      <c r="Q217" s="25" t="s">
        <v>245</v>
      </c>
      <c r="R217" s="24">
        <v>1200.0</v>
      </c>
      <c r="S217" s="24">
        <v>800.0</v>
      </c>
      <c r="T217" s="24">
        <v>860.0</v>
      </c>
      <c r="U217" s="24">
        <v>450.0</v>
      </c>
      <c r="V217" s="24"/>
      <c r="W217" s="24">
        <f t="shared" si="1"/>
        <v>3</v>
      </c>
      <c r="X217" s="24">
        <f>IFERROR(__xludf.DUMMYFUNCTION("IFERROR(VALUE(REGEXEXTRACT(A217,""\b(\d+)/\d+\b"")),"""")"),2.0)</f>
        <v>2</v>
      </c>
      <c r="Y217" s="24">
        <f>IFERROR(__xludf.DUMMYFUNCTION("IFERROR(VALUE(REGEXEXTRACT(A217,""\b\d+/(\d+)\b"")),"""")
"),1.0)</f>
        <v>1</v>
      </c>
      <c r="Z217" s="24">
        <f t="array" ref="Z217">IFERROR(INDEX(CRV!BU:BU, MATCH(B217, CRV!A:A, 0)), "")</f>
        <v>5.5</v>
      </c>
      <c r="AA217" s="24">
        <f t="array" ref="AA217">IFERROR(INDEX(CRV!BV:BV, MATCH(B217, CRV!A:A, 0))*X217+4.5*2+7, "")</f>
        <v>37.2</v>
      </c>
      <c r="AB217" s="24" t="str">
        <f t="array" ref="AB217">IFERROR(IF(VALUE(XLOOKUP($B217,CRV!$A:$A,CRV!$BU:$BU))&lt;=5.5,"прямой пуск (DOL)","звезда-треугольник (SD)"),"")</f>
        <v>прямой пуск (DOL)</v>
      </c>
      <c r="AC217" s="25" t="str">
        <f t="array" ref="AC217">IFERROR(INDEX(CRV!CA:CA, MATCH(B217, CRV!A:A, 0)), "")</f>
        <v>HQQE</v>
      </c>
      <c r="AD217" s="25">
        <v>467.0</v>
      </c>
      <c r="AE217" s="24">
        <v>7.5211443E7</v>
      </c>
    </row>
    <row r="218" ht="12.0" customHeight="1">
      <c r="A218" s="25" t="s">
        <v>275</v>
      </c>
      <c r="B218" s="24" t="str">
        <f>IFERROR(__xludf.DUMMYFUNCTION("IFERROR(IF(REGEXMATCH(REGEXEXTRACT(A218,""\bCRV\s*\d+(?:-\d+)+(?:-(?:A?BI|AI|BI))?\b""),""-(?:A?BI|AI|BI)$""),REGEXREPLACE(REGEXEXTRACT(A218,""\bCRV\s*\d+(?:-\d+)+(?:-(?:A?BI|AI|BI))?\b""),""-(A?BI|AI|BI)$"",""C$1""),REGEXEXTRACT(A218,""\bCRV\s*\d+(?:-\d+"&amp;")+(?:-(?:A?BI|AI|BI))?\b"")&amp;""C""),"""")"),"CRV 20-5C")</f>
        <v>CRV 20-5C</v>
      </c>
      <c r="C218" s="24">
        <v>1850.0</v>
      </c>
      <c r="D218" s="24">
        <v>1038.0</v>
      </c>
      <c r="E218" s="24">
        <v>190.0</v>
      </c>
      <c r="F218" s="24">
        <v>595.0</v>
      </c>
      <c r="G218" s="24">
        <v>550.0</v>
      </c>
      <c r="H218" s="24">
        <v>1680.0</v>
      </c>
      <c r="I218" s="24">
        <v>1145.0</v>
      </c>
      <c r="J218" s="24">
        <v>2210.0</v>
      </c>
      <c r="K218" s="24">
        <v>427.0</v>
      </c>
      <c r="L218" s="24" t="s">
        <v>244</v>
      </c>
      <c r="M218" s="24" t="s">
        <v>244</v>
      </c>
      <c r="N218" s="24">
        <v>385.0</v>
      </c>
      <c r="O218" s="24">
        <v>100.0</v>
      </c>
      <c r="P218" s="24"/>
      <c r="Q218" s="25" t="s">
        <v>245</v>
      </c>
      <c r="R218" s="24">
        <v>1200.0</v>
      </c>
      <c r="S218" s="24">
        <v>800.0</v>
      </c>
      <c r="T218" s="24">
        <v>860.0</v>
      </c>
      <c r="U218" s="24">
        <v>450.0</v>
      </c>
      <c r="V218" s="24"/>
      <c r="W218" s="24">
        <f t="shared" si="1"/>
        <v>3</v>
      </c>
      <c r="X218" s="24">
        <f>IFERROR(__xludf.DUMMYFUNCTION("IFERROR(VALUE(REGEXEXTRACT(A218,""\b(\d+)/\d+\b"")),"""")"),2.0)</f>
        <v>2</v>
      </c>
      <c r="Y218" s="24">
        <f>IFERROR(__xludf.DUMMYFUNCTION("IFERROR(VALUE(REGEXEXTRACT(A218,""\b\d+/(\d+)\b"")),"""")
"),1.0)</f>
        <v>1</v>
      </c>
      <c r="Z218" s="24">
        <f t="array" ref="Z218">IFERROR(INDEX(CRV!BU:BU, MATCH(B218, CRV!A:A, 0)), "")</f>
        <v>5.5</v>
      </c>
      <c r="AA218" s="24">
        <f t="array" ref="AA218">IFERROR(INDEX(CRV!BV:BV, MATCH(B218, CRV!A:A, 0))*X218+4.5*2+7, "")</f>
        <v>37.2</v>
      </c>
      <c r="AB218" s="24" t="str">
        <f t="array" ref="AB218">IFERROR(IF(VALUE(XLOOKUP($B218,CRV!$A:$A,CRV!$BU:$BU))&lt;=5.5,"прямой пуск (DOL)","звезда-треугольник (SD)"),"")</f>
        <v>прямой пуск (DOL)</v>
      </c>
      <c r="AC218" s="25" t="str">
        <f t="array" ref="AC218">IFERROR(INDEX(CRV!CA:CA, MATCH(B218, CRV!A:A, 0)), "")</f>
        <v>HQQE</v>
      </c>
      <c r="AD218" s="25">
        <v>473.0</v>
      </c>
      <c r="AE218" s="24">
        <v>7.5211444E7</v>
      </c>
    </row>
    <row r="219" ht="12.0" customHeight="1">
      <c r="A219" s="25" t="s">
        <v>276</v>
      </c>
      <c r="B219" s="24" t="str">
        <f>IFERROR(__xludf.DUMMYFUNCTION("IFERROR(IF(REGEXMATCH(REGEXEXTRACT(A219,""\bCRV\s*\d+(?:-\d+)+(?:-(?:A?BI|AI|BI))?\b""),""-(?:A?BI|AI|BI)$""),REGEXREPLACE(REGEXEXTRACT(A219,""\bCRV\s*\d+(?:-\d+)+(?:-(?:A?BI|AI|BI))?\b""),""-(A?BI|AI|BI)$"",""C$1""),REGEXEXTRACT(A219,""\bCRV\s*\d+(?:-\d+"&amp;")+(?:-(?:A?BI|AI|BI))?\b"")&amp;""C""),"""")"),"CRV 20-6C")</f>
        <v>CRV 20-6C</v>
      </c>
      <c r="C219" s="24">
        <v>1850.0</v>
      </c>
      <c r="D219" s="24">
        <v>1121.0</v>
      </c>
      <c r="E219" s="24">
        <v>190.0</v>
      </c>
      <c r="F219" s="24">
        <v>595.0</v>
      </c>
      <c r="G219" s="24">
        <v>550.0</v>
      </c>
      <c r="H219" s="24">
        <v>1680.0</v>
      </c>
      <c r="I219" s="24">
        <v>1145.0</v>
      </c>
      <c r="J219" s="24">
        <v>2210.0</v>
      </c>
      <c r="K219" s="24">
        <v>427.0</v>
      </c>
      <c r="L219" s="24" t="s">
        <v>244</v>
      </c>
      <c r="M219" s="24" t="s">
        <v>244</v>
      </c>
      <c r="N219" s="24">
        <v>385.0</v>
      </c>
      <c r="O219" s="24">
        <v>100.0</v>
      </c>
      <c r="P219" s="24"/>
      <c r="Q219" s="25" t="s">
        <v>245</v>
      </c>
      <c r="R219" s="24">
        <v>1200.0</v>
      </c>
      <c r="S219" s="24">
        <v>800.0</v>
      </c>
      <c r="T219" s="24">
        <v>860.0</v>
      </c>
      <c r="U219" s="24">
        <v>450.0</v>
      </c>
      <c r="V219" s="24"/>
      <c r="W219" s="24">
        <f t="shared" si="1"/>
        <v>3</v>
      </c>
      <c r="X219" s="24">
        <f>IFERROR(__xludf.DUMMYFUNCTION("IFERROR(VALUE(REGEXEXTRACT(A219,""\b(\d+)/\d+\b"")),"""")"),2.0)</f>
        <v>2</v>
      </c>
      <c r="Y219" s="24">
        <f>IFERROR(__xludf.DUMMYFUNCTION("IFERROR(VALUE(REGEXEXTRACT(A219,""\b\d+/(\d+)\b"")),"""")
"),1.0)</f>
        <v>1</v>
      </c>
      <c r="Z219" s="24">
        <f t="array" ref="Z219">IFERROR(INDEX(CRV!BU:BU, MATCH(B219, CRV!A:A, 0)), "")</f>
        <v>7.5</v>
      </c>
      <c r="AA219" s="24">
        <f t="array" ref="AA219">IFERROR(INDEX(CRV!BV:BV, MATCH(B219, CRV!A:A, 0))*X219+4.5*2+7, "")</f>
        <v>44.8</v>
      </c>
      <c r="AB219" s="24" t="str">
        <f t="array" ref="AB219">IFERROR(IF(VALUE(XLOOKUP($B219,CRV!$A:$A,CRV!$BU:$BU))&lt;=5.5,"прямой пуск (DOL)","звезда-треугольник (SD)"),"")</f>
        <v>звезда-треугольник (SD)</v>
      </c>
      <c r="AC219" s="25" t="str">
        <f t="array" ref="AC219">IFERROR(INDEX(CRV!CA:CA, MATCH(B219, CRV!A:A, 0)), "")</f>
        <v>HQQE</v>
      </c>
      <c r="AD219" s="25">
        <v>497.0</v>
      </c>
      <c r="AE219" s="24">
        <v>7.5211445E7</v>
      </c>
    </row>
    <row r="220" ht="12.0" customHeight="1">
      <c r="A220" s="25" t="s">
        <v>277</v>
      </c>
      <c r="B220" s="24" t="str">
        <f>IFERROR(__xludf.DUMMYFUNCTION("IFERROR(IF(REGEXMATCH(REGEXEXTRACT(A220,""\bCRV\s*\d+(?:-\d+)+(?:-(?:A?BI|AI|BI))?\b""),""-(?:A?BI|AI|BI)$""),REGEXREPLACE(REGEXEXTRACT(A220,""\bCRV\s*\d+(?:-\d+)+(?:-(?:A?BI|AI|BI))?\b""),""-(A?BI|AI|BI)$"",""C$1""),REGEXEXTRACT(A220,""\bCRV\s*\d+(?:-\d+"&amp;")+(?:-(?:A?BI|AI|BI))?\b"")&amp;""C""),"""")"),"CRV 20-7C")</f>
        <v>CRV 20-7C</v>
      </c>
      <c r="C220" s="24">
        <v>1850.0</v>
      </c>
      <c r="D220" s="24">
        <v>1166.0</v>
      </c>
      <c r="E220" s="24">
        <v>190.0</v>
      </c>
      <c r="F220" s="24">
        <v>595.0</v>
      </c>
      <c r="G220" s="24">
        <v>550.0</v>
      </c>
      <c r="H220" s="24">
        <v>1680.0</v>
      </c>
      <c r="I220" s="24">
        <v>1145.0</v>
      </c>
      <c r="J220" s="24">
        <v>2210.0</v>
      </c>
      <c r="K220" s="24">
        <v>427.0</v>
      </c>
      <c r="L220" s="24" t="s">
        <v>244</v>
      </c>
      <c r="M220" s="24" t="s">
        <v>244</v>
      </c>
      <c r="N220" s="24">
        <v>385.0</v>
      </c>
      <c r="O220" s="24">
        <v>100.0</v>
      </c>
      <c r="P220" s="24"/>
      <c r="Q220" s="25" t="s">
        <v>245</v>
      </c>
      <c r="R220" s="24">
        <v>1200.0</v>
      </c>
      <c r="S220" s="24">
        <v>800.0</v>
      </c>
      <c r="T220" s="24">
        <v>860.0</v>
      </c>
      <c r="U220" s="24">
        <v>450.0</v>
      </c>
      <c r="V220" s="24"/>
      <c r="W220" s="24">
        <f t="shared" si="1"/>
        <v>3</v>
      </c>
      <c r="X220" s="24">
        <f>IFERROR(__xludf.DUMMYFUNCTION("IFERROR(VALUE(REGEXEXTRACT(A220,""\b(\d+)/\d+\b"")),"""")"),2.0)</f>
        <v>2</v>
      </c>
      <c r="Y220" s="24">
        <f>IFERROR(__xludf.DUMMYFUNCTION("IFERROR(VALUE(REGEXEXTRACT(A220,""\b\d+/(\d+)\b"")),"""")
"),1.0)</f>
        <v>1</v>
      </c>
      <c r="Z220" s="24">
        <f t="array" ref="Z220">IFERROR(INDEX(CRV!BU:BU, MATCH(B220, CRV!A:A, 0)), "")</f>
        <v>7.5</v>
      </c>
      <c r="AA220" s="24">
        <f t="array" ref="AA220">IFERROR(INDEX(CRV!BV:BV, MATCH(B220, CRV!A:A, 0))*X220+4.5*2+7, "")</f>
        <v>44.8</v>
      </c>
      <c r="AB220" s="24" t="str">
        <f t="array" ref="AB220">IFERROR(IF(VALUE(XLOOKUP($B220,CRV!$A:$A,CRV!$BU:$BU))&lt;=5.5,"прямой пуск (DOL)","звезда-треугольник (SD)"),"")</f>
        <v>звезда-треугольник (SD)</v>
      </c>
      <c r="AC220" s="25" t="str">
        <f t="array" ref="AC220">IFERROR(INDEX(CRV!CA:CA, MATCH(B220, CRV!A:A, 0)), "")</f>
        <v>HQQE</v>
      </c>
      <c r="AD220" s="25">
        <v>503.0</v>
      </c>
      <c r="AE220" s="24">
        <v>7.5211446E7</v>
      </c>
    </row>
    <row r="221" ht="12.0" customHeight="1">
      <c r="A221" s="25" t="s">
        <v>278</v>
      </c>
      <c r="B221" s="24" t="str">
        <f>IFERROR(__xludf.DUMMYFUNCTION("IFERROR(IF(REGEXMATCH(REGEXEXTRACT(A221,""\bCRV\s*\d+(?:-\d+)+(?:-(?:A?BI|AI|BI))?\b""),""-(?:A?BI|AI|BI)$""),REGEXREPLACE(REGEXEXTRACT(A221,""\bCRV\s*\d+(?:-\d+)+(?:-(?:A?BI|AI|BI))?\b""),""-(A?BI|AI|BI)$"",""C$1""),REGEXEXTRACT(A221,""\bCRV\s*\d+(?:-\d+"&amp;")+(?:-(?:A?BI|AI|BI))?\b"")&amp;""C""),"""")"),"CRV 20-8C")</f>
        <v>CRV 20-8C</v>
      </c>
      <c r="C221" s="24">
        <v>1850.0</v>
      </c>
      <c r="D221" s="24">
        <v>1327.0</v>
      </c>
      <c r="E221" s="24">
        <v>190.0</v>
      </c>
      <c r="F221" s="24">
        <v>595.0</v>
      </c>
      <c r="G221" s="24">
        <v>550.0</v>
      </c>
      <c r="H221" s="24">
        <v>1680.0</v>
      </c>
      <c r="I221" s="24">
        <v>1145.0</v>
      </c>
      <c r="J221" s="24">
        <v>2210.0</v>
      </c>
      <c r="K221" s="24">
        <v>427.0</v>
      </c>
      <c r="L221" s="24" t="s">
        <v>244</v>
      </c>
      <c r="M221" s="24" t="s">
        <v>244</v>
      </c>
      <c r="N221" s="24">
        <v>385.0</v>
      </c>
      <c r="O221" s="24">
        <v>100.0</v>
      </c>
      <c r="P221" s="24"/>
      <c r="Q221" s="25" t="s">
        <v>245</v>
      </c>
      <c r="R221" s="24">
        <v>1200.0</v>
      </c>
      <c r="S221" s="24">
        <v>800.0</v>
      </c>
      <c r="T221" s="24">
        <v>860.0</v>
      </c>
      <c r="U221" s="24">
        <v>450.0</v>
      </c>
      <c r="V221" s="24"/>
      <c r="W221" s="24">
        <f t="shared" si="1"/>
        <v>3</v>
      </c>
      <c r="X221" s="24">
        <f>IFERROR(__xludf.DUMMYFUNCTION("IFERROR(VALUE(REGEXEXTRACT(A221,""\b(\d+)/\d+\b"")),"""")"),2.0)</f>
        <v>2</v>
      </c>
      <c r="Y221" s="24">
        <f>IFERROR(__xludf.DUMMYFUNCTION("IFERROR(VALUE(REGEXEXTRACT(A221,""\b\d+/(\d+)\b"")),"""")
"),1.0)</f>
        <v>1</v>
      </c>
      <c r="Z221" s="24">
        <f t="array" ref="Z221">IFERROR(INDEX(CRV!BU:BU, MATCH(B221, CRV!A:A, 0)), "")</f>
        <v>11</v>
      </c>
      <c r="AA221" s="24">
        <f t="array" ref="AA221">IFERROR(INDEX(CRV!BV:BV, MATCH(B221, CRV!A:A, 0))*X221+4.5*2+7, "")</f>
        <v>57.2</v>
      </c>
      <c r="AB221" s="24" t="str">
        <f t="array" ref="AB221">IFERROR(IF(VALUE(XLOOKUP($B221,CRV!$A:$A,CRV!$BU:$BU))&lt;=5.5,"прямой пуск (DOL)","звезда-треугольник (SD)"),"")</f>
        <v>звезда-треугольник (SD)</v>
      </c>
      <c r="AC221" s="25" t="str">
        <f t="array" ref="AC221">IFERROR(INDEX(CRV!CA:CA, MATCH(B221, CRV!A:A, 0)), "")</f>
        <v>HQQE</v>
      </c>
      <c r="AD221" s="25">
        <v>671.0</v>
      </c>
      <c r="AE221" s="24">
        <v>7.5211447E7</v>
      </c>
    </row>
    <row r="222" ht="12.0" customHeight="1">
      <c r="A222" s="25" t="s">
        <v>279</v>
      </c>
      <c r="B222" s="24" t="str">
        <f>IFERROR(__xludf.DUMMYFUNCTION("IFERROR(IF(REGEXMATCH(REGEXEXTRACT(A222,""\bCRV\s*\d+(?:-\d+)+(?:-(?:A?BI|AI|BI))?\b""),""-(?:A?BI|AI|BI)$""),REGEXREPLACE(REGEXEXTRACT(A222,""\bCRV\s*\d+(?:-\d+)+(?:-(?:A?BI|AI|BI))?\b""),""-(A?BI|AI|BI)$"",""C$1""),REGEXEXTRACT(A222,""\bCRV\s*\d+(?:-\d+"&amp;")+(?:-(?:A?BI|AI|BI))?\b"")&amp;""C""),"""")"),"CRV 20-10C")</f>
        <v>CRV 20-10C</v>
      </c>
      <c r="C222" s="24">
        <v>1850.0</v>
      </c>
      <c r="D222" s="24">
        <v>1417.0</v>
      </c>
      <c r="E222" s="24">
        <v>190.0</v>
      </c>
      <c r="F222" s="24">
        <v>595.0</v>
      </c>
      <c r="G222" s="24">
        <v>550.0</v>
      </c>
      <c r="H222" s="24">
        <v>1680.0</v>
      </c>
      <c r="I222" s="24">
        <v>1145.0</v>
      </c>
      <c r="J222" s="24">
        <v>2210.0</v>
      </c>
      <c r="K222" s="24">
        <v>427.0</v>
      </c>
      <c r="L222" s="24" t="s">
        <v>244</v>
      </c>
      <c r="M222" s="24" t="s">
        <v>244</v>
      </c>
      <c r="N222" s="24">
        <v>385.0</v>
      </c>
      <c r="O222" s="24">
        <v>100.0</v>
      </c>
      <c r="P222" s="24"/>
      <c r="Q222" s="25" t="s">
        <v>245</v>
      </c>
      <c r="R222" s="24">
        <v>1200.0</v>
      </c>
      <c r="S222" s="24">
        <v>800.0</v>
      </c>
      <c r="T222" s="24">
        <v>860.0</v>
      </c>
      <c r="U222" s="24">
        <v>450.0</v>
      </c>
      <c r="V222" s="24"/>
      <c r="W222" s="24">
        <f t="shared" si="1"/>
        <v>3</v>
      </c>
      <c r="X222" s="24">
        <f>IFERROR(__xludf.DUMMYFUNCTION("IFERROR(VALUE(REGEXEXTRACT(A222,""\b(\d+)/\d+\b"")),"""")"),2.0)</f>
        <v>2</v>
      </c>
      <c r="Y222" s="24">
        <f>IFERROR(__xludf.DUMMYFUNCTION("IFERROR(VALUE(REGEXEXTRACT(A222,""\b\d+/(\d+)\b"")),"""")
"),1.0)</f>
        <v>1</v>
      </c>
      <c r="Z222" s="24">
        <f t="array" ref="Z222">IFERROR(INDEX(CRV!BU:BU, MATCH(B222, CRV!A:A, 0)), "")</f>
        <v>11</v>
      </c>
      <c r="AA222" s="24">
        <f t="array" ref="AA222">IFERROR(INDEX(CRV!BV:BV, MATCH(B222, CRV!A:A, 0))*X222+4.5*2+7, "")</f>
        <v>57.2</v>
      </c>
      <c r="AB222" s="24" t="str">
        <f t="array" ref="AB222">IFERROR(IF(VALUE(XLOOKUP($B222,CRV!$A:$A,CRV!$BU:$BU))&lt;=5.5,"прямой пуск (DOL)","звезда-треугольник (SD)"),"")</f>
        <v>звезда-треугольник (SD)</v>
      </c>
      <c r="AC222" s="25" t="str">
        <f t="array" ref="AC222">IFERROR(INDEX(CRV!CA:CA, MATCH(B222, CRV!A:A, 0)), "")</f>
        <v>HQQE</v>
      </c>
      <c r="AD222" s="25">
        <v>686.0</v>
      </c>
      <c r="AE222" s="24">
        <v>7.5211448E7</v>
      </c>
    </row>
    <row r="223" ht="12.0" customHeight="1">
      <c r="A223" s="25" t="s">
        <v>280</v>
      </c>
      <c r="B223" s="24" t="str">
        <f>IFERROR(__xludf.DUMMYFUNCTION("IFERROR(IF(REGEXMATCH(REGEXEXTRACT(A223,""\bCRV\s*\d+(?:-\d+)+(?:-(?:A?BI|AI|BI))?\b""),""-(?:A?BI|AI|BI)$""),REGEXREPLACE(REGEXEXTRACT(A223,""\bCRV\s*\d+(?:-\d+)+(?:-(?:A?BI|AI|BI))?\b""),""-(A?BI|AI|BI)$"",""C$1""),REGEXEXTRACT(A223,""\bCRV\s*\d+(?:-\d+"&amp;")+(?:-(?:A?BI|AI|BI))?\b"")&amp;""C""),"""")"),"CRV 20-12C")</f>
        <v>CRV 20-12C</v>
      </c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4"/>
      <c r="W223" s="24">
        <f t="shared" si="1"/>
        <v>3</v>
      </c>
      <c r="X223" s="24">
        <f>IFERROR(__xludf.DUMMYFUNCTION("IFERROR(VALUE(REGEXEXTRACT(A223,""\b(\d+)/\d+\b"")),"""")"),2.0)</f>
        <v>2</v>
      </c>
      <c r="Y223" s="24">
        <f>IFERROR(__xludf.DUMMYFUNCTION("IFERROR(VALUE(REGEXEXTRACT(A223,""\b\d+/(\d+)\b"")),"""")
"),1.0)</f>
        <v>1</v>
      </c>
      <c r="Z223" s="24">
        <f t="array" ref="Z223">IFERROR(INDEX(CRV!BU:BU, MATCH(B223, CRV!A:A, 0)), "")</f>
        <v>15</v>
      </c>
      <c r="AA223" s="24">
        <f t="array" ref="AA223">IFERROR(INDEX(CRV!BV:BV, MATCH(B223, CRV!A:A, 0))*X223+4.5*2+7, "")</f>
        <v>71.8</v>
      </c>
      <c r="AB223" s="24" t="str">
        <f t="array" ref="AB223">IFERROR(IF(VALUE(XLOOKUP($B223,CRV!$A:$A,CRV!$BU:$BU))&lt;=5.5,"прямой пуск (DOL)","звезда-треугольник (SD)"),"")</f>
        <v>звезда-треугольник (SD)</v>
      </c>
      <c r="AC223" s="25" t="str">
        <f t="array" ref="AC223">IFERROR(INDEX(CRV!CA:CA, MATCH(B223, CRV!A:A, 0)), "")</f>
        <v>HQQE</v>
      </c>
      <c r="AD223" s="29"/>
      <c r="AE223" s="29" t="s">
        <v>76</v>
      </c>
    </row>
    <row r="224" ht="12.0" customHeight="1">
      <c r="A224" s="25" t="s">
        <v>281</v>
      </c>
      <c r="B224" s="24" t="str">
        <f>IFERROR(__xludf.DUMMYFUNCTION("IFERROR(IF(REGEXMATCH(REGEXEXTRACT(A224,""\bCRV\s*\d+(?:-\d+)+(?:-(?:A?BI|AI|BI))?\b""),""-(?:A?BI|AI|BI)$""),REGEXREPLACE(REGEXEXTRACT(A224,""\bCRV\s*\d+(?:-\d+)+(?:-(?:A?BI|AI|BI))?\b""),""-(A?BI|AI|BI)$"",""C$1""),REGEXEXTRACT(A224,""\bCRV\s*\d+(?:-\d+"&amp;")+(?:-(?:A?BI|AI|BI))?\b"")&amp;""C""),"""")"),"CRV 20-14C")</f>
        <v>CRV 20-14C</v>
      </c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4"/>
      <c r="W224" s="24">
        <f t="shared" si="1"/>
        <v>3</v>
      </c>
      <c r="X224" s="24">
        <f>IFERROR(__xludf.DUMMYFUNCTION("IFERROR(VALUE(REGEXEXTRACT(A224,""\b(\d+)/\d+\b"")),"""")"),2.0)</f>
        <v>2</v>
      </c>
      <c r="Y224" s="24">
        <f>IFERROR(__xludf.DUMMYFUNCTION("IFERROR(VALUE(REGEXEXTRACT(A224,""\b\d+/(\d+)\b"")),"""")
"),1.0)</f>
        <v>1</v>
      </c>
      <c r="Z224" s="24">
        <f t="array" ref="Z224">IFERROR(INDEX(CRV!BU:BU, MATCH(B224, CRV!A:A, 0)), "")</f>
        <v>15</v>
      </c>
      <c r="AA224" s="24">
        <f t="array" ref="AA224">IFERROR(INDEX(CRV!BV:BV, MATCH(B224, CRV!A:A, 0))*X224+4.5*2+7, "")</f>
        <v>71.8</v>
      </c>
      <c r="AB224" s="24" t="str">
        <f t="array" ref="AB224">IFERROR(IF(VALUE(XLOOKUP($B224,CRV!$A:$A,CRV!$BU:$BU))&lt;=5.5,"прямой пуск (DOL)","звезда-треугольник (SD)"),"")</f>
        <v>звезда-треугольник (SD)</v>
      </c>
      <c r="AC224" s="25" t="str">
        <f t="array" ref="AC224">IFERROR(INDEX(CRV!CA:CA, MATCH(B224, CRV!A:A, 0)), "")</f>
        <v>HQQE</v>
      </c>
      <c r="AD224" s="29"/>
      <c r="AE224" s="29" t="s">
        <v>76</v>
      </c>
    </row>
    <row r="225" ht="12.0" customHeight="1">
      <c r="A225" s="25" t="s">
        <v>282</v>
      </c>
      <c r="B225" s="24" t="str">
        <f>IFERROR(__xludf.DUMMYFUNCTION("IFERROR(IF(REGEXMATCH(REGEXEXTRACT(A225,""\bCRV\s*\d+(?:-\d+)+(?:-(?:A?BI|AI|BI))?\b""),""-(?:A?BI|AI|BI)$""),REGEXREPLACE(REGEXEXTRACT(A225,""\bCRV\s*\d+(?:-\d+)+(?:-(?:A?BI|AI|BI))?\b""),""-(A?BI|AI|BI)$"",""C$1""),REGEXEXTRACT(A225,""\bCRV\s*\d+(?:-\d+"&amp;")+(?:-(?:A?BI|AI|BI))?\b"")&amp;""C""),"""")"),"CRV 20-17C")</f>
        <v>CRV 20-17C</v>
      </c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4"/>
      <c r="W225" s="24">
        <f t="shared" si="1"/>
        <v>3</v>
      </c>
      <c r="X225" s="24">
        <f>IFERROR(__xludf.DUMMYFUNCTION("IFERROR(VALUE(REGEXEXTRACT(A225,""\b(\d+)/\d+\b"")),"""")"),2.0)</f>
        <v>2</v>
      </c>
      <c r="Y225" s="24">
        <f>IFERROR(__xludf.DUMMYFUNCTION("IFERROR(VALUE(REGEXEXTRACT(A225,""\b\d+/(\d+)\b"")),"""")
"),1.0)</f>
        <v>1</v>
      </c>
      <c r="Z225" s="24">
        <f t="array" ref="Z225">IFERROR(INDEX(CRV!BU:BU, MATCH(B225, CRV!A:A, 0)), "")</f>
        <v>18.5</v>
      </c>
      <c r="AA225" s="24">
        <f t="array" ref="AA225">IFERROR(INDEX(CRV!BV:BV, MATCH(B225, CRV!A:A, 0))*X225+4.5*2+7, "")</f>
        <v>84.4</v>
      </c>
      <c r="AB225" s="24" t="str">
        <f t="array" ref="AB225">IFERROR(IF(VALUE(XLOOKUP($B225,CRV!$A:$A,CRV!$BU:$BU))&lt;=5.5,"прямой пуск (DOL)","звезда-треугольник (SD)"),"")</f>
        <v>звезда-треугольник (SD)</v>
      </c>
      <c r="AC225" s="25" t="str">
        <f t="array" ref="AC225">IFERROR(INDEX(CRV!CA:CA, MATCH(B225, CRV!A:A, 0)), "")</f>
        <v>HQQE</v>
      </c>
      <c r="AD225" s="29"/>
      <c r="AE225" s="29" t="s">
        <v>76</v>
      </c>
    </row>
    <row r="226" ht="12.0" customHeight="1">
      <c r="A226" s="28"/>
      <c r="B226" s="24" t="str">
        <f>IFERROR(__xludf.DUMMYFUNCTION("IFERROR(IF(REGEXMATCH(REGEXEXTRACT(A226,""\bCRV\s*\d+(?:-\d+)+(?:-(?:A?BI|AI|BI))?\b""),""-(?:A?BI|AI|BI)$""),REGEXREPLACE(REGEXEXTRACT(A226,""\bCRV\s*\d+(?:-\d+)+(?:-(?:A?BI|AI|BI))?\b""),""-(A?BI|AI|BI)$"",""C$1""),REGEXEXTRACT(A226,""\bCRV\s*\d+(?:-\d+"&amp;")+(?:-(?:A?BI|AI|BI))?\b"")&amp;""C""),"""")"),"")</f>
        <v/>
      </c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4"/>
      <c r="W226" s="24" t="str">
        <f t="shared" si="1"/>
        <v/>
      </c>
      <c r="X226" s="24" t="str">
        <f>IFERROR(__xludf.DUMMYFUNCTION("IFERROR(VALUE(REGEXEXTRACT(A226,""\b(\d+)/\d+\b"")),"""")"),"")</f>
        <v/>
      </c>
      <c r="Y226" s="24" t="str">
        <f>IFERROR(__xludf.DUMMYFUNCTION("IFERROR(VALUE(REGEXEXTRACT(A226,""\b\d+/(\d+)\b"")),"""")
"),"")</f>
        <v/>
      </c>
      <c r="Z226" s="24" t="str">
        <f t="array" ref="Z226">IFERROR(INDEX(CRV!BU:BU, MATCH(B226, CRV!A:A, 0)), "")</f>
        <v/>
      </c>
      <c r="AA226" s="24" t="str">
        <f t="array" ref="AA226">IFERROR(INDEX(CRV!BV:BV, MATCH(B226, CRV!A:A, 0))*X226+4.5*2+7, "")</f>
        <v/>
      </c>
      <c r="AB226" s="24" t="str">
        <f t="array" ref="AB226">IFERROR(IF(VALUE(XLOOKUP($B226,CRV!$A:$A,CRV!$BU:$BU))&lt;=5.5,"прямой пуск (DOL)","звезда-треугольник (SD)"),"")</f>
        <v/>
      </c>
      <c r="AC226" s="25" t="str">
        <f t="array" ref="AC226">IFERROR(INDEX(CRV!CA:CA, MATCH(B226, CRV!A:A, 0)), "")</f>
        <v/>
      </c>
      <c r="AD226" s="29"/>
      <c r="AE226" s="28"/>
    </row>
    <row r="227" ht="12.0" customHeight="1">
      <c r="A227" s="29" t="s">
        <v>283</v>
      </c>
      <c r="B227" s="24" t="str">
        <f>IFERROR(__xludf.DUMMYFUNCTION("IFERROR(IF(REGEXMATCH(REGEXEXTRACT(A227,""\bCRV\s*\d+(?:-\d+)+(?:-(?:A?BI|AI|BI))?\b""),""-(?:A?BI|AI|BI)$""),REGEXREPLACE(REGEXEXTRACT(A227,""\bCRV\s*\d+(?:-\d+)+(?:-(?:A?BI|AI|BI))?\b""),""-(A?BI|AI|BI)$"",""C$1""),REGEXEXTRACT(A227,""\bCRV\s*\d+(?:-\d+"&amp;")+(?:-(?:A?BI|AI|BI))?\b"")&amp;""C""),"""")"),"CRV 32-1-1C")</f>
        <v>CRV 32-1-1C</v>
      </c>
      <c r="C227" s="28">
        <v>1850.0</v>
      </c>
      <c r="D227" s="28">
        <v>807.0</v>
      </c>
      <c r="E227" s="28">
        <v>205.0</v>
      </c>
      <c r="F227" s="28">
        <v>569.0</v>
      </c>
      <c r="G227" s="28">
        <v>606.0</v>
      </c>
      <c r="H227" s="28">
        <v>1709.0</v>
      </c>
      <c r="I227" s="28">
        <v>1175.0</v>
      </c>
      <c r="J227" s="28">
        <v>2510.0</v>
      </c>
      <c r="K227" s="28">
        <v>427.0</v>
      </c>
      <c r="L227" s="28" t="s">
        <v>244</v>
      </c>
      <c r="M227" s="28" t="s">
        <v>244</v>
      </c>
      <c r="N227" s="28">
        <v>385.0</v>
      </c>
      <c r="O227" s="28">
        <v>100.0</v>
      </c>
      <c r="P227" s="28"/>
      <c r="Q227" s="29" t="s">
        <v>245</v>
      </c>
      <c r="R227" s="28">
        <v>1200.0</v>
      </c>
      <c r="S227" s="28">
        <v>800.0</v>
      </c>
      <c r="T227" s="28">
        <v>860.0</v>
      </c>
      <c r="U227" s="28">
        <v>550.0</v>
      </c>
      <c r="V227" s="24"/>
      <c r="W227" s="24">
        <f t="shared" si="1"/>
        <v>3</v>
      </c>
      <c r="X227" s="24">
        <f>IFERROR(__xludf.DUMMYFUNCTION("IFERROR(VALUE(REGEXEXTRACT(A227,""\b(\d+)/\d+\b"")),"""")"),2.0)</f>
        <v>2</v>
      </c>
      <c r="Y227" s="24">
        <f>IFERROR(__xludf.DUMMYFUNCTION("IFERROR(VALUE(REGEXEXTRACT(A227,""\b\d+/(\d+)\b"")),"""")
"),1.0)</f>
        <v>1</v>
      </c>
      <c r="Z227" s="24">
        <f t="array" ref="Z227">IFERROR(INDEX(CRV!BU:BU, MATCH(B227, CRV!A:A, 0)), "")</f>
        <v>1.5</v>
      </c>
      <c r="AA227" s="24">
        <f t="array" ref="AA227">IFERROR(INDEX(CRV!BV:BV, MATCH(B227, CRV!A:A, 0))*X227+4.5*2+7, "")</f>
        <v>27.2</v>
      </c>
      <c r="AB227" s="24" t="str">
        <f t="array" ref="AB227">IFERROR(IF(VALUE(XLOOKUP($B227,CRV!$A:$A,CRV!$BU:$BU))&lt;=5.5,"прямой пуск (DOL)","звезда-треугольник (SD)"),"")</f>
        <v>прямой пуск (DOL)</v>
      </c>
      <c r="AC227" s="25" t="str">
        <f t="array" ref="AC227">IFERROR(INDEX(CRV!CA:CA, MATCH(B227, CRV!A:A, 0)), "")</f>
        <v>HQQE</v>
      </c>
      <c r="AD227" s="29">
        <v>476.0</v>
      </c>
      <c r="AE227" s="28">
        <v>7.5211449E7</v>
      </c>
    </row>
    <row r="228" ht="12.0" customHeight="1">
      <c r="A228" s="29" t="s">
        <v>284</v>
      </c>
      <c r="B228" s="24" t="str">
        <f>IFERROR(__xludf.DUMMYFUNCTION("IFERROR(IF(REGEXMATCH(REGEXEXTRACT(A228,""\bCRV\s*\d+(?:-\d+)+(?:-(?:A?BI|AI|BI))?\b""),""-(?:A?BI|AI|BI)$""),REGEXREPLACE(REGEXEXTRACT(A228,""\bCRV\s*\d+(?:-\d+)+(?:-(?:A?BI|AI|BI))?\b""),""-(A?BI|AI|BI)$"",""C$1""),REGEXEXTRACT(A228,""\bCRV\s*\d+(?:-\d+"&amp;")+(?:-(?:A?BI|AI|BI))?\b"")&amp;""C""),"""")"),"CRV 32-1C")</f>
        <v>CRV 32-1C</v>
      </c>
      <c r="C228" s="28">
        <v>1850.0</v>
      </c>
      <c r="D228" s="28">
        <v>807.0</v>
      </c>
      <c r="E228" s="28">
        <v>205.0</v>
      </c>
      <c r="F228" s="28">
        <v>569.0</v>
      </c>
      <c r="G228" s="28">
        <v>606.0</v>
      </c>
      <c r="H228" s="28">
        <v>1709.0</v>
      </c>
      <c r="I228" s="28">
        <v>1175.0</v>
      </c>
      <c r="J228" s="28">
        <v>2510.0</v>
      </c>
      <c r="K228" s="28">
        <v>427.0</v>
      </c>
      <c r="L228" s="28" t="s">
        <v>244</v>
      </c>
      <c r="M228" s="28" t="s">
        <v>244</v>
      </c>
      <c r="N228" s="28">
        <v>385.0</v>
      </c>
      <c r="O228" s="28">
        <v>100.0</v>
      </c>
      <c r="P228" s="28"/>
      <c r="Q228" s="29" t="s">
        <v>245</v>
      </c>
      <c r="R228" s="28">
        <v>1200.0</v>
      </c>
      <c r="S228" s="28">
        <v>800.0</v>
      </c>
      <c r="T228" s="28">
        <v>860.0</v>
      </c>
      <c r="U228" s="28">
        <v>550.0</v>
      </c>
      <c r="V228" s="24"/>
      <c r="W228" s="24">
        <f t="shared" si="1"/>
        <v>3</v>
      </c>
      <c r="X228" s="24">
        <f>IFERROR(__xludf.DUMMYFUNCTION("IFERROR(VALUE(REGEXEXTRACT(A228,""\b(\d+)/\d+\b"")),"""")"),2.0)</f>
        <v>2</v>
      </c>
      <c r="Y228" s="24">
        <f>IFERROR(__xludf.DUMMYFUNCTION("IFERROR(VALUE(REGEXEXTRACT(A228,""\b\d+/(\d+)\b"")),"""")
"),1.0)</f>
        <v>1</v>
      </c>
      <c r="Z228" s="24">
        <f t="array" ref="Z228">IFERROR(INDEX(CRV!BU:BU, MATCH(B228, CRV!A:A, 0)), "")</f>
        <v>2.2</v>
      </c>
      <c r="AA228" s="24">
        <f t="array" ref="AA228">IFERROR(INDEX(CRV!BV:BV, MATCH(B228, CRV!A:A, 0))*X228+4.5*2+7, "")</f>
        <v>31.8</v>
      </c>
      <c r="AB228" s="24" t="str">
        <f t="array" ref="AB228">IFERROR(IF(VALUE(XLOOKUP($B228,CRV!$A:$A,CRV!$BU:$BU))&lt;=5.5,"прямой пуск (DOL)","звезда-треугольник (SD)"),"")</f>
        <v>прямой пуск (DOL)</v>
      </c>
      <c r="AC228" s="25" t="str">
        <f t="array" ref="AC228">IFERROR(INDEX(CRV!CA:CA, MATCH(B228, CRV!A:A, 0)), "")</f>
        <v>HQQE</v>
      </c>
      <c r="AD228" s="29">
        <v>485.0</v>
      </c>
      <c r="AE228" s="28">
        <v>7.521145E7</v>
      </c>
    </row>
    <row r="229" ht="12.0" customHeight="1">
      <c r="A229" s="29" t="s">
        <v>285</v>
      </c>
      <c r="B229" s="24" t="str">
        <f>IFERROR(__xludf.DUMMYFUNCTION("IFERROR(IF(REGEXMATCH(REGEXEXTRACT(A229,""\bCRV\s*\d+(?:-\d+)+(?:-(?:A?BI|AI|BI))?\b""),""-(?:A?BI|AI|BI)$""),REGEXREPLACE(REGEXEXTRACT(A229,""\bCRV\s*\d+(?:-\d+)+(?:-(?:A?BI|AI|BI))?\b""),""-(A?BI|AI|BI)$"",""C$1""),REGEXEXTRACT(A229,""\bCRV\s*\d+(?:-\d+"&amp;")+(?:-(?:A?BI|AI|BI))?\b"")&amp;""C""),"""")"),"CRV 32-2-2C")</f>
        <v>CRV 32-2-2C</v>
      </c>
      <c r="C229" s="28">
        <v>1850.0</v>
      </c>
      <c r="D229" s="28">
        <v>897.0</v>
      </c>
      <c r="E229" s="28">
        <v>205.0</v>
      </c>
      <c r="F229" s="28">
        <v>569.0</v>
      </c>
      <c r="G229" s="28">
        <v>606.0</v>
      </c>
      <c r="H229" s="28">
        <v>1709.0</v>
      </c>
      <c r="I229" s="28">
        <v>1175.0</v>
      </c>
      <c r="J229" s="28">
        <v>2510.0</v>
      </c>
      <c r="K229" s="28">
        <v>427.0</v>
      </c>
      <c r="L229" s="28" t="s">
        <v>244</v>
      </c>
      <c r="M229" s="28" t="s">
        <v>244</v>
      </c>
      <c r="N229" s="28">
        <v>385.0</v>
      </c>
      <c r="O229" s="28">
        <v>100.0</v>
      </c>
      <c r="P229" s="28"/>
      <c r="Q229" s="29" t="s">
        <v>245</v>
      </c>
      <c r="R229" s="28">
        <v>1200.0</v>
      </c>
      <c r="S229" s="28">
        <v>800.0</v>
      </c>
      <c r="T229" s="28">
        <v>860.0</v>
      </c>
      <c r="U229" s="28">
        <v>550.0</v>
      </c>
      <c r="V229" s="24"/>
      <c r="W229" s="24">
        <f t="shared" si="1"/>
        <v>3</v>
      </c>
      <c r="X229" s="24">
        <f>IFERROR(__xludf.DUMMYFUNCTION("IFERROR(VALUE(REGEXEXTRACT(A229,""\b(\d+)/\d+\b"")),"""")"),2.0)</f>
        <v>2</v>
      </c>
      <c r="Y229" s="24">
        <f>IFERROR(__xludf.DUMMYFUNCTION("IFERROR(VALUE(REGEXEXTRACT(A229,""\b\d+/(\d+)\b"")),"""")
"),1.0)</f>
        <v>1</v>
      </c>
      <c r="Z229" s="24">
        <f t="array" ref="Z229">IFERROR(INDEX(CRV!BU:BU, MATCH(B229, CRV!A:A, 0)), "")</f>
        <v>3</v>
      </c>
      <c r="AA229" s="24">
        <f t="array" ref="AA229">IFERROR(INDEX(CRV!BV:BV, MATCH(B229, CRV!A:A, 0))*X229+4.5*2+7, "")</f>
        <v>36.8</v>
      </c>
      <c r="AB229" s="24" t="str">
        <f t="array" ref="AB229">IFERROR(IF(VALUE(XLOOKUP($B229,CRV!$A:$A,CRV!$BU:$BU))&lt;=5.5,"прямой пуск (DOL)","звезда-треугольник (SD)"),"")</f>
        <v>прямой пуск (DOL)</v>
      </c>
      <c r="AC229" s="25" t="str">
        <f t="array" ref="AC229">IFERROR(INDEX(CRV!CA:CA, MATCH(B229, CRV!A:A, 0)), "")</f>
        <v>HQQE</v>
      </c>
      <c r="AD229" s="29">
        <v>506.0</v>
      </c>
      <c r="AE229" s="28">
        <v>7.5211451E7</v>
      </c>
    </row>
    <row r="230" ht="12.0" customHeight="1">
      <c r="A230" s="29" t="s">
        <v>286</v>
      </c>
      <c r="B230" s="24" t="str">
        <f>IFERROR(__xludf.DUMMYFUNCTION("IFERROR(IF(REGEXMATCH(REGEXEXTRACT(A230,""\bCRV\s*\d+(?:-\d+)+(?:-(?:A?BI|AI|BI))?\b""),""-(?:A?BI|AI|BI)$""),REGEXREPLACE(REGEXEXTRACT(A230,""\bCRV\s*\d+(?:-\d+)+(?:-(?:A?BI|AI|BI))?\b""),""-(A?BI|AI|BI)$"",""C$1""),REGEXEXTRACT(A230,""\bCRV\s*\d+(?:-\d+"&amp;")+(?:-(?:A?BI|AI|BI))?\b"")&amp;""C""),"""")"),"CRV 32-2C")</f>
        <v>CRV 32-2C</v>
      </c>
      <c r="C230" s="28">
        <v>1850.0</v>
      </c>
      <c r="D230" s="28">
        <v>920.0</v>
      </c>
      <c r="E230" s="28">
        <v>205.0</v>
      </c>
      <c r="F230" s="28">
        <v>569.0</v>
      </c>
      <c r="G230" s="28">
        <v>606.0</v>
      </c>
      <c r="H230" s="28">
        <v>1709.0</v>
      </c>
      <c r="I230" s="28">
        <v>1175.0</v>
      </c>
      <c r="J230" s="28">
        <v>2510.0</v>
      </c>
      <c r="K230" s="28">
        <v>427.0</v>
      </c>
      <c r="L230" s="28" t="s">
        <v>244</v>
      </c>
      <c r="M230" s="28" t="s">
        <v>244</v>
      </c>
      <c r="N230" s="28">
        <v>385.0</v>
      </c>
      <c r="O230" s="28">
        <v>100.0</v>
      </c>
      <c r="P230" s="28"/>
      <c r="Q230" s="29" t="s">
        <v>245</v>
      </c>
      <c r="R230" s="28">
        <v>1200.0</v>
      </c>
      <c r="S230" s="28">
        <v>800.0</v>
      </c>
      <c r="T230" s="28">
        <v>860.0</v>
      </c>
      <c r="U230" s="28">
        <v>550.0</v>
      </c>
      <c r="V230" s="24"/>
      <c r="W230" s="24">
        <f t="shared" si="1"/>
        <v>3</v>
      </c>
      <c r="X230" s="24">
        <f>IFERROR(__xludf.DUMMYFUNCTION("IFERROR(VALUE(REGEXEXTRACT(A230,""\b(\d+)/\d+\b"")),"""")"),2.0)</f>
        <v>2</v>
      </c>
      <c r="Y230" s="24">
        <f>IFERROR(__xludf.DUMMYFUNCTION("IFERROR(VALUE(REGEXEXTRACT(A230,""\b\d+/(\d+)\b"")),"""")
"),1.0)</f>
        <v>1</v>
      </c>
      <c r="Z230" s="24">
        <f t="array" ref="Z230">IFERROR(INDEX(CRV!BU:BU, MATCH(B230, CRV!A:A, 0)), "")</f>
        <v>4</v>
      </c>
      <c r="AA230" s="24">
        <f t="array" ref="AA230">IFERROR(INDEX(CRV!BV:BV, MATCH(B230, CRV!A:A, 0))*X230+4.5*2+7, "")</f>
        <v>31.6</v>
      </c>
      <c r="AB230" s="24" t="str">
        <f t="array" ref="AB230">IFERROR(IF(VALUE(XLOOKUP($B230,CRV!$A:$A,CRV!$BU:$BU))&lt;=5.5,"прямой пуск (DOL)","звезда-треугольник (SD)"),"")</f>
        <v>прямой пуск (DOL)</v>
      </c>
      <c r="AC230" s="25" t="str">
        <f t="array" ref="AC230">IFERROR(INDEX(CRV!CA:CA, MATCH(B230, CRV!A:A, 0)), "")</f>
        <v>HQQE</v>
      </c>
      <c r="AD230" s="29">
        <v>521.0</v>
      </c>
      <c r="AE230" s="28">
        <v>7.5211452E7</v>
      </c>
    </row>
    <row r="231" ht="12.0" customHeight="1">
      <c r="A231" s="29" t="s">
        <v>287</v>
      </c>
      <c r="B231" s="24" t="str">
        <f>IFERROR(__xludf.DUMMYFUNCTION("IFERROR(IF(REGEXMATCH(REGEXEXTRACT(A231,""\bCRV\s*\d+(?:-\d+)+(?:-(?:A?BI|AI|BI))?\b""),""-(?:A?BI|AI|BI)$""),REGEXREPLACE(REGEXEXTRACT(A231,""\bCRV\s*\d+(?:-\d+)+(?:-(?:A?BI|AI|BI))?\b""),""-(A?BI|AI|BI)$"",""C$1""),REGEXEXTRACT(A231,""\bCRV\s*\d+(?:-\d+"&amp;")+(?:-(?:A?BI|AI|BI))?\b"")&amp;""C""),"""")"),"CRV 32-3C")</f>
        <v>CRV 32-3C</v>
      </c>
      <c r="C231" s="28">
        <v>1850.0</v>
      </c>
      <c r="D231" s="28">
        <v>1118.0</v>
      </c>
      <c r="E231" s="28">
        <v>205.0</v>
      </c>
      <c r="F231" s="28">
        <v>569.0</v>
      </c>
      <c r="G231" s="28">
        <v>606.0</v>
      </c>
      <c r="H231" s="28">
        <v>1709.0</v>
      </c>
      <c r="I231" s="28">
        <v>1175.0</v>
      </c>
      <c r="J231" s="28">
        <v>2510.0</v>
      </c>
      <c r="K231" s="28">
        <v>427.0</v>
      </c>
      <c r="L231" s="28" t="s">
        <v>244</v>
      </c>
      <c r="M231" s="28" t="s">
        <v>244</v>
      </c>
      <c r="N231" s="28">
        <v>385.0</v>
      </c>
      <c r="O231" s="28">
        <v>100.0</v>
      </c>
      <c r="P231" s="28"/>
      <c r="Q231" s="29" t="s">
        <v>245</v>
      </c>
      <c r="R231" s="28">
        <v>1200.0</v>
      </c>
      <c r="S231" s="28">
        <v>800.0</v>
      </c>
      <c r="T231" s="28">
        <v>860.0</v>
      </c>
      <c r="U231" s="28">
        <v>550.0</v>
      </c>
      <c r="V231" s="24"/>
      <c r="W231" s="24">
        <f t="shared" si="1"/>
        <v>3</v>
      </c>
      <c r="X231" s="24">
        <f>IFERROR(__xludf.DUMMYFUNCTION("IFERROR(VALUE(REGEXEXTRACT(A231,""\b(\d+)/\d+\b"")),"""")"),2.0)</f>
        <v>2</v>
      </c>
      <c r="Y231" s="24">
        <f>IFERROR(__xludf.DUMMYFUNCTION("IFERROR(VALUE(REGEXEXTRACT(A231,""\b\d+/(\d+)\b"")),"""")
"),1.0)</f>
        <v>1</v>
      </c>
      <c r="Z231" s="24">
        <f t="array" ref="Z231">IFERROR(INDEX(CRV!BU:BU, MATCH(B231, CRV!A:A, 0)), "")</f>
        <v>5.5</v>
      </c>
      <c r="AA231" s="24">
        <f t="array" ref="AA231">IFERROR(INDEX(CRV!BV:BV, MATCH(B231, CRV!A:A, 0))*X231+4.5*2+7, "")</f>
        <v>37.2</v>
      </c>
      <c r="AB231" s="24" t="str">
        <f t="array" ref="AB231">IFERROR(IF(VALUE(XLOOKUP($B231,CRV!$A:$A,CRV!$BU:$BU))&lt;=5.5,"прямой пуск (DOL)","звезда-треугольник (SD)"),"")</f>
        <v>прямой пуск (DOL)</v>
      </c>
      <c r="AC231" s="25" t="str">
        <f t="array" ref="AC231">IFERROR(INDEX(CRV!CA:CA, MATCH(B231, CRV!A:A, 0)), "")</f>
        <v>HQQE</v>
      </c>
      <c r="AD231" s="29">
        <v>551.0</v>
      </c>
      <c r="AE231" s="28">
        <v>7.5211453E7</v>
      </c>
    </row>
    <row r="232" ht="12.0" customHeight="1">
      <c r="A232" s="29" t="s">
        <v>288</v>
      </c>
      <c r="B232" s="24" t="str">
        <f>IFERROR(__xludf.DUMMYFUNCTION("IFERROR(IF(REGEXMATCH(REGEXEXTRACT(A232,""\bCRV\s*\d+(?:-\d+)+(?:-(?:A?BI|AI|BI))?\b""),""-(?:A?BI|AI|BI)$""),REGEXREPLACE(REGEXEXTRACT(A232,""\bCRV\s*\d+(?:-\d+)+(?:-(?:A?BI|AI|BI))?\b""),""-(A?BI|AI|BI)$"",""C$1""),REGEXEXTRACT(A232,""\bCRV\s*\d+(?:-\d+"&amp;")+(?:-(?:A?BI|AI|BI))?\b"")&amp;""C""),"""")"),"CRV 32-4C")</f>
        <v>CRV 32-4C</v>
      </c>
      <c r="C232" s="28">
        <v>1850.0</v>
      </c>
      <c r="D232" s="28">
        <v>1226.0</v>
      </c>
      <c r="E232" s="28">
        <v>205.0</v>
      </c>
      <c r="F232" s="28">
        <v>569.0</v>
      </c>
      <c r="G232" s="28">
        <v>606.0</v>
      </c>
      <c r="H232" s="28">
        <v>1709.0</v>
      </c>
      <c r="I232" s="28">
        <v>1175.0</v>
      </c>
      <c r="J232" s="28">
        <v>2510.0</v>
      </c>
      <c r="K232" s="28">
        <v>427.0</v>
      </c>
      <c r="L232" s="28" t="s">
        <v>244</v>
      </c>
      <c r="M232" s="28" t="s">
        <v>244</v>
      </c>
      <c r="N232" s="28">
        <v>385.0</v>
      </c>
      <c r="O232" s="28">
        <v>100.0</v>
      </c>
      <c r="P232" s="28"/>
      <c r="Q232" s="29" t="s">
        <v>245</v>
      </c>
      <c r="R232" s="28">
        <v>1200.0</v>
      </c>
      <c r="S232" s="28">
        <v>800.0</v>
      </c>
      <c r="T232" s="28">
        <v>860.0</v>
      </c>
      <c r="U232" s="28">
        <v>550.0</v>
      </c>
      <c r="V232" s="24"/>
      <c r="W232" s="24">
        <f t="shared" si="1"/>
        <v>3</v>
      </c>
      <c r="X232" s="24">
        <f>IFERROR(__xludf.DUMMYFUNCTION("IFERROR(VALUE(REGEXEXTRACT(A232,""\b(\d+)/\d+\b"")),"""")"),2.0)</f>
        <v>2</v>
      </c>
      <c r="Y232" s="24">
        <f>IFERROR(__xludf.DUMMYFUNCTION("IFERROR(VALUE(REGEXEXTRACT(A232,""\b\d+/(\d+)\b"")),"""")
"),1.0)</f>
        <v>1</v>
      </c>
      <c r="Z232" s="24">
        <f t="array" ref="Z232">IFERROR(INDEX(CRV!BU:BU, MATCH(B232, CRV!A:A, 0)), "")</f>
        <v>7.5</v>
      </c>
      <c r="AA232" s="24">
        <f t="array" ref="AA232">IFERROR(INDEX(CRV!BV:BV, MATCH(B232, CRV!A:A, 0))*X232+4.5*2+7, "")</f>
        <v>44.8</v>
      </c>
      <c r="AB232" s="24" t="str">
        <f t="array" ref="AB232">IFERROR(IF(VALUE(XLOOKUP($B232,CRV!$A:$A,CRV!$BU:$BU))&lt;=5.5,"прямой пуск (DOL)","звезда-треугольник (SD)"),"")</f>
        <v>звезда-треугольник (SD)</v>
      </c>
      <c r="AC232" s="25" t="str">
        <f t="array" ref="AC232">IFERROR(INDEX(CRV!CA:CA, MATCH(B232, CRV!A:A, 0)), "")</f>
        <v>HQQE</v>
      </c>
      <c r="AD232" s="29">
        <v>578.0</v>
      </c>
      <c r="AE232" s="28">
        <v>7.5211454E7</v>
      </c>
    </row>
    <row r="233" ht="12.0" customHeight="1">
      <c r="A233" s="29" t="s">
        <v>289</v>
      </c>
      <c r="B233" s="24" t="str">
        <f>IFERROR(__xludf.DUMMYFUNCTION("IFERROR(IF(REGEXMATCH(REGEXEXTRACT(A233,""\bCRV\s*\d+(?:-\d+)+(?:-(?:A?BI|AI|BI))?\b""),""-(?:A?BI|AI|BI)$""),REGEXREPLACE(REGEXEXTRACT(A233,""\bCRV\s*\d+(?:-\d+)+(?:-(?:A?BI|AI|BI))?\b""),""-(A?BI|AI|BI)$"",""C$1""),REGEXEXTRACT(A233,""\bCRV\s*\d+(?:-\d+"&amp;")+(?:-(?:A?BI|AI|BI))?\b"")&amp;""C""),"""")"),"CRV 32-5C")</f>
        <v>CRV 32-5C</v>
      </c>
      <c r="C233" s="28">
        <v>1850.0</v>
      </c>
      <c r="D233" s="28">
        <v>1420.0</v>
      </c>
      <c r="E233" s="28">
        <v>205.0</v>
      </c>
      <c r="F233" s="28">
        <v>569.0</v>
      </c>
      <c r="G233" s="28">
        <v>606.0</v>
      </c>
      <c r="H233" s="28">
        <v>1709.0</v>
      </c>
      <c r="I233" s="28">
        <v>1175.0</v>
      </c>
      <c r="J233" s="28">
        <v>2510.0</v>
      </c>
      <c r="K233" s="28">
        <v>427.0</v>
      </c>
      <c r="L233" s="28" t="s">
        <v>244</v>
      </c>
      <c r="M233" s="28" t="s">
        <v>244</v>
      </c>
      <c r="N233" s="28">
        <v>385.0</v>
      </c>
      <c r="O233" s="28">
        <v>100.0</v>
      </c>
      <c r="P233" s="28"/>
      <c r="Q233" s="29" t="s">
        <v>245</v>
      </c>
      <c r="R233" s="28">
        <v>1200.0</v>
      </c>
      <c r="S233" s="28">
        <v>800.0</v>
      </c>
      <c r="T233" s="28">
        <v>860.0</v>
      </c>
      <c r="U233" s="28">
        <v>550.0</v>
      </c>
      <c r="V233" s="24"/>
      <c r="W233" s="24">
        <f t="shared" si="1"/>
        <v>3</v>
      </c>
      <c r="X233" s="24">
        <f>IFERROR(__xludf.DUMMYFUNCTION("IFERROR(VALUE(REGEXEXTRACT(A233,""\b(\d+)/\d+\b"")),"""")"),2.0)</f>
        <v>2</v>
      </c>
      <c r="Y233" s="24">
        <f>IFERROR(__xludf.DUMMYFUNCTION("IFERROR(VALUE(REGEXEXTRACT(A233,""\b\d+/(\d+)\b"")),"""")
"),1.0)</f>
        <v>1</v>
      </c>
      <c r="Z233" s="24">
        <f t="array" ref="Z233">IFERROR(INDEX(CRV!BU:BU, MATCH(B233, CRV!A:A, 0)), "")</f>
        <v>11</v>
      </c>
      <c r="AA233" s="24">
        <f t="array" ref="AA233">IFERROR(INDEX(CRV!BV:BV, MATCH(B233, CRV!A:A, 0))*X233+4.5*2+7, "")</f>
        <v>57.2</v>
      </c>
      <c r="AB233" s="24" t="str">
        <f t="array" ref="AB233">IFERROR(IF(VALUE(XLOOKUP($B233,CRV!$A:$A,CRV!$BU:$BU))&lt;=5.5,"прямой пуск (DOL)","звезда-треугольник (SD)"),"")</f>
        <v>звезда-треугольник (SD)</v>
      </c>
      <c r="AC233" s="25" t="str">
        <f t="array" ref="AC233">IFERROR(INDEX(CRV!CA:CA, MATCH(B233, CRV!A:A, 0)), "")</f>
        <v>HQQE</v>
      </c>
      <c r="AD233" s="29">
        <v>800.0</v>
      </c>
      <c r="AE233" s="28">
        <v>7.5211455E7</v>
      </c>
    </row>
    <row r="234" ht="12.0" customHeight="1">
      <c r="A234" s="29" t="s">
        <v>290</v>
      </c>
      <c r="B234" s="24" t="str">
        <f>IFERROR(__xludf.DUMMYFUNCTION("IFERROR(IF(REGEXMATCH(REGEXEXTRACT(A234,""\bCRV\s*\d+(?:-\d+)+(?:-(?:A?BI|AI|BI))?\b""),""-(?:A?BI|AI|BI)$""),REGEXREPLACE(REGEXEXTRACT(A234,""\bCRV\s*\d+(?:-\d+)+(?:-(?:A?BI|AI|BI))?\b""),""-(A?BI|AI|BI)$"",""C$1""),REGEXEXTRACT(A234,""\bCRV\s*\d+(?:-\d+"&amp;")+(?:-(?:A?BI|AI|BI))?\b"")&amp;""C""),"""")"),"CRV 32-6C")</f>
        <v>CRV 32-6C</v>
      </c>
      <c r="C234" s="28">
        <v>1850.0</v>
      </c>
      <c r="D234" s="28">
        <v>1490.0</v>
      </c>
      <c r="E234" s="28">
        <v>205.0</v>
      </c>
      <c r="F234" s="28">
        <v>569.0</v>
      </c>
      <c r="G234" s="28">
        <v>606.0</v>
      </c>
      <c r="H234" s="28">
        <v>1709.0</v>
      </c>
      <c r="I234" s="28">
        <v>1175.0</v>
      </c>
      <c r="J234" s="28">
        <v>2510.0</v>
      </c>
      <c r="K234" s="28">
        <v>427.0</v>
      </c>
      <c r="L234" s="28" t="s">
        <v>244</v>
      </c>
      <c r="M234" s="28" t="s">
        <v>244</v>
      </c>
      <c r="N234" s="28">
        <v>385.0</v>
      </c>
      <c r="O234" s="28">
        <v>100.0</v>
      </c>
      <c r="P234" s="28"/>
      <c r="Q234" s="29" t="s">
        <v>245</v>
      </c>
      <c r="R234" s="28">
        <v>1200.0</v>
      </c>
      <c r="S234" s="28">
        <v>800.0</v>
      </c>
      <c r="T234" s="28">
        <v>860.0</v>
      </c>
      <c r="U234" s="28">
        <v>550.0</v>
      </c>
      <c r="V234" s="24"/>
      <c r="W234" s="24">
        <f t="shared" si="1"/>
        <v>3</v>
      </c>
      <c r="X234" s="24">
        <f>IFERROR(__xludf.DUMMYFUNCTION("IFERROR(VALUE(REGEXEXTRACT(A234,""\b(\d+)/\d+\b"")),"""")"),2.0)</f>
        <v>2</v>
      </c>
      <c r="Y234" s="24">
        <f>IFERROR(__xludf.DUMMYFUNCTION("IFERROR(VALUE(REGEXEXTRACT(A234,""\b\d+/(\d+)\b"")),"""")
"),1.0)</f>
        <v>1</v>
      </c>
      <c r="Z234" s="24">
        <f t="array" ref="Z234">IFERROR(INDEX(CRV!BU:BU, MATCH(B234, CRV!A:A, 0)), "")</f>
        <v>11</v>
      </c>
      <c r="AA234" s="24">
        <f t="array" ref="AA234">IFERROR(INDEX(CRV!BV:BV, MATCH(B234, CRV!A:A, 0))*X234+4.5*2+7, "")</f>
        <v>57.2</v>
      </c>
      <c r="AB234" s="24" t="str">
        <f t="array" ref="AB234">IFERROR(IF(VALUE(XLOOKUP($B234,CRV!$A:$A,CRV!$BU:$BU))&lt;=5.5,"прямой пуск (DOL)","звезда-треугольник (SD)"),"")</f>
        <v>звезда-треугольник (SD)</v>
      </c>
      <c r="AC234" s="25" t="str">
        <f t="array" ref="AC234">IFERROR(INDEX(CRV!CA:CA, MATCH(B234, CRV!A:A, 0)), "")</f>
        <v>HQQE</v>
      </c>
      <c r="AD234" s="29">
        <v>806.0</v>
      </c>
      <c r="AE234" s="28">
        <v>7.5211456E7</v>
      </c>
    </row>
    <row r="235" ht="12.0" customHeight="1">
      <c r="A235" s="29" t="s">
        <v>291</v>
      </c>
      <c r="B235" s="24" t="str">
        <f>IFERROR(__xludf.DUMMYFUNCTION("IFERROR(IF(REGEXMATCH(REGEXEXTRACT(A235,""\bCRV\s*\d+(?:-\d+)+(?:-(?:A?BI|AI|BI))?\b""),""-(?:A?BI|AI|BI)$""),REGEXREPLACE(REGEXEXTRACT(A235,""\bCRV\s*\d+(?:-\d+)+(?:-(?:A?BI|AI|BI))?\b""),""-(A?BI|AI|BI)$"",""C$1""),REGEXEXTRACT(A235,""\bCRV\s*\d+(?:-\d+"&amp;")+(?:-(?:A?BI|AI|BI))?\b"")&amp;""C""),"""")"),"CRV 32-7C")</f>
        <v>CRV 32-7C</v>
      </c>
      <c r="C235" s="28">
        <v>1850.0</v>
      </c>
      <c r="D235" s="28">
        <v>1601.0</v>
      </c>
      <c r="E235" s="28">
        <v>205.0</v>
      </c>
      <c r="F235" s="28">
        <v>569.0</v>
      </c>
      <c r="G235" s="28">
        <v>606.0</v>
      </c>
      <c r="H235" s="28">
        <v>1709.0</v>
      </c>
      <c r="I235" s="28">
        <v>1175.0</v>
      </c>
      <c r="J235" s="28">
        <v>2510.0</v>
      </c>
      <c r="K235" s="28">
        <v>427.0</v>
      </c>
      <c r="L235" s="28" t="s">
        <v>244</v>
      </c>
      <c r="M235" s="28" t="s">
        <v>244</v>
      </c>
      <c r="N235" s="28">
        <v>385.0</v>
      </c>
      <c r="O235" s="28">
        <v>100.0</v>
      </c>
      <c r="P235" s="28"/>
      <c r="Q235" s="29" t="s">
        <v>245</v>
      </c>
      <c r="R235" s="28">
        <v>1200.0</v>
      </c>
      <c r="S235" s="28">
        <v>800.0</v>
      </c>
      <c r="T235" s="28">
        <v>860.0</v>
      </c>
      <c r="U235" s="28">
        <v>550.0</v>
      </c>
      <c r="V235" s="24"/>
      <c r="W235" s="24">
        <f t="shared" si="1"/>
        <v>3</v>
      </c>
      <c r="X235" s="24">
        <f>IFERROR(__xludf.DUMMYFUNCTION("IFERROR(VALUE(REGEXEXTRACT(A235,""\b(\d+)/\d+\b"")),"""")"),2.0)</f>
        <v>2</v>
      </c>
      <c r="Y235" s="24">
        <f>IFERROR(__xludf.DUMMYFUNCTION("IFERROR(VALUE(REGEXEXTRACT(A235,""\b\d+/(\d+)\b"")),"""")
"),1.0)</f>
        <v>1</v>
      </c>
      <c r="Z235" s="24">
        <f t="array" ref="Z235">IFERROR(INDEX(CRV!BU:BU, MATCH(B235, CRV!A:A, 0)), "")</f>
        <v>15</v>
      </c>
      <c r="AA235" s="24">
        <f t="array" ref="AA235">IFERROR(INDEX(CRV!BV:BV, MATCH(B235, CRV!A:A, 0))*X235+4.5*2+7, "")</f>
        <v>71.8</v>
      </c>
      <c r="AB235" s="24" t="str">
        <f t="array" ref="AB235">IFERROR(IF(VALUE(XLOOKUP($B235,CRV!$A:$A,CRV!$BU:$BU))&lt;=5.5,"прямой пуск (DOL)","звезда-треугольник (SD)"),"")</f>
        <v>звезда-треугольник (SD)</v>
      </c>
      <c r="AC235" s="25" t="str">
        <f t="array" ref="AC235">IFERROR(INDEX(CRV!CA:CA, MATCH(B235, CRV!A:A, 0)), "")</f>
        <v>HQQE</v>
      </c>
      <c r="AD235" s="29">
        <v>836.0</v>
      </c>
      <c r="AE235" s="28">
        <v>7.5211457E7</v>
      </c>
    </row>
    <row r="236" ht="12.0" customHeight="1">
      <c r="A236" s="30" t="s">
        <v>292</v>
      </c>
      <c r="B236" s="24" t="str">
        <f>IFERROR(__xludf.DUMMYFUNCTION("IFERROR(IF(REGEXMATCH(REGEXEXTRACT(A236,""\bCRV\s*\d+(?:-\d+)+(?:-(?:A?BI|AI|BI))?\b""),""-(?:A?BI|AI|BI)$""),REGEXREPLACE(REGEXEXTRACT(A236,""\bCRV\s*\d+(?:-\d+)+(?:-(?:A?BI|AI|BI))?\b""),""-(A?BI|AI|BI)$"",""C$1""),REGEXEXTRACT(A236,""\bCRV\s*\d+(?:-\d+"&amp;")+(?:-(?:A?BI|AI|BI))?\b"")&amp;""C""),"""")"),"CRV 32-8-2C")</f>
        <v>CRV 32-8-2C</v>
      </c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4"/>
      <c r="W236" s="24">
        <f t="shared" si="1"/>
        <v>3</v>
      </c>
      <c r="X236" s="24">
        <f>IFERROR(__xludf.DUMMYFUNCTION("IFERROR(VALUE(REGEXEXTRACT(A236,""\b(\d+)/\d+\b"")),"""")"),2.0)</f>
        <v>2</v>
      </c>
      <c r="Y236" s="24">
        <f>IFERROR(__xludf.DUMMYFUNCTION("IFERROR(VALUE(REGEXEXTRACT(A236,""\b\d+/(\d+)\b"")),"""")
"),1.0)</f>
        <v>1</v>
      </c>
      <c r="Z236" s="24">
        <f t="array" ref="Z236">IFERROR(INDEX(CRV!BU:BU, MATCH(B236, CRV!A:A, 0)), "")</f>
        <v>15</v>
      </c>
      <c r="AA236" s="24">
        <f t="array" ref="AA236">IFERROR(INDEX(CRV!BV:BV, MATCH(B236, CRV!A:A, 0))*X236+4.5*2+7, "")</f>
        <v>71.8</v>
      </c>
      <c r="AB236" s="24" t="str">
        <f t="array" ref="AB236">IFERROR(IF(VALUE(XLOOKUP($B236,CRV!$A:$A,CRV!$BU:$BU))&lt;=5.5,"прямой пуск (DOL)","звезда-треугольник (SD)"),"")</f>
        <v>звезда-треугольник (SD)</v>
      </c>
      <c r="AC236" s="25" t="str">
        <f t="array" ref="AC236">IFERROR(INDEX(CRV!CA:CA, MATCH(B236, CRV!A:A, 0)), "")</f>
        <v>HQQE</v>
      </c>
      <c r="AD236" s="29"/>
      <c r="AE236" s="29" t="s">
        <v>76</v>
      </c>
    </row>
    <row r="237" ht="12.0" customHeight="1">
      <c r="A237" s="30" t="s">
        <v>293</v>
      </c>
      <c r="B237" s="24" t="str">
        <f>IFERROR(__xludf.DUMMYFUNCTION("IFERROR(IF(REGEXMATCH(REGEXEXTRACT(A237,""\bCRV\s*\d+(?:-\d+)+(?:-(?:A?BI|AI|BI))?\b""),""-(?:A?BI|AI|BI)$""),REGEXREPLACE(REGEXEXTRACT(A237,""\bCRV\s*\d+(?:-\d+)+(?:-(?:A?BI|AI|BI))?\b""),""-(A?BI|AI|BI)$"",""C$1""),REGEXEXTRACT(A237,""\bCRV\s*\d+(?:-\d+"&amp;")+(?:-(?:A?BI|AI|BI))?\b"")&amp;""C""),"""")"),"CRV 32-8C")</f>
        <v>CRV 32-8C</v>
      </c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4"/>
      <c r="W237" s="24">
        <f t="shared" si="1"/>
        <v>3</v>
      </c>
      <c r="X237" s="24">
        <f>IFERROR(__xludf.DUMMYFUNCTION("IFERROR(VALUE(REGEXEXTRACT(A237,""\b(\d+)/\d+\b"")),"""")"),2.0)</f>
        <v>2</v>
      </c>
      <c r="Y237" s="24">
        <f>IFERROR(__xludf.DUMMYFUNCTION("IFERROR(VALUE(REGEXEXTRACT(A237,""\b\d+/(\d+)\b"")),"""")
"),1.0)</f>
        <v>1</v>
      </c>
      <c r="Z237" s="24">
        <f t="array" ref="Z237">IFERROR(INDEX(CRV!BU:BU, MATCH(B237, CRV!A:A, 0)), "")</f>
        <v>15</v>
      </c>
      <c r="AA237" s="24">
        <f t="array" ref="AA237">IFERROR(INDEX(CRV!BV:BV, MATCH(B237, CRV!A:A, 0))*X237+4.5*2+7, "")</f>
        <v>71.8</v>
      </c>
      <c r="AB237" s="24" t="str">
        <f t="array" ref="AB237">IFERROR(IF(VALUE(XLOOKUP($B237,CRV!$A:$A,CRV!$BU:$BU))&lt;=5.5,"прямой пуск (DOL)","звезда-треугольник (SD)"),"")</f>
        <v>звезда-треугольник (SD)</v>
      </c>
      <c r="AC237" s="25" t="str">
        <f t="array" ref="AC237">IFERROR(INDEX(CRV!CA:CA, MATCH(B237, CRV!A:A, 0)), "")</f>
        <v>HQQE</v>
      </c>
      <c r="AD237" s="29"/>
      <c r="AE237" s="29" t="s">
        <v>76</v>
      </c>
    </row>
    <row r="238" ht="12.0" customHeight="1">
      <c r="A238" s="30" t="s">
        <v>294</v>
      </c>
      <c r="B238" s="24" t="str">
        <f>IFERROR(__xludf.DUMMYFUNCTION("IFERROR(IF(REGEXMATCH(REGEXEXTRACT(A238,""\bCRV\s*\d+(?:-\d+)+(?:-(?:A?BI|AI|BI))?\b""),""-(?:A?BI|AI|BI)$""),REGEXREPLACE(REGEXEXTRACT(A238,""\bCRV\s*\d+(?:-\d+)+(?:-(?:A?BI|AI|BI))?\b""),""-(A?BI|AI|BI)$"",""C$1""),REGEXEXTRACT(A238,""\bCRV\s*\d+(?:-\d+"&amp;")+(?:-(?:A?BI|AI|BI))?\b"")&amp;""C""),"""")"),"CRV 32-9-2C")</f>
        <v>CRV 32-9-2C</v>
      </c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4"/>
      <c r="W238" s="24">
        <f t="shared" si="1"/>
        <v>3</v>
      </c>
      <c r="X238" s="24">
        <f>IFERROR(__xludf.DUMMYFUNCTION("IFERROR(VALUE(REGEXEXTRACT(A238,""\b(\d+)/\d+\b"")),"""")"),2.0)</f>
        <v>2</v>
      </c>
      <c r="Y238" s="24">
        <f>IFERROR(__xludf.DUMMYFUNCTION("IFERROR(VALUE(REGEXEXTRACT(A238,""\b\d+/(\d+)\b"")),"""")
"),1.0)</f>
        <v>1</v>
      </c>
      <c r="Z238" s="24">
        <f t="array" ref="Z238">IFERROR(INDEX(CRV!BU:BU, MATCH(B238, CRV!A:A, 0)), "")</f>
        <v>18.5</v>
      </c>
      <c r="AA238" s="24">
        <f t="array" ref="AA238">IFERROR(INDEX(CRV!BV:BV, MATCH(B238, CRV!A:A, 0))*X238+4.5*2+7, "")</f>
        <v>84.4</v>
      </c>
      <c r="AB238" s="24" t="str">
        <f t="array" ref="AB238">IFERROR(IF(VALUE(XLOOKUP($B238,CRV!$A:$A,CRV!$BU:$BU))&lt;=5.5,"прямой пуск (DOL)","звезда-треугольник (SD)"),"")</f>
        <v>звезда-треугольник (SD)</v>
      </c>
      <c r="AC238" s="25" t="str">
        <f t="array" ref="AC238">IFERROR(INDEX(CRV!CA:CA, MATCH(B238, CRV!A:A, 0)), "")</f>
        <v>HQQE</v>
      </c>
      <c r="AD238" s="29"/>
      <c r="AE238" s="29" t="s">
        <v>76</v>
      </c>
    </row>
    <row r="239" ht="12.0" customHeight="1">
      <c r="A239" s="30" t="s">
        <v>295</v>
      </c>
      <c r="B239" s="24" t="str">
        <f>IFERROR(__xludf.DUMMYFUNCTION("IFERROR(IF(REGEXMATCH(REGEXEXTRACT(A239,""\bCRV\s*\d+(?:-\d+)+(?:-(?:A?BI|AI|BI))?\b""),""-(?:A?BI|AI|BI)$""),REGEXREPLACE(REGEXEXTRACT(A239,""\bCRV\s*\d+(?:-\d+)+(?:-(?:A?BI|AI|BI))?\b""),""-(A?BI|AI|BI)$"",""C$1""),REGEXEXTRACT(A239,""\bCRV\s*\d+(?:-\d+"&amp;")+(?:-(?:A?BI|AI|BI))?\b"")&amp;""C""),"""")"),"CRV 32-9C")</f>
        <v>CRV 32-9C</v>
      </c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4"/>
      <c r="W239" s="24">
        <f t="shared" si="1"/>
        <v>3</v>
      </c>
      <c r="X239" s="24">
        <f>IFERROR(__xludf.DUMMYFUNCTION("IFERROR(VALUE(REGEXEXTRACT(A239,""\b(\d+)/\d+\b"")),"""")"),2.0)</f>
        <v>2</v>
      </c>
      <c r="Y239" s="24">
        <f>IFERROR(__xludf.DUMMYFUNCTION("IFERROR(VALUE(REGEXEXTRACT(A239,""\b\d+/(\d+)\b"")),"""")
"),1.0)</f>
        <v>1</v>
      </c>
      <c r="Z239" s="24">
        <f t="array" ref="Z239">IFERROR(INDEX(CRV!BU:BU, MATCH(B239, CRV!A:A, 0)), "")</f>
        <v>18.5</v>
      </c>
      <c r="AA239" s="24">
        <f t="array" ref="AA239">IFERROR(INDEX(CRV!BV:BV, MATCH(B239, CRV!A:A, 0))*X239+4.5*2+7, "")</f>
        <v>84.4</v>
      </c>
      <c r="AB239" s="24" t="str">
        <f t="array" ref="AB239">IFERROR(IF(VALUE(XLOOKUP($B239,CRV!$A:$A,CRV!$BU:$BU))&lt;=5.5,"прямой пуск (DOL)","звезда-треугольник (SD)"),"")</f>
        <v>звезда-треугольник (SD)</v>
      </c>
      <c r="AC239" s="25" t="str">
        <f t="array" ref="AC239">IFERROR(INDEX(CRV!CA:CA, MATCH(B239, CRV!A:A, 0)), "")</f>
        <v>HQQE</v>
      </c>
      <c r="AD239" s="29"/>
      <c r="AE239" s="29" t="s">
        <v>76</v>
      </c>
    </row>
    <row r="240" ht="12.0" customHeight="1">
      <c r="A240" s="30" t="s">
        <v>296</v>
      </c>
      <c r="B240" s="24" t="str">
        <f>IFERROR(__xludf.DUMMYFUNCTION("IFERROR(IF(REGEXMATCH(REGEXEXTRACT(A240,""\bCRV\s*\d+(?:-\d+)+(?:-(?:A?BI|AI|BI))?\b""),""-(?:A?BI|AI|BI)$""),REGEXREPLACE(REGEXEXTRACT(A240,""\bCRV\s*\d+(?:-\d+)+(?:-(?:A?BI|AI|BI))?\b""),""-(A?BI|AI|BI)$"",""C$1""),REGEXEXTRACT(A240,""\bCRV\s*\d+(?:-\d+"&amp;")+(?:-(?:A?BI|AI|BI))?\b"")&amp;""C""),"""")"),"CRV 32-10-2C")</f>
        <v>CRV 32-10-2C</v>
      </c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4"/>
      <c r="W240" s="24">
        <f t="shared" si="1"/>
        <v>3</v>
      </c>
      <c r="X240" s="24">
        <f>IFERROR(__xludf.DUMMYFUNCTION("IFERROR(VALUE(REGEXEXTRACT(A240,""\b(\d+)/\d+\b"")),"""")"),2.0)</f>
        <v>2</v>
      </c>
      <c r="Y240" s="24">
        <f>IFERROR(__xludf.DUMMYFUNCTION("IFERROR(VALUE(REGEXEXTRACT(A240,""\b\d+/(\d+)\b"")),"""")
"),1.0)</f>
        <v>1</v>
      </c>
      <c r="Z240" s="24">
        <f t="array" ref="Z240">IFERROR(INDEX(CRV!BU:BU, MATCH(B240, CRV!A:A, 0)), "")</f>
        <v>18.5</v>
      </c>
      <c r="AA240" s="24">
        <f t="array" ref="AA240">IFERROR(INDEX(CRV!BV:BV, MATCH(B240, CRV!A:A, 0))*X240+4.5*2+7, "")</f>
        <v>84.4</v>
      </c>
      <c r="AB240" s="24" t="str">
        <f t="array" ref="AB240">IFERROR(IF(VALUE(XLOOKUP($B240,CRV!$A:$A,CRV!$BU:$BU))&lt;=5.5,"прямой пуск (DOL)","звезда-треугольник (SD)"),"")</f>
        <v>звезда-треугольник (SD)</v>
      </c>
      <c r="AC240" s="25" t="str">
        <f t="array" ref="AC240">IFERROR(INDEX(CRV!CA:CA, MATCH(B240, CRV!A:A, 0)), "")</f>
        <v>HQQE</v>
      </c>
      <c r="AD240" s="29"/>
      <c r="AE240" s="29" t="s">
        <v>76</v>
      </c>
    </row>
    <row r="241" ht="12.0" customHeight="1">
      <c r="A241" s="30" t="s">
        <v>297</v>
      </c>
      <c r="B241" s="24" t="str">
        <f>IFERROR(__xludf.DUMMYFUNCTION("IFERROR(IF(REGEXMATCH(REGEXEXTRACT(A241,""\bCRV\s*\d+(?:-\d+)+(?:-(?:A?BI|AI|BI))?\b""),""-(?:A?BI|AI|BI)$""),REGEXREPLACE(REGEXEXTRACT(A241,""\bCRV\s*\d+(?:-\d+)+(?:-(?:A?BI|AI|BI))?\b""),""-(A?BI|AI|BI)$"",""C$1""),REGEXEXTRACT(A241,""\bCRV\s*\d+(?:-\d+"&amp;")+(?:-(?:A?BI|AI|BI))?\b"")&amp;""C""),"""")"),"CRV 32-10C")</f>
        <v>CRV 32-10C</v>
      </c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4"/>
      <c r="W241" s="24">
        <f t="shared" si="1"/>
        <v>3</v>
      </c>
      <c r="X241" s="24">
        <f>IFERROR(__xludf.DUMMYFUNCTION("IFERROR(VALUE(REGEXEXTRACT(A241,""\b(\d+)/\d+\b"")),"""")"),2.0)</f>
        <v>2</v>
      </c>
      <c r="Y241" s="24">
        <f>IFERROR(__xludf.DUMMYFUNCTION("IFERROR(VALUE(REGEXEXTRACT(A241,""\b\d+/(\d+)\b"")),"""")
"),1.0)</f>
        <v>1</v>
      </c>
      <c r="Z241" s="24">
        <f t="array" ref="Z241">IFERROR(INDEX(CRV!BU:BU, MATCH(B241, CRV!A:A, 0)), "")</f>
        <v>18.5</v>
      </c>
      <c r="AA241" s="24">
        <f t="array" ref="AA241">IFERROR(INDEX(CRV!BV:BV, MATCH(B241, CRV!A:A, 0))*X241+4.5*2+7, "")</f>
        <v>84.4</v>
      </c>
      <c r="AB241" s="24" t="str">
        <f t="array" ref="AB241">IFERROR(IF(VALUE(XLOOKUP($B241,CRV!$A:$A,CRV!$BU:$BU))&lt;=5.5,"прямой пуск (DOL)","звезда-треугольник (SD)"),"")</f>
        <v>звезда-треугольник (SD)</v>
      </c>
      <c r="AC241" s="25" t="str">
        <f t="array" ref="AC241">IFERROR(INDEX(CRV!CA:CA, MATCH(B241, CRV!A:A, 0)), "")</f>
        <v>HQQE</v>
      </c>
      <c r="AD241" s="29"/>
      <c r="AE241" s="29" t="s">
        <v>76</v>
      </c>
    </row>
    <row r="242" ht="12.0" customHeight="1">
      <c r="A242" s="30" t="s">
        <v>298</v>
      </c>
      <c r="B242" s="24" t="str">
        <f>IFERROR(__xludf.DUMMYFUNCTION("IFERROR(IF(REGEXMATCH(REGEXEXTRACT(A242,""\bCRV\s*\d+(?:-\d+)+(?:-(?:A?BI|AI|BI))?\b""),""-(?:A?BI|AI|BI)$""),REGEXREPLACE(REGEXEXTRACT(A242,""\bCRV\s*\d+(?:-\d+)+(?:-(?:A?BI|AI|BI))?\b""),""-(A?BI|AI|BI)$"",""C$1""),REGEXEXTRACT(A242,""\bCRV\s*\d+(?:-\d+"&amp;")+(?:-(?:A?BI|AI|BI))?\b"")&amp;""C""),"""")"),"CRV 32-11-2C")</f>
        <v>CRV 32-11-2C</v>
      </c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4"/>
      <c r="W242" s="24">
        <f t="shared" si="1"/>
        <v>3</v>
      </c>
      <c r="X242" s="24">
        <f>IFERROR(__xludf.DUMMYFUNCTION("IFERROR(VALUE(REGEXEXTRACT(A242,""\b(\d+)/\d+\b"")),"""")"),2.0)</f>
        <v>2</v>
      </c>
      <c r="Y242" s="24">
        <f>IFERROR(__xludf.DUMMYFUNCTION("IFERROR(VALUE(REGEXEXTRACT(A242,""\b\d+/(\d+)\b"")),"""")
"),1.0)</f>
        <v>1</v>
      </c>
      <c r="Z242" s="24">
        <f t="array" ref="Z242">IFERROR(INDEX(CRV!BU:BU, MATCH(B242, CRV!A:A, 0)), "")</f>
        <v>22</v>
      </c>
      <c r="AA242" s="24">
        <f t="array" ref="AA242">IFERROR(INDEX(CRV!BV:BV, MATCH(B242, CRV!A:A, 0))*X242+4.5*2+7, "")</f>
        <v>97</v>
      </c>
      <c r="AB242" s="24" t="str">
        <f t="array" ref="AB242">IFERROR(IF(VALUE(XLOOKUP($B242,CRV!$A:$A,CRV!$BU:$BU))&lt;=5.5,"прямой пуск (DOL)","звезда-треугольник (SD)"),"")</f>
        <v>звезда-треугольник (SD)</v>
      </c>
      <c r="AC242" s="25" t="str">
        <f t="array" ref="AC242">IFERROR(INDEX(CRV!CA:CA, MATCH(B242, CRV!A:A, 0)), "")</f>
        <v>HQQE</v>
      </c>
      <c r="AD242" s="29"/>
      <c r="AE242" s="29" t="s">
        <v>76</v>
      </c>
    </row>
    <row r="243" ht="12.0" customHeight="1">
      <c r="A243" s="30" t="s">
        <v>299</v>
      </c>
      <c r="B243" s="24" t="str">
        <f>IFERROR(__xludf.DUMMYFUNCTION("IFERROR(IF(REGEXMATCH(REGEXEXTRACT(A243,""\bCRV\s*\d+(?:-\d+)+(?:-(?:A?BI|AI|BI))?\b""),""-(?:A?BI|AI|BI)$""),REGEXREPLACE(REGEXEXTRACT(A243,""\bCRV\s*\d+(?:-\d+)+(?:-(?:A?BI|AI|BI))?\b""),""-(A?BI|AI|BI)$"",""C$1""),REGEXEXTRACT(A243,""\bCRV\s*\d+(?:-\d+"&amp;")+(?:-(?:A?BI|AI|BI))?\b"")&amp;""C""),"""")"),"CRV 32-11C")</f>
        <v>CRV 32-11C</v>
      </c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4"/>
      <c r="W243" s="24">
        <f t="shared" si="1"/>
        <v>3</v>
      </c>
      <c r="X243" s="24">
        <f>IFERROR(__xludf.DUMMYFUNCTION("IFERROR(VALUE(REGEXEXTRACT(A243,""\b(\d+)/\d+\b"")),"""")"),2.0)</f>
        <v>2</v>
      </c>
      <c r="Y243" s="24">
        <f>IFERROR(__xludf.DUMMYFUNCTION("IFERROR(VALUE(REGEXEXTRACT(A243,""\b\d+/(\d+)\b"")),"""")
"),1.0)</f>
        <v>1</v>
      </c>
      <c r="Z243" s="24">
        <f t="array" ref="Z243">IFERROR(INDEX(CRV!BU:BU, MATCH(B243, CRV!A:A, 0)), "")</f>
        <v>22</v>
      </c>
      <c r="AA243" s="24">
        <f t="array" ref="AA243">IFERROR(INDEX(CRV!BV:BV, MATCH(B243, CRV!A:A, 0))*X243+4.5*2+7, "")</f>
        <v>97</v>
      </c>
      <c r="AB243" s="24" t="str">
        <f t="array" ref="AB243">IFERROR(IF(VALUE(XLOOKUP($B243,CRV!$A:$A,CRV!$BU:$BU))&lt;=5.5,"прямой пуск (DOL)","звезда-треугольник (SD)"),"")</f>
        <v>звезда-треугольник (SD)</v>
      </c>
      <c r="AC243" s="25" t="str">
        <f t="array" ref="AC243">IFERROR(INDEX(CRV!CA:CA, MATCH(B243, CRV!A:A, 0)), "")</f>
        <v>HQQE</v>
      </c>
      <c r="AD243" s="29"/>
      <c r="AE243" s="29" t="s">
        <v>76</v>
      </c>
    </row>
    <row r="244" ht="12.0" customHeight="1">
      <c r="A244" s="30" t="s">
        <v>300</v>
      </c>
      <c r="B244" s="24" t="str">
        <f>IFERROR(__xludf.DUMMYFUNCTION("IFERROR(IF(REGEXMATCH(REGEXEXTRACT(A244,""\bCRV\s*\d+(?:-\d+)+(?:-(?:A?BI|AI|BI))?\b""),""-(?:A?BI|AI|BI)$""),REGEXREPLACE(REGEXEXTRACT(A244,""\bCRV\s*\d+(?:-\d+)+(?:-(?:A?BI|AI|BI))?\b""),""-(A?BI|AI|BI)$"",""C$1""),REGEXEXTRACT(A244,""\bCRV\s*\d+(?:-\d+"&amp;")+(?:-(?:A?BI|AI|BI))?\b"")&amp;""C""),"""")"),"CRV 32-12-2C")</f>
        <v>CRV 32-12-2C</v>
      </c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4"/>
      <c r="W244" s="24">
        <f t="shared" si="1"/>
        <v>3</v>
      </c>
      <c r="X244" s="24">
        <f>IFERROR(__xludf.DUMMYFUNCTION("IFERROR(VALUE(REGEXEXTRACT(A244,""\b(\d+)/\d+\b"")),"""")"),2.0)</f>
        <v>2</v>
      </c>
      <c r="Y244" s="24">
        <f>IFERROR(__xludf.DUMMYFUNCTION("IFERROR(VALUE(REGEXEXTRACT(A244,""\b\d+/(\d+)\b"")),"""")
"),1.0)</f>
        <v>1</v>
      </c>
      <c r="Z244" s="24">
        <f t="array" ref="Z244">IFERROR(INDEX(CRV!BU:BU, MATCH(B244, CRV!A:A, 0)), "")</f>
        <v>22</v>
      </c>
      <c r="AA244" s="24">
        <f t="array" ref="AA244">IFERROR(INDEX(CRV!BV:BV, MATCH(B244, CRV!A:A, 0))*X244+4.5*2+7, "")</f>
        <v>97</v>
      </c>
      <c r="AB244" s="24" t="str">
        <f t="array" ref="AB244">IFERROR(IF(VALUE(XLOOKUP($B244,CRV!$A:$A,CRV!$BU:$BU))&lt;=5.5,"прямой пуск (DOL)","звезда-треугольник (SD)"),"")</f>
        <v>звезда-треугольник (SD)</v>
      </c>
      <c r="AC244" s="25" t="str">
        <f t="array" ref="AC244">IFERROR(INDEX(CRV!CA:CA, MATCH(B244, CRV!A:A, 0)), "")</f>
        <v>HQQE</v>
      </c>
      <c r="AD244" s="29"/>
      <c r="AE244" s="29" t="s">
        <v>76</v>
      </c>
    </row>
    <row r="245" ht="12.0" customHeight="1">
      <c r="A245" s="30" t="s">
        <v>301</v>
      </c>
      <c r="B245" s="24" t="str">
        <f>IFERROR(__xludf.DUMMYFUNCTION("IFERROR(IF(REGEXMATCH(REGEXEXTRACT(A245,""\bCRV\s*\d+(?:-\d+)+(?:-(?:A?BI|AI|BI))?\b""),""-(?:A?BI|AI|BI)$""),REGEXREPLACE(REGEXEXTRACT(A245,""\bCRV\s*\d+(?:-\d+)+(?:-(?:A?BI|AI|BI))?\b""),""-(A?BI|AI|BI)$"",""C$1""),REGEXEXTRACT(A245,""\bCRV\s*\d+(?:-\d+"&amp;")+(?:-(?:A?BI|AI|BI))?\b"")&amp;""C""),"""")"),"CRV 32-12C")</f>
        <v>CRV 32-12C</v>
      </c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4"/>
      <c r="W245" s="24">
        <f t="shared" si="1"/>
        <v>3</v>
      </c>
      <c r="X245" s="24">
        <f>IFERROR(__xludf.DUMMYFUNCTION("IFERROR(VALUE(REGEXEXTRACT(A245,""\b(\d+)/\d+\b"")),"""")"),2.0)</f>
        <v>2</v>
      </c>
      <c r="Y245" s="24">
        <f>IFERROR(__xludf.DUMMYFUNCTION("IFERROR(VALUE(REGEXEXTRACT(A245,""\b\d+/(\d+)\b"")),"""")
"),1.0)</f>
        <v>1</v>
      </c>
      <c r="Z245" s="24">
        <f t="array" ref="Z245">IFERROR(INDEX(CRV!BU:BU, MATCH(B245, CRV!A:A, 0)), "")</f>
        <v>22</v>
      </c>
      <c r="AA245" s="24">
        <f t="array" ref="AA245">IFERROR(INDEX(CRV!BV:BV, MATCH(B245, CRV!A:A, 0))*X245+4.5*2+7, "")</f>
        <v>97</v>
      </c>
      <c r="AB245" s="24" t="str">
        <f t="array" ref="AB245">IFERROR(IF(VALUE(XLOOKUP($B245,CRV!$A:$A,CRV!$BU:$BU))&lt;=5.5,"прямой пуск (DOL)","звезда-треугольник (SD)"),"")</f>
        <v>звезда-треугольник (SD)</v>
      </c>
      <c r="AC245" s="25" t="str">
        <f t="array" ref="AC245">IFERROR(INDEX(CRV!CA:CA, MATCH(B245, CRV!A:A, 0)), "")</f>
        <v>HQQE</v>
      </c>
      <c r="AD245" s="29"/>
      <c r="AE245" s="29" t="s">
        <v>76</v>
      </c>
    </row>
    <row r="246" ht="12.0" customHeight="1">
      <c r="A246" s="30" t="s">
        <v>302</v>
      </c>
      <c r="B246" s="24" t="str">
        <f>IFERROR(__xludf.DUMMYFUNCTION("IFERROR(IF(REGEXMATCH(REGEXEXTRACT(A246,""\bCRV\s*\d+(?:-\d+)+(?:-(?:A?BI|AI|BI))?\b""),""-(?:A?BI|AI|BI)$""),REGEXREPLACE(REGEXEXTRACT(A246,""\bCRV\s*\d+(?:-\d+)+(?:-(?:A?BI|AI|BI))?\b""),""-(A?BI|AI|BI)$"",""C$1""),REGEXEXTRACT(A246,""\bCRV\s*\d+(?:-\d+"&amp;")+(?:-(?:A?BI|AI|BI))?\b"")&amp;""C""),"""")"),"CRV 32-13-2C")</f>
        <v>CRV 32-13-2C</v>
      </c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4"/>
      <c r="W246" s="24">
        <f t="shared" si="1"/>
        <v>3</v>
      </c>
      <c r="X246" s="24">
        <f>IFERROR(__xludf.DUMMYFUNCTION("IFERROR(VALUE(REGEXEXTRACT(A246,""\b(\d+)/\d+\b"")),"""")"),2.0)</f>
        <v>2</v>
      </c>
      <c r="Y246" s="24">
        <f>IFERROR(__xludf.DUMMYFUNCTION("IFERROR(VALUE(REGEXEXTRACT(A246,""\b\d+/(\d+)\b"")),"""")
"),1.0)</f>
        <v>1</v>
      </c>
      <c r="Z246" s="24">
        <f t="array" ref="Z246">IFERROR(INDEX(CRV!BU:BU, MATCH(B246, CRV!A:A, 0)), "")</f>
        <v>30</v>
      </c>
      <c r="AA246" s="24">
        <f t="array" ref="AA246">IFERROR(INDEX(CRV!BV:BV, MATCH(B246, CRV!A:A, 0))*X246+4.5*2+7, "")</f>
        <v>125.8</v>
      </c>
      <c r="AB246" s="24" t="str">
        <f t="array" ref="AB246">IFERROR(IF(VALUE(XLOOKUP($B246,CRV!$A:$A,CRV!$BU:$BU))&lt;=5.5,"прямой пуск (DOL)","звезда-треугольник (SD)"),"")</f>
        <v>звезда-треугольник (SD)</v>
      </c>
      <c r="AC246" s="25" t="str">
        <f t="array" ref="AC246">IFERROR(INDEX(CRV!CA:CA, MATCH(B246, CRV!A:A, 0)), "")</f>
        <v>HQQE</v>
      </c>
      <c r="AD246" s="29"/>
      <c r="AE246" s="29" t="s">
        <v>76</v>
      </c>
    </row>
    <row r="247" ht="12.0" customHeight="1">
      <c r="A247" s="30" t="s">
        <v>303</v>
      </c>
      <c r="B247" s="24" t="str">
        <f>IFERROR(__xludf.DUMMYFUNCTION("IFERROR(IF(REGEXMATCH(REGEXEXTRACT(A247,""\bCRV\s*\d+(?:-\d+)+(?:-(?:A?BI|AI|BI))?\b""),""-(?:A?BI|AI|BI)$""),REGEXREPLACE(REGEXEXTRACT(A247,""\bCRV\s*\d+(?:-\d+)+(?:-(?:A?BI|AI|BI))?\b""),""-(A?BI|AI|BI)$"",""C$1""),REGEXEXTRACT(A247,""\bCRV\s*\d+(?:-\d+"&amp;")+(?:-(?:A?BI|AI|BI))?\b"")&amp;""C""),"""")"),"CRV 32-13C")</f>
        <v>CRV 32-13C</v>
      </c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4"/>
      <c r="W247" s="24">
        <f t="shared" si="1"/>
        <v>3</v>
      </c>
      <c r="X247" s="24">
        <f>IFERROR(__xludf.DUMMYFUNCTION("IFERROR(VALUE(REGEXEXTRACT(A247,""\b(\d+)/\d+\b"")),"""")"),2.0)</f>
        <v>2</v>
      </c>
      <c r="Y247" s="24">
        <f>IFERROR(__xludf.DUMMYFUNCTION("IFERROR(VALUE(REGEXEXTRACT(A247,""\b\d+/(\d+)\b"")),"""")
"),1.0)</f>
        <v>1</v>
      </c>
      <c r="Z247" s="24">
        <f t="array" ref="Z247">IFERROR(INDEX(CRV!BU:BU, MATCH(B247, CRV!A:A, 0)), "")</f>
        <v>30</v>
      </c>
      <c r="AA247" s="24">
        <f t="array" ref="AA247">IFERROR(INDEX(CRV!BV:BV, MATCH(B247, CRV!A:A, 0))*X247+4.5*2+7, "")</f>
        <v>125.8</v>
      </c>
      <c r="AB247" s="24" t="str">
        <f t="array" ref="AB247">IFERROR(IF(VALUE(XLOOKUP($B247,CRV!$A:$A,CRV!$BU:$BU))&lt;=5.5,"прямой пуск (DOL)","звезда-треугольник (SD)"),"")</f>
        <v>звезда-треугольник (SD)</v>
      </c>
      <c r="AC247" s="25" t="str">
        <f t="array" ref="AC247">IFERROR(INDEX(CRV!CA:CA, MATCH(B247, CRV!A:A, 0)), "")</f>
        <v>HQQE</v>
      </c>
      <c r="AD247" s="29"/>
      <c r="AE247" s="29" t="s">
        <v>76</v>
      </c>
    </row>
    <row r="248" ht="12.0" customHeight="1">
      <c r="A248" s="30" t="s">
        <v>304</v>
      </c>
      <c r="B248" s="24" t="str">
        <f>IFERROR(__xludf.DUMMYFUNCTION("IFERROR(IF(REGEXMATCH(REGEXEXTRACT(A248,""\bCRV\s*\d+(?:-\d+)+(?:-(?:A?BI|AI|BI))?\b""),""-(?:A?BI|AI|BI)$""),REGEXREPLACE(REGEXEXTRACT(A248,""\bCRV\s*\d+(?:-\d+)+(?:-(?:A?BI|AI|BI))?\b""),""-(A?BI|AI|BI)$"",""C$1""),REGEXEXTRACT(A248,""\bCRV\s*\d+(?:-\d+"&amp;")+(?:-(?:A?BI|AI|BI))?\b"")&amp;""C""),"""")"),"CRV 32-14-2C")</f>
        <v>CRV 32-14-2C</v>
      </c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4"/>
      <c r="W248" s="24">
        <f t="shared" si="1"/>
        <v>3</v>
      </c>
      <c r="X248" s="24">
        <f>IFERROR(__xludf.DUMMYFUNCTION("IFERROR(VALUE(REGEXEXTRACT(A248,""\b(\d+)/\d+\b"")),"""")"),2.0)</f>
        <v>2</v>
      </c>
      <c r="Y248" s="24">
        <f>IFERROR(__xludf.DUMMYFUNCTION("IFERROR(VALUE(REGEXEXTRACT(A248,""\b\d+/(\d+)\b"")),"""")
"),1.0)</f>
        <v>1</v>
      </c>
      <c r="Z248" s="24">
        <f t="array" ref="Z248">IFERROR(INDEX(CRV!BU:BU, MATCH(B248, CRV!A:A, 0)), "")</f>
        <v>30</v>
      </c>
      <c r="AA248" s="24">
        <f t="array" ref="AA248">IFERROR(INDEX(CRV!BV:BV, MATCH(B248, CRV!A:A, 0))*X248+4.5*2+7, "")</f>
        <v>125.8</v>
      </c>
      <c r="AB248" s="24" t="str">
        <f t="array" ref="AB248">IFERROR(IF(VALUE(XLOOKUP($B248,CRV!$A:$A,CRV!$BU:$BU))&lt;=5.5,"прямой пуск (DOL)","звезда-треугольник (SD)"),"")</f>
        <v>звезда-треугольник (SD)</v>
      </c>
      <c r="AC248" s="25" t="str">
        <f t="array" ref="AC248">IFERROR(INDEX(CRV!CA:CA, MATCH(B248, CRV!A:A, 0)), "")</f>
        <v>HQQE</v>
      </c>
      <c r="AD248" s="29"/>
      <c r="AE248" s="29" t="s">
        <v>76</v>
      </c>
    </row>
    <row r="249" ht="12.0" customHeight="1">
      <c r="A249" s="30" t="s">
        <v>305</v>
      </c>
      <c r="B249" s="24" t="str">
        <f>IFERROR(__xludf.DUMMYFUNCTION("IFERROR(IF(REGEXMATCH(REGEXEXTRACT(A249,""\bCRV\s*\d+(?:-\d+)+(?:-(?:A?BI|AI|BI))?\b""),""-(?:A?BI|AI|BI)$""),REGEXREPLACE(REGEXEXTRACT(A249,""\bCRV\s*\d+(?:-\d+)+(?:-(?:A?BI|AI|BI))?\b""),""-(A?BI|AI|BI)$"",""C$1""),REGEXEXTRACT(A249,""\bCRV\s*\d+(?:-\d+"&amp;")+(?:-(?:A?BI|AI|BI))?\b"")&amp;""C""),"""")"),"CRV 32-14C")</f>
        <v>CRV 32-14C</v>
      </c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4"/>
      <c r="W249" s="24">
        <f t="shared" si="1"/>
        <v>3</v>
      </c>
      <c r="X249" s="24">
        <f>IFERROR(__xludf.DUMMYFUNCTION("IFERROR(VALUE(REGEXEXTRACT(A249,""\b(\d+)/\d+\b"")),"""")"),2.0)</f>
        <v>2</v>
      </c>
      <c r="Y249" s="24">
        <f>IFERROR(__xludf.DUMMYFUNCTION("IFERROR(VALUE(REGEXEXTRACT(A249,""\b\d+/(\d+)\b"")),"""")
"),1.0)</f>
        <v>1</v>
      </c>
      <c r="Z249" s="24">
        <f t="array" ref="Z249">IFERROR(INDEX(CRV!BU:BU, MATCH(B249, CRV!A:A, 0)), "")</f>
        <v>30</v>
      </c>
      <c r="AA249" s="24">
        <f t="array" ref="AA249">IFERROR(INDEX(CRV!BV:BV, MATCH(B249, CRV!A:A, 0))*X249+4.5*2+7, "")</f>
        <v>125.8</v>
      </c>
      <c r="AB249" s="24" t="str">
        <f t="array" ref="AB249">IFERROR(IF(VALUE(XLOOKUP($B249,CRV!$A:$A,CRV!$BU:$BU))&lt;=5.5,"прямой пуск (DOL)","звезда-треугольник (SD)"),"")</f>
        <v>звезда-треугольник (SD)</v>
      </c>
      <c r="AC249" s="25" t="str">
        <f t="array" ref="AC249">IFERROR(INDEX(CRV!CA:CA, MATCH(B249, CRV!A:A, 0)), "")</f>
        <v>HQQE</v>
      </c>
      <c r="AD249" s="29"/>
      <c r="AE249" s="29" t="s">
        <v>76</v>
      </c>
    </row>
    <row r="250" ht="12.0" customHeight="1">
      <c r="A250" s="31"/>
      <c r="B250" s="24" t="str">
        <f>IFERROR(__xludf.DUMMYFUNCTION("IFERROR(IF(REGEXMATCH(REGEXEXTRACT(A250,""\bCRV\s*\d+(?:-\d+)+(?:-(?:A?BI|AI|BI))?\b""),""-(?:A?BI|AI|BI)$""),REGEXREPLACE(REGEXEXTRACT(A250,""\bCRV\s*\d+(?:-\d+)+(?:-(?:A?BI|AI|BI))?\b""),""-(A?BI|AI|BI)$"",""C$1""),REGEXEXTRACT(A250,""\bCRV\s*\d+(?:-\d+"&amp;")+(?:-(?:A?BI|AI|BI))?\b"")&amp;""C""),"""")"),"")</f>
        <v/>
      </c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4"/>
      <c r="W250" s="24" t="str">
        <f t="shared" si="1"/>
        <v/>
      </c>
      <c r="X250" s="24" t="str">
        <f>IFERROR(__xludf.DUMMYFUNCTION("IFERROR(VALUE(REGEXEXTRACT(A250,""\b(\d+)/\d+\b"")),"""")"),"")</f>
        <v/>
      </c>
      <c r="Y250" s="24" t="str">
        <f>IFERROR(__xludf.DUMMYFUNCTION("IFERROR(VALUE(REGEXEXTRACT(A250,""\b\d+/(\d+)\b"")),"""")
"),"")</f>
        <v/>
      </c>
      <c r="Z250" s="24" t="str">
        <f t="array" ref="Z250">IFERROR(INDEX(CRV!BU:BU, MATCH(B250, CRV!A:A, 0)), "")</f>
        <v/>
      </c>
      <c r="AA250" s="24" t="str">
        <f t="array" ref="AA250">IFERROR(INDEX(CRV!BV:BV, MATCH(B250, CRV!A:A, 0))*X250+4.5*2+7, "")</f>
        <v/>
      </c>
      <c r="AB250" s="24" t="str">
        <f t="array" ref="AB250">IFERROR(IF(VALUE(XLOOKUP($B250,CRV!$A:$A,CRV!$BU:$BU))&lt;=5.5,"прямой пуск (DOL)","звезда-треугольник (SD)"),"")</f>
        <v/>
      </c>
      <c r="AC250" s="25" t="str">
        <f t="array" ref="AC250">IFERROR(INDEX(CRV!CA:CA, MATCH(B250, CRV!A:A, 0)), "")</f>
        <v/>
      </c>
      <c r="AD250" s="29"/>
      <c r="AE250" s="28"/>
    </row>
    <row r="251" ht="12.0" customHeight="1">
      <c r="A251" s="25" t="s">
        <v>306</v>
      </c>
      <c r="B251" s="24" t="str">
        <f>IFERROR(__xludf.DUMMYFUNCTION("IFERROR(IF(REGEXMATCH(REGEXEXTRACT(A251,""\bCRV\s*\d+(?:-\d+)+(?:-(?:A?BI|AI|BI))?\b""),""-(?:A?BI|AI|BI)$""),REGEXREPLACE(REGEXEXTRACT(A251,""\bCRV\s*\d+(?:-\d+)+(?:-(?:A?BI|AI|BI))?\b""),""-(A?BI|AI|BI)$"",""C$1""),REGEXEXTRACT(A251,""\bCRV\s*\d+(?:-\d+"&amp;")+(?:-(?:A?BI|AI|BI))?\b"")&amp;""C""),"""")"),"CRV 45-1C")</f>
        <v>CRV 45-1C</v>
      </c>
      <c r="C251" s="28">
        <v>1900.0</v>
      </c>
      <c r="D251" s="28">
        <v>1109.0</v>
      </c>
      <c r="E251" s="28">
        <v>390.0</v>
      </c>
      <c r="F251" s="28">
        <v>722.0</v>
      </c>
      <c r="G251" s="28">
        <v>657.0</v>
      </c>
      <c r="H251" s="28">
        <v>1981.0</v>
      </c>
      <c r="I251" s="28">
        <v>1379.0</v>
      </c>
      <c r="J251" s="28">
        <v>2771.0</v>
      </c>
      <c r="K251" s="28">
        <v>1684.0</v>
      </c>
      <c r="L251" s="28">
        <v>548.0</v>
      </c>
      <c r="M251" s="28">
        <v>588.0</v>
      </c>
      <c r="N251" s="28">
        <v>1644.0</v>
      </c>
      <c r="O251" s="28">
        <v>150.0</v>
      </c>
      <c r="P251" s="28"/>
      <c r="Q251" s="29" t="s">
        <v>245</v>
      </c>
      <c r="R251" s="28">
        <v>1200.0</v>
      </c>
      <c r="S251" s="28">
        <v>800.0</v>
      </c>
      <c r="T251" s="28">
        <v>821.0</v>
      </c>
      <c r="U251" s="28">
        <v>650.0</v>
      </c>
      <c r="V251" s="24"/>
      <c r="W251" s="24">
        <f t="shared" si="1"/>
        <v>3</v>
      </c>
      <c r="X251" s="24">
        <f>IFERROR(__xludf.DUMMYFUNCTION("IFERROR(VALUE(REGEXEXTRACT(A251,""\b(\d+)/\d+\b"")),"""")"),2.0)</f>
        <v>2</v>
      </c>
      <c r="Y251" s="24">
        <f>IFERROR(__xludf.DUMMYFUNCTION("IFERROR(VALUE(REGEXEXTRACT(A251,""\b\d+/(\d+)\b"")),"""")
"),1.0)</f>
        <v>1</v>
      </c>
      <c r="Z251" s="24">
        <f t="array" ref="Z251">IFERROR(INDEX(CRV!BU:BU, MATCH(B251, CRV!A:A, 0)), "")</f>
        <v>4</v>
      </c>
      <c r="AA251" s="24">
        <f t="array" ref="AA251">IFERROR(INDEX(CRV!BV:BV, MATCH(B251, CRV!A:A, 0))*X251+4.5*2+7, "")</f>
        <v>31.6</v>
      </c>
      <c r="AB251" s="24" t="str">
        <f t="array" ref="AB251">IFERROR(IF(VALUE(XLOOKUP($B251,CRV!$A:$A,CRV!$BU:$BU))&lt;=5.5,"прямой пуск (DOL)","звезда-треугольник (SD)"),"")</f>
        <v>прямой пуск (DOL)</v>
      </c>
      <c r="AC251" s="25" t="str">
        <f t="array" ref="AC251">IFERROR(INDEX(CRV!CA:CA, MATCH(B251, CRV!A:A, 0)), "")</f>
        <v>HQQE</v>
      </c>
      <c r="AD251" s="29">
        <v>906.0</v>
      </c>
      <c r="AE251" s="28">
        <v>7.5211465E7</v>
      </c>
    </row>
    <row r="252" ht="12.0" customHeight="1">
      <c r="A252" s="25" t="s">
        <v>307</v>
      </c>
      <c r="B252" s="24" t="str">
        <f>IFERROR(__xludf.DUMMYFUNCTION("IFERROR(IF(REGEXMATCH(REGEXEXTRACT(A252,""\bCRV\s*\d+(?:-\d+)+(?:-(?:A?BI|AI|BI))?\b""),""-(?:A?BI|AI|BI)$""),REGEXREPLACE(REGEXEXTRACT(A252,""\bCRV\s*\d+(?:-\d+)+(?:-(?:A?BI|AI|BI))?\b""),""-(A?BI|AI|BI)$"",""C$1""),REGEXEXTRACT(A252,""\bCRV\s*\d+(?:-\d+"&amp;")+(?:-(?:A?BI|AI|BI))?\b"")&amp;""C""),"""")"),"CRV 45-2-2C")</f>
        <v>CRV 45-2-2C</v>
      </c>
      <c r="C252" s="28">
        <v>1900.0</v>
      </c>
      <c r="D252" s="28">
        <v>1335.0</v>
      </c>
      <c r="E252" s="28">
        <v>390.0</v>
      </c>
      <c r="F252" s="28">
        <v>722.0</v>
      </c>
      <c r="G252" s="28">
        <v>657.0</v>
      </c>
      <c r="H252" s="28">
        <v>1981.0</v>
      </c>
      <c r="I252" s="28">
        <v>1379.0</v>
      </c>
      <c r="J252" s="28">
        <v>2771.0</v>
      </c>
      <c r="K252" s="28">
        <v>1684.0</v>
      </c>
      <c r="L252" s="28">
        <v>548.0</v>
      </c>
      <c r="M252" s="28">
        <v>588.0</v>
      </c>
      <c r="N252" s="28">
        <v>1644.0</v>
      </c>
      <c r="O252" s="28">
        <v>150.0</v>
      </c>
      <c r="P252" s="28"/>
      <c r="Q252" s="29" t="s">
        <v>245</v>
      </c>
      <c r="R252" s="28">
        <v>1200.0</v>
      </c>
      <c r="S252" s="28">
        <v>800.0</v>
      </c>
      <c r="T252" s="28">
        <v>821.0</v>
      </c>
      <c r="U252" s="28">
        <v>650.0</v>
      </c>
      <c r="V252" s="24"/>
      <c r="W252" s="24">
        <f t="shared" si="1"/>
        <v>3</v>
      </c>
      <c r="X252" s="24">
        <f>IFERROR(__xludf.DUMMYFUNCTION("IFERROR(VALUE(REGEXEXTRACT(A252,""\b(\d+)/\d+\b"")),"""")"),2.0)</f>
        <v>2</v>
      </c>
      <c r="Y252" s="24">
        <f>IFERROR(__xludf.DUMMYFUNCTION("IFERROR(VALUE(REGEXEXTRACT(A252,""\b\d+/(\d+)\b"")),"""")
"),1.0)</f>
        <v>1</v>
      </c>
      <c r="Z252" s="24">
        <f t="array" ref="Z252">IFERROR(INDEX(CRV!BU:BU, MATCH(B252, CRV!A:A, 0)), "")</f>
        <v>5.5</v>
      </c>
      <c r="AA252" s="24">
        <f t="array" ref="AA252">IFERROR(INDEX(CRV!BV:BV, MATCH(B252, CRV!A:A, 0))*X252+4.5*2+7, "")</f>
        <v>37.2</v>
      </c>
      <c r="AB252" s="24" t="str">
        <f t="array" ref="AB252">IFERROR(IF(VALUE(XLOOKUP($B252,CRV!$A:$A,CRV!$BU:$BU))&lt;=5.5,"прямой пуск (DOL)","звезда-треугольник (SD)"),"")</f>
        <v>прямой пуск (DOL)</v>
      </c>
      <c r="AC252" s="25" t="str">
        <f t="array" ref="AC252">IFERROR(INDEX(CRV!CA:CA, MATCH(B252, CRV!A:A, 0)), "")</f>
        <v>HQQE</v>
      </c>
      <c r="AD252" s="29">
        <v>936.0</v>
      </c>
      <c r="AE252" s="28">
        <v>7.5211466E7</v>
      </c>
    </row>
    <row r="253" ht="12.0" customHeight="1">
      <c r="A253" s="25" t="s">
        <v>308</v>
      </c>
      <c r="B253" s="24" t="str">
        <f>IFERROR(__xludf.DUMMYFUNCTION("IFERROR(IF(REGEXMATCH(REGEXEXTRACT(A253,""\bCRV\s*\d+(?:-\d+)+(?:-(?:A?BI|AI|BI))?\b""),""-(?:A?BI|AI|BI)$""),REGEXREPLACE(REGEXEXTRACT(A253,""\bCRV\s*\d+(?:-\d+)+(?:-(?:A?BI|AI|BI))?\b""),""-(A?BI|AI|BI)$"",""C$1""),REGEXEXTRACT(A253,""\bCRV\s*\d+(?:-\d+"&amp;")+(?:-(?:A?BI|AI|BI))?\b"")&amp;""C""),"""")"),"CRV 45-2C")</f>
        <v>CRV 45-2C</v>
      </c>
      <c r="C253" s="28">
        <v>1900.0</v>
      </c>
      <c r="D253" s="28">
        <v>1424.0</v>
      </c>
      <c r="E253" s="28">
        <v>390.0</v>
      </c>
      <c r="F253" s="28">
        <v>722.0</v>
      </c>
      <c r="G253" s="28">
        <v>657.0</v>
      </c>
      <c r="H253" s="28">
        <v>1981.0</v>
      </c>
      <c r="I253" s="28">
        <v>1379.0</v>
      </c>
      <c r="J253" s="28">
        <v>2771.0</v>
      </c>
      <c r="K253" s="28">
        <v>1684.0</v>
      </c>
      <c r="L253" s="28">
        <v>548.0</v>
      </c>
      <c r="M253" s="28">
        <v>588.0</v>
      </c>
      <c r="N253" s="28">
        <v>1644.0</v>
      </c>
      <c r="O253" s="28">
        <v>150.0</v>
      </c>
      <c r="P253" s="28"/>
      <c r="Q253" s="29" t="s">
        <v>245</v>
      </c>
      <c r="R253" s="28">
        <v>1200.0</v>
      </c>
      <c r="S253" s="28">
        <v>800.0</v>
      </c>
      <c r="T253" s="28">
        <v>821.0</v>
      </c>
      <c r="U253" s="28">
        <v>650.0</v>
      </c>
      <c r="V253" s="24"/>
      <c r="W253" s="24">
        <f t="shared" si="1"/>
        <v>3</v>
      </c>
      <c r="X253" s="24">
        <f>IFERROR(__xludf.DUMMYFUNCTION("IFERROR(VALUE(REGEXEXTRACT(A253,""\b(\d+)/\d+\b"")),"""")"),2.0)</f>
        <v>2</v>
      </c>
      <c r="Y253" s="24">
        <f>IFERROR(__xludf.DUMMYFUNCTION("IFERROR(VALUE(REGEXEXTRACT(A253,""\b\d+/(\d+)\b"")),"""")
"),1.0)</f>
        <v>1</v>
      </c>
      <c r="Z253" s="24">
        <f t="array" ref="Z253">IFERROR(INDEX(CRV!BU:BU, MATCH(B253, CRV!A:A, 0)), "")</f>
        <v>7.5</v>
      </c>
      <c r="AA253" s="24">
        <f t="array" ref="AA253">IFERROR(INDEX(CRV!BV:BV, MATCH(B253, CRV!A:A, 0))*X253+4.5*2+7, "")</f>
        <v>44.8</v>
      </c>
      <c r="AB253" s="24" t="str">
        <f t="array" ref="AB253">IFERROR(IF(VALUE(XLOOKUP($B253,CRV!$A:$A,CRV!$BU:$BU))&lt;=5.5,"прямой пуск (DOL)","звезда-треугольник (SD)"),"")</f>
        <v>звезда-треугольник (SD)</v>
      </c>
      <c r="AC253" s="25" t="str">
        <f t="array" ref="AC253">IFERROR(INDEX(CRV!CA:CA, MATCH(B253, CRV!A:A, 0)), "")</f>
        <v>HQQE</v>
      </c>
      <c r="AD253" s="29">
        <v>1041.0</v>
      </c>
      <c r="AE253" s="28">
        <v>7.5211467E7</v>
      </c>
    </row>
    <row r="254" ht="12.0" customHeight="1">
      <c r="A254" s="25" t="s">
        <v>309</v>
      </c>
      <c r="B254" s="24" t="str">
        <f>IFERROR(__xludf.DUMMYFUNCTION("IFERROR(IF(REGEXMATCH(REGEXEXTRACT(A254,""\bCRV\s*\d+(?:-\d+)+(?:-(?:A?BI|AI|BI))?\b""),""-(?:A?BI|AI|BI)$""),REGEXREPLACE(REGEXEXTRACT(A254,""\bCRV\s*\d+(?:-\d+)+(?:-(?:A?BI|AI|BI))?\b""),""-(A?BI|AI|BI)$"",""C$1""),REGEXEXTRACT(A254,""\bCRV\s*\d+(?:-\d+"&amp;")+(?:-(?:A?BI|AI|BI))?\b"")&amp;""C""),"""")"),"CRV 45-3-2C")</f>
        <v>CRV 45-3-2C</v>
      </c>
      <c r="C254" s="28">
        <v>1900.0</v>
      </c>
      <c r="D254" s="28">
        <v>1598.0</v>
      </c>
      <c r="E254" s="28">
        <v>390.0</v>
      </c>
      <c r="F254" s="28">
        <v>722.0</v>
      </c>
      <c r="G254" s="28">
        <v>657.0</v>
      </c>
      <c r="H254" s="28">
        <v>1981.0</v>
      </c>
      <c r="I254" s="28">
        <v>1379.0</v>
      </c>
      <c r="J254" s="28">
        <v>2771.0</v>
      </c>
      <c r="K254" s="28">
        <v>1684.0</v>
      </c>
      <c r="L254" s="28">
        <v>548.0</v>
      </c>
      <c r="M254" s="28">
        <v>588.0</v>
      </c>
      <c r="N254" s="28">
        <v>1644.0</v>
      </c>
      <c r="O254" s="28">
        <v>150.0</v>
      </c>
      <c r="P254" s="28"/>
      <c r="Q254" s="29" t="s">
        <v>245</v>
      </c>
      <c r="R254" s="28">
        <v>1200.0</v>
      </c>
      <c r="S254" s="28">
        <v>800.0</v>
      </c>
      <c r="T254" s="28">
        <v>821.0</v>
      </c>
      <c r="U254" s="28">
        <v>650.0</v>
      </c>
      <c r="V254" s="24"/>
      <c r="W254" s="24">
        <f t="shared" si="1"/>
        <v>3</v>
      </c>
      <c r="X254" s="24">
        <f>IFERROR(__xludf.DUMMYFUNCTION("IFERROR(VALUE(REGEXEXTRACT(A254,""\b(\d+)/\d+\b"")),"""")"),2.0)</f>
        <v>2</v>
      </c>
      <c r="Y254" s="24">
        <f>IFERROR(__xludf.DUMMYFUNCTION("IFERROR(VALUE(REGEXEXTRACT(A254,""\b\d+/(\d+)\b"")),"""")
"),1.0)</f>
        <v>1</v>
      </c>
      <c r="Z254" s="24">
        <f t="array" ref="Z254">IFERROR(INDEX(CRV!BU:BU, MATCH(B254, CRV!A:A, 0)), "")</f>
        <v>11</v>
      </c>
      <c r="AA254" s="24">
        <f t="array" ref="AA254">IFERROR(INDEX(CRV!BV:BV, MATCH(B254, CRV!A:A, 0))*X254+4.5*2+7, "")</f>
        <v>57.2</v>
      </c>
      <c r="AB254" s="24" t="str">
        <f t="array" ref="AB254">IFERROR(IF(VALUE(XLOOKUP($B254,CRV!$A:$A,CRV!$BU:$BU))&lt;=5.5,"прямой пуск (DOL)","звезда-треугольник (SD)"),"")</f>
        <v>звезда-треугольник (SD)</v>
      </c>
      <c r="AC254" s="25" t="str">
        <f t="array" ref="AC254">IFERROR(INDEX(CRV!CA:CA, MATCH(B254, CRV!A:A, 0)), "")</f>
        <v>HQQE</v>
      </c>
      <c r="AD254" s="29">
        <v>1194.0</v>
      </c>
      <c r="AE254" s="28">
        <v>7.5211468E7</v>
      </c>
    </row>
    <row r="255" ht="12.0" customHeight="1">
      <c r="A255" s="25" t="s">
        <v>310</v>
      </c>
      <c r="B255" s="24" t="str">
        <f>IFERROR(__xludf.DUMMYFUNCTION("IFERROR(IF(REGEXMATCH(REGEXEXTRACT(A255,""\bCRV\s*\d+(?:-\d+)+(?:-(?:A?BI|AI|BI))?\b""),""-(?:A?BI|AI|BI)$""),REGEXREPLACE(REGEXEXTRACT(A255,""\bCRV\s*\d+(?:-\d+)+(?:-(?:A?BI|AI|BI))?\b""),""-(A?BI|AI|BI)$"",""C$1""),REGEXEXTRACT(A255,""\bCRV\s*\d+(?:-\d+"&amp;")+(?:-(?:A?BI|AI|BI))?\b"")&amp;""C""),"""")"),"CRV 45-3C")</f>
        <v>CRV 45-3C</v>
      </c>
      <c r="C255" s="28">
        <v>1900.0</v>
      </c>
      <c r="D255" s="28">
        <v>1678.0</v>
      </c>
      <c r="E255" s="28">
        <v>390.0</v>
      </c>
      <c r="F255" s="28">
        <v>722.0</v>
      </c>
      <c r="G255" s="28">
        <v>657.0</v>
      </c>
      <c r="H255" s="28">
        <v>1981.0</v>
      </c>
      <c r="I255" s="28">
        <v>1379.0</v>
      </c>
      <c r="J255" s="28">
        <v>2771.0</v>
      </c>
      <c r="K255" s="28">
        <v>1684.0</v>
      </c>
      <c r="L255" s="28">
        <v>548.0</v>
      </c>
      <c r="M255" s="28">
        <v>588.0</v>
      </c>
      <c r="N255" s="28">
        <v>1644.0</v>
      </c>
      <c r="O255" s="28">
        <v>150.0</v>
      </c>
      <c r="P255" s="28"/>
      <c r="Q255" s="29" t="s">
        <v>245</v>
      </c>
      <c r="R255" s="28">
        <v>1200.0</v>
      </c>
      <c r="S255" s="28">
        <v>800.0</v>
      </c>
      <c r="T255" s="28">
        <v>821.0</v>
      </c>
      <c r="U255" s="28">
        <v>650.0</v>
      </c>
      <c r="V255" s="24"/>
      <c r="W255" s="24">
        <f t="shared" si="1"/>
        <v>3</v>
      </c>
      <c r="X255" s="24">
        <f>IFERROR(__xludf.DUMMYFUNCTION("IFERROR(VALUE(REGEXEXTRACT(A255,""\b(\d+)/\d+\b"")),"""")"),2.0)</f>
        <v>2</v>
      </c>
      <c r="Y255" s="24">
        <f>IFERROR(__xludf.DUMMYFUNCTION("IFERROR(VALUE(REGEXEXTRACT(A255,""\b\d+/(\d+)\b"")),"""")
"),1.0)</f>
        <v>1</v>
      </c>
      <c r="Z255" s="24">
        <f t="array" ref="Z255">IFERROR(INDEX(CRV!BU:BU, MATCH(B255, CRV!A:A, 0)), "")</f>
        <v>11</v>
      </c>
      <c r="AA255" s="24">
        <f t="array" ref="AA255">IFERROR(INDEX(CRV!BV:BV, MATCH(B255, CRV!A:A, 0))*X255+4.5*2+7, "")</f>
        <v>57.2</v>
      </c>
      <c r="AB255" s="24" t="str">
        <f t="array" ref="AB255">IFERROR(IF(VALUE(XLOOKUP($B255,CRV!$A:$A,CRV!$BU:$BU))&lt;=5.5,"прямой пуск (DOL)","звезда-треугольник (SD)"),"")</f>
        <v>звезда-треугольник (SD)</v>
      </c>
      <c r="AC255" s="25" t="str">
        <f t="array" ref="AC255">IFERROR(INDEX(CRV!CA:CA, MATCH(B255, CRV!A:A, 0)), "")</f>
        <v>HQQE</v>
      </c>
      <c r="AD255" s="29">
        <v>1203.0</v>
      </c>
      <c r="AE255" s="28">
        <v>7.5211469E7</v>
      </c>
    </row>
    <row r="256" ht="12.0" customHeight="1">
      <c r="A256" s="25" t="s">
        <v>311</v>
      </c>
      <c r="B256" s="24" t="str">
        <f>IFERROR(__xludf.DUMMYFUNCTION("IFERROR(IF(REGEXMATCH(REGEXEXTRACT(A256,""\bCRV\s*\d+(?:-\d+)+(?:-(?:A?BI|AI|BI))?\b""),""-(?:A?BI|AI|BI)$""),REGEXREPLACE(REGEXEXTRACT(A256,""\bCRV\s*\d+(?:-\d+)+(?:-(?:A?BI|AI|BI))?\b""),""-(A?BI|AI|BI)$"",""C$1""),REGEXEXTRACT(A256,""\bCRV\s*\d+(?:-\d+"&amp;")+(?:-(?:A?BI|AI|BI))?\b"")&amp;""C""),"""")"),"CRV 45-4C")</f>
        <v>CRV 45-4C</v>
      </c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4"/>
      <c r="W256" s="24">
        <f t="shared" si="1"/>
        <v>3</v>
      </c>
      <c r="X256" s="24">
        <f>IFERROR(__xludf.DUMMYFUNCTION("IFERROR(VALUE(REGEXEXTRACT(A256,""\b(\d+)/\d+\b"")),"""")"),2.0)</f>
        <v>2</v>
      </c>
      <c r="Y256" s="24">
        <f>IFERROR(__xludf.DUMMYFUNCTION("IFERROR(VALUE(REGEXEXTRACT(A256,""\b\d+/(\d+)\b"")),"""")
"),1.0)</f>
        <v>1</v>
      </c>
      <c r="Z256" s="24">
        <f t="array" ref="Z256">IFERROR(INDEX(CRV!BU:BU, MATCH(B256, CRV!A:A, 0)), "")</f>
        <v>15</v>
      </c>
      <c r="AA256" s="24">
        <f t="array" ref="AA256">IFERROR(INDEX(CRV!BV:BV, MATCH(B256, CRV!A:A, 0))*X256+4.5*2+7, "")</f>
        <v>71.8</v>
      </c>
      <c r="AB256" s="24" t="str">
        <f t="array" ref="AB256">IFERROR(IF(VALUE(XLOOKUP($B256,CRV!$A:$A,CRV!$BU:$BU))&lt;=5.5,"прямой пуск (DOL)","звезда-треугольник (SD)"),"")</f>
        <v>звезда-треугольник (SD)</v>
      </c>
      <c r="AC256" s="25" t="str">
        <f t="array" ref="AC256">IFERROR(INDEX(CRV!CA:CA, MATCH(B256, CRV!A:A, 0)), "")</f>
        <v>HQQE</v>
      </c>
      <c r="AD256" s="28"/>
      <c r="AE256" s="29" t="s">
        <v>76</v>
      </c>
    </row>
    <row r="257" ht="12.0" customHeight="1">
      <c r="A257" s="25" t="s">
        <v>312</v>
      </c>
      <c r="B257" s="24" t="str">
        <f>IFERROR(__xludf.DUMMYFUNCTION("IFERROR(IF(REGEXMATCH(REGEXEXTRACT(A257,""\bCRV\s*\d+(?:-\d+)+(?:-(?:A?BI|AI|BI))?\b""),""-(?:A?BI|AI|BI)$""),REGEXREPLACE(REGEXEXTRACT(A257,""\bCRV\s*\d+(?:-\d+)+(?:-(?:A?BI|AI|BI))?\b""),""-(A?BI|AI|BI)$"",""C$1""),REGEXEXTRACT(A257,""\bCRV\s*\d+(?:-\d+"&amp;")+(?:-(?:A?BI|AI|BI))?\b"")&amp;""C""),"""")"),"CRV 45-5C")</f>
        <v>CRV 45-5C</v>
      </c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4"/>
      <c r="W257" s="24">
        <f t="shared" si="1"/>
        <v>3</v>
      </c>
      <c r="X257" s="24">
        <f>IFERROR(__xludf.DUMMYFUNCTION("IFERROR(VALUE(REGEXEXTRACT(A257,""\b(\d+)/\d+\b"")),"""")"),2.0)</f>
        <v>2</v>
      </c>
      <c r="Y257" s="24">
        <f>IFERROR(__xludf.DUMMYFUNCTION("IFERROR(VALUE(REGEXEXTRACT(A257,""\b\d+/(\d+)\b"")),"""")
"),1.0)</f>
        <v>1</v>
      </c>
      <c r="Z257" s="24">
        <f t="array" ref="Z257">IFERROR(INDEX(CRV!BU:BU, MATCH(B257, CRV!A:A, 0)), "")</f>
        <v>18.5</v>
      </c>
      <c r="AA257" s="24">
        <f t="array" ref="AA257">IFERROR(INDEX(CRV!BV:BV, MATCH(B257, CRV!A:A, 0))*X257+4.5*2+7, "")</f>
        <v>84.4</v>
      </c>
      <c r="AB257" s="24" t="str">
        <f t="array" ref="AB257">IFERROR(IF(VALUE(XLOOKUP($B257,CRV!$A:$A,CRV!$BU:$BU))&lt;=5.5,"прямой пуск (DOL)","звезда-треугольник (SD)"),"")</f>
        <v>звезда-треугольник (SD)</v>
      </c>
      <c r="AC257" s="25" t="str">
        <f t="array" ref="AC257">IFERROR(INDEX(CRV!CA:CA, MATCH(B257, CRV!A:A, 0)), "")</f>
        <v>HQQE</v>
      </c>
      <c r="AD257" s="28"/>
      <c r="AE257" s="29" t="s">
        <v>76</v>
      </c>
    </row>
    <row r="258" ht="12.0" customHeight="1">
      <c r="A258" s="30" t="s">
        <v>313</v>
      </c>
      <c r="B258" s="24" t="str">
        <f>IFERROR(__xludf.DUMMYFUNCTION("IFERROR(IF(REGEXMATCH(REGEXEXTRACT(A258,""\bCRV\s*\d+(?:-\d+)+(?:-(?:A?BI|AI|BI))?\b""),""-(?:A?BI|AI|BI)$""),REGEXREPLACE(REGEXEXTRACT(A258,""\bCRV\s*\d+(?:-\d+)+(?:-(?:A?BI|AI|BI))?\b""),""-(A?BI|AI|BI)$"",""C$1""),REGEXEXTRACT(A258,""\bCRV\s*\d+(?:-\d+"&amp;")+(?:-(?:A?BI|AI|BI))?\b"")&amp;""C""),"""")"),"CRV 45-6-2C")</f>
        <v>CRV 45-6-2C</v>
      </c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>
        <f t="shared" si="1"/>
        <v>3</v>
      </c>
      <c r="X258" s="24">
        <f>IFERROR(__xludf.DUMMYFUNCTION("IFERROR(VALUE(REGEXEXTRACT(A258,""\b(\d+)/\d+\b"")),"""")"),2.0)</f>
        <v>2</v>
      </c>
      <c r="Y258" s="24">
        <f>IFERROR(__xludf.DUMMYFUNCTION("IFERROR(VALUE(REGEXEXTRACT(A258,""\b\d+/(\d+)\b"")),"""")
"),1.0)</f>
        <v>1</v>
      </c>
      <c r="Z258" s="24">
        <f t="array" ref="Z258">IFERROR(INDEX(CRV!BU:BU, MATCH(B258, CRV!A:A, 0)), "")</f>
        <v>22</v>
      </c>
      <c r="AA258" s="24">
        <f t="array" ref="AA258">IFERROR(INDEX(CRV!BV:BV, MATCH(B258, CRV!A:A, 0))*X258+4.5*2+7, "")</f>
        <v>97</v>
      </c>
      <c r="AB258" s="24" t="str">
        <f t="array" ref="AB258">IFERROR(IF(VALUE(XLOOKUP($B258,CRV!$A:$A,CRV!$BU:$BU))&lt;=5.5,"прямой пуск (DOL)","звезда-треугольник (SD)"),"")</f>
        <v>звезда-треугольник (SD)</v>
      </c>
      <c r="AC258" s="25" t="str">
        <f t="array" ref="AC258">IFERROR(INDEX(CRV!CA:CA, MATCH(B258, CRV!A:A, 0)), "")</f>
        <v>HQQE</v>
      </c>
      <c r="AD258" s="24"/>
      <c r="AE258" s="29" t="s">
        <v>76</v>
      </c>
    </row>
    <row r="259" ht="12.0" customHeight="1">
      <c r="A259" s="32" t="s">
        <v>314</v>
      </c>
      <c r="B259" s="24" t="str">
        <f>IFERROR(__xludf.DUMMYFUNCTION("IFERROR(IF(REGEXMATCH(REGEXEXTRACT(A259,""\bCRV\s*\d+(?:-\d+)+(?:-(?:A?BI|AI|BI))?\b""),""-(?:A?BI|AI|BI)$""),REGEXREPLACE(REGEXEXTRACT(A259,""\bCRV\s*\d+(?:-\d+)+(?:-(?:A?BI|AI|BI))?\b""),""-(A?BI|AI|BI)$"",""C$1""),REGEXEXTRACT(A259,""\bCRV\s*\d+(?:-\d+"&amp;")+(?:-(?:A?BI|AI|BI))?\b"")&amp;""C""),"""")"),"CRV 45-6C")</f>
        <v>CRV 45-6C</v>
      </c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>
        <f t="shared" si="1"/>
        <v>3</v>
      </c>
      <c r="X259" s="24">
        <f>IFERROR(__xludf.DUMMYFUNCTION("IFERROR(VALUE(REGEXEXTRACT(A259,""\b(\d+)/\d+\b"")),"""")"),2.0)</f>
        <v>2</v>
      </c>
      <c r="Y259" s="24">
        <f>IFERROR(__xludf.DUMMYFUNCTION("IFERROR(VALUE(REGEXEXTRACT(A259,""\b\d+/(\d+)\b"")),"""")
"),1.0)</f>
        <v>1</v>
      </c>
      <c r="Z259" s="24">
        <f t="array" ref="Z259">IFERROR(INDEX(CRV!BU:BU, MATCH(B259, CRV!A:A, 0)), "")</f>
        <v>22</v>
      </c>
      <c r="AA259" s="24">
        <f t="array" ref="AA259">IFERROR(INDEX(CRV!BV:BV, MATCH(B259, CRV!A:A, 0))*X259+4.5*2+7, "")</f>
        <v>97</v>
      </c>
      <c r="AB259" s="24" t="str">
        <f t="array" ref="AB259">IFERROR(IF(VALUE(XLOOKUP($B259,CRV!$A:$A,CRV!$BU:$BU))&lt;=5.5,"прямой пуск (DOL)","звезда-треугольник (SD)"),"")</f>
        <v>звезда-треугольник (SD)</v>
      </c>
      <c r="AC259" s="25" t="str">
        <f t="array" ref="AC259">IFERROR(INDEX(CRV!CA:CA, MATCH(B259, CRV!A:A, 0)), "")</f>
        <v>HQQE</v>
      </c>
      <c r="AD259" s="24"/>
      <c r="AE259" s="29" t="s">
        <v>76</v>
      </c>
    </row>
    <row r="260" ht="12.0" customHeight="1">
      <c r="A260" s="30" t="s">
        <v>315</v>
      </c>
      <c r="B260" s="24" t="str">
        <f>IFERROR(__xludf.DUMMYFUNCTION("IFERROR(IF(REGEXMATCH(REGEXEXTRACT(A260,""\bCRV\s*\d+(?:-\d+)+(?:-(?:A?BI|AI|BI))?\b""),""-(?:A?BI|AI|BI)$""),REGEXREPLACE(REGEXEXTRACT(A260,""\bCRV\s*\d+(?:-\d+)+(?:-(?:A?BI|AI|BI))?\b""),""-(A?BI|AI|BI)$"",""C$1""),REGEXEXTRACT(A260,""\bCRV\s*\d+(?:-\d+"&amp;")+(?:-(?:A?BI|AI|BI))?\b"")&amp;""C""),"""")"),"CRV 45-7-2C")</f>
        <v>CRV 45-7-2C</v>
      </c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>
        <f t="shared" si="1"/>
        <v>3</v>
      </c>
      <c r="X260" s="24">
        <f>IFERROR(__xludf.DUMMYFUNCTION("IFERROR(VALUE(REGEXEXTRACT(A260,""\b(\d+)/\d+\b"")),"""")"),2.0)</f>
        <v>2</v>
      </c>
      <c r="Y260" s="24">
        <f>IFERROR(__xludf.DUMMYFUNCTION("IFERROR(VALUE(REGEXEXTRACT(A260,""\b\d+/(\d+)\b"")),"""")
"),1.0)</f>
        <v>1</v>
      </c>
      <c r="Z260" s="24">
        <f t="array" ref="Z260">IFERROR(INDEX(CRV!BU:BU, MATCH(B260, CRV!A:A, 0)), "")</f>
        <v>30</v>
      </c>
      <c r="AA260" s="24">
        <f t="array" ref="AA260">IFERROR(INDEX(CRV!BV:BV, MATCH(B260, CRV!A:A, 0))*X260+4.5*2+7, "")</f>
        <v>125.8</v>
      </c>
      <c r="AB260" s="24" t="str">
        <f t="array" ref="AB260">IFERROR(IF(VALUE(XLOOKUP($B260,CRV!$A:$A,CRV!$BU:$BU))&lt;=5.5,"прямой пуск (DOL)","звезда-треугольник (SD)"),"")</f>
        <v>звезда-треугольник (SD)</v>
      </c>
      <c r="AC260" s="25" t="str">
        <f t="array" ref="AC260">IFERROR(INDEX(CRV!CA:CA, MATCH(B260, CRV!A:A, 0)), "")</f>
        <v>HQQE</v>
      </c>
      <c r="AD260" s="24"/>
      <c r="AE260" s="29" t="s">
        <v>76</v>
      </c>
    </row>
    <row r="261" ht="12.0" customHeight="1">
      <c r="A261" s="30" t="s">
        <v>316</v>
      </c>
      <c r="B261" s="24" t="str">
        <f>IFERROR(__xludf.DUMMYFUNCTION("IFERROR(IF(REGEXMATCH(REGEXEXTRACT(A261,""\bCRV\s*\d+(?:-\d+)+(?:-(?:A?BI|AI|BI))?\b""),""-(?:A?BI|AI|BI)$""),REGEXREPLACE(REGEXEXTRACT(A261,""\bCRV\s*\d+(?:-\d+)+(?:-(?:A?BI|AI|BI))?\b""),""-(A?BI|AI|BI)$"",""C$1""),REGEXEXTRACT(A261,""\bCRV\s*\d+(?:-\d+"&amp;")+(?:-(?:A?BI|AI|BI))?\b"")&amp;""C""),"""")"),"CRV 45-7C")</f>
        <v>CRV 45-7C</v>
      </c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4"/>
      <c r="W261" s="24">
        <f t="shared" si="1"/>
        <v>3</v>
      </c>
      <c r="X261" s="24">
        <f>IFERROR(__xludf.DUMMYFUNCTION("IFERROR(VALUE(REGEXEXTRACT(A261,""\b(\d+)/\d+\b"")),"""")"),2.0)</f>
        <v>2</v>
      </c>
      <c r="Y261" s="24">
        <f>IFERROR(__xludf.DUMMYFUNCTION("IFERROR(VALUE(REGEXEXTRACT(A261,""\b\d+/(\d+)\b"")),"""")
"),1.0)</f>
        <v>1</v>
      </c>
      <c r="Z261" s="24">
        <f t="array" ref="Z261">IFERROR(INDEX(CRV!BU:BU, MATCH(B261, CRV!A:A, 0)), "")</f>
        <v>30</v>
      </c>
      <c r="AA261" s="24">
        <f t="array" ref="AA261">IFERROR(INDEX(CRV!BV:BV, MATCH(B261, CRV!A:A, 0))*X261+4.5*2+7, "")</f>
        <v>125.8</v>
      </c>
      <c r="AB261" s="24" t="str">
        <f t="array" ref="AB261">IFERROR(IF(VALUE(XLOOKUP($B261,CRV!$A:$A,CRV!$BU:$BU))&lt;=5.5,"прямой пуск (DOL)","звезда-треугольник (SD)"),"")</f>
        <v>звезда-треугольник (SD)</v>
      </c>
      <c r="AC261" s="25" t="str">
        <f t="array" ref="AC261">IFERROR(INDEX(CRV!CA:CA, MATCH(B261, CRV!A:A, 0)), "")</f>
        <v>HQQE</v>
      </c>
      <c r="AD261" s="28"/>
      <c r="AE261" s="29" t="s">
        <v>76</v>
      </c>
    </row>
    <row r="262" ht="12.0" customHeight="1">
      <c r="A262" s="30" t="s">
        <v>317</v>
      </c>
      <c r="B262" s="24" t="str">
        <f>IFERROR(__xludf.DUMMYFUNCTION("IFERROR(IF(REGEXMATCH(REGEXEXTRACT(A262,""\bCRV\s*\d+(?:-\d+)+(?:-(?:A?BI|AI|BI))?\b""),""-(?:A?BI|AI|BI)$""),REGEXREPLACE(REGEXEXTRACT(A262,""\bCRV\s*\d+(?:-\d+)+(?:-(?:A?BI|AI|BI))?\b""),""-(A?BI|AI|BI)$"",""C$1""),REGEXEXTRACT(A262,""\bCRV\s*\d+(?:-\d+"&amp;")+(?:-(?:A?BI|AI|BI))?\b"")&amp;""C""),"""")"),"CRV 45-8-2C")</f>
        <v>CRV 45-8-2C</v>
      </c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4"/>
      <c r="W262" s="24">
        <f t="shared" si="1"/>
        <v>3</v>
      </c>
      <c r="X262" s="24">
        <f>IFERROR(__xludf.DUMMYFUNCTION("IFERROR(VALUE(REGEXEXTRACT(A262,""\b(\d+)/\d+\b"")),"""")"),2.0)</f>
        <v>2</v>
      </c>
      <c r="Y262" s="24">
        <f>IFERROR(__xludf.DUMMYFUNCTION("IFERROR(VALUE(REGEXEXTRACT(A262,""\b\d+/(\d+)\b"")),"""")
"),1.0)</f>
        <v>1</v>
      </c>
      <c r="Z262" s="24">
        <f t="array" ref="Z262">IFERROR(INDEX(CRV!BU:BU, MATCH(B262, CRV!A:A, 0)), "")</f>
        <v>30</v>
      </c>
      <c r="AA262" s="24">
        <f t="array" ref="AA262">IFERROR(INDEX(CRV!BV:BV, MATCH(B262, CRV!A:A, 0))*X262+4.5*2+7, "")</f>
        <v>125.8</v>
      </c>
      <c r="AB262" s="24" t="str">
        <f t="array" ref="AB262">IFERROR(IF(VALUE(XLOOKUP($B262,CRV!$A:$A,CRV!$BU:$BU))&lt;=5.5,"прямой пуск (DOL)","звезда-треугольник (SD)"),"")</f>
        <v>звезда-треугольник (SD)</v>
      </c>
      <c r="AC262" s="25" t="str">
        <f t="array" ref="AC262">IFERROR(INDEX(CRV!CA:CA, MATCH(B262, CRV!A:A, 0)), "")</f>
        <v>HQQE</v>
      </c>
      <c r="AD262" s="28"/>
      <c r="AE262" s="29" t="s">
        <v>76</v>
      </c>
    </row>
    <row r="263" ht="12.0" customHeight="1">
      <c r="A263" s="30" t="s">
        <v>318</v>
      </c>
      <c r="B263" s="24" t="str">
        <f>IFERROR(__xludf.DUMMYFUNCTION("IFERROR(IF(REGEXMATCH(REGEXEXTRACT(A263,""\bCRV\s*\d+(?:-\d+)+(?:-(?:A?BI|AI|BI))?\b""),""-(?:A?BI|AI|BI)$""),REGEXREPLACE(REGEXEXTRACT(A263,""\bCRV\s*\d+(?:-\d+)+(?:-(?:A?BI|AI|BI))?\b""),""-(A?BI|AI|BI)$"",""C$1""),REGEXEXTRACT(A263,""\bCRV\s*\d+(?:-\d+"&amp;")+(?:-(?:A?BI|AI|BI))?\b"")&amp;""C""),"""")"),"CRV 45-8C")</f>
        <v>CRV 45-8C</v>
      </c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4"/>
      <c r="W263" s="24">
        <f t="shared" si="1"/>
        <v>3</v>
      </c>
      <c r="X263" s="24">
        <f>IFERROR(__xludf.DUMMYFUNCTION("IFERROR(VALUE(REGEXEXTRACT(A263,""\b(\d+)/\d+\b"")),"""")"),2.0)</f>
        <v>2</v>
      </c>
      <c r="Y263" s="24">
        <f>IFERROR(__xludf.DUMMYFUNCTION("IFERROR(VALUE(REGEXEXTRACT(A263,""\b\d+/(\d+)\b"")),"""")
"),1.0)</f>
        <v>1</v>
      </c>
      <c r="Z263" s="24">
        <f t="array" ref="Z263">IFERROR(INDEX(CRV!BU:BU, MATCH(B263, CRV!A:A, 0)), "")</f>
        <v>30</v>
      </c>
      <c r="AA263" s="24">
        <f t="array" ref="AA263">IFERROR(INDEX(CRV!BV:BV, MATCH(B263, CRV!A:A, 0))*X263+4.5*2+7, "")</f>
        <v>125.8</v>
      </c>
      <c r="AB263" s="24" t="str">
        <f t="array" ref="AB263">IFERROR(IF(VALUE(XLOOKUP($B263,CRV!$A:$A,CRV!$BU:$BU))&lt;=5.5,"прямой пуск (DOL)","звезда-треугольник (SD)"),"")</f>
        <v>звезда-треугольник (SD)</v>
      </c>
      <c r="AC263" s="25" t="str">
        <f t="array" ref="AC263">IFERROR(INDEX(CRV!CA:CA, MATCH(B263, CRV!A:A, 0)), "")</f>
        <v>HQQE</v>
      </c>
      <c r="AD263" s="28"/>
      <c r="AE263" s="29" t="s">
        <v>76</v>
      </c>
    </row>
    <row r="264" ht="12.0" customHeight="1">
      <c r="A264" s="30" t="s">
        <v>319</v>
      </c>
      <c r="B264" s="24" t="str">
        <f>IFERROR(__xludf.DUMMYFUNCTION("IFERROR(IF(REGEXMATCH(REGEXEXTRACT(A264,""\bCRV\s*\d+(?:-\d+)+(?:-(?:A?BI|AI|BI))?\b""),""-(?:A?BI|AI|BI)$""),REGEXREPLACE(REGEXEXTRACT(A264,""\bCRV\s*\d+(?:-\d+)+(?:-(?:A?BI|AI|BI))?\b""),""-(A?BI|AI|BI)$"",""C$1""),REGEXEXTRACT(A264,""\bCRV\s*\d+(?:-\d+"&amp;")+(?:-(?:A?BI|AI|BI))?\b"")&amp;""C""),"""")"),"CRV 45-9-2C")</f>
        <v>CRV 45-9-2C</v>
      </c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4"/>
      <c r="W264" s="24">
        <f t="shared" si="1"/>
        <v>3</v>
      </c>
      <c r="X264" s="24">
        <f>IFERROR(__xludf.DUMMYFUNCTION("IFERROR(VALUE(REGEXEXTRACT(A264,""\b(\d+)/\d+\b"")),"""")"),2.0)</f>
        <v>2</v>
      </c>
      <c r="Y264" s="24">
        <f>IFERROR(__xludf.DUMMYFUNCTION("IFERROR(VALUE(REGEXEXTRACT(A264,""\b\d+/(\d+)\b"")),"""")
"),1.0)</f>
        <v>1</v>
      </c>
      <c r="Z264" s="24">
        <f t="array" ref="Z264">IFERROR(INDEX(CRV!BU:BU, MATCH(B264, CRV!A:A, 0)), "")</f>
        <v>30</v>
      </c>
      <c r="AA264" s="24">
        <f t="array" ref="AA264">IFERROR(INDEX(CRV!BV:BV, MATCH(B264, CRV!A:A, 0))*X264+4.5*2+7, "")</f>
        <v>125.8</v>
      </c>
      <c r="AB264" s="24" t="str">
        <f t="array" ref="AB264">IFERROR(IF(VALUE(XLOOKUP($B264,CRV!$A:$A,CRV!$BU:$BU))&lt;=5.5,"прямой пуск (DOL)","звезда-треугольник (SD)"),"")</f>
        <v>звезда-треугольник (SD)</v>
      </c>
      <c r="AC264" s="25" t="str">
        <f t="array" ref="AC264">IFERROR(INDEX(CRV!CA:CA, MATCH(B264, CRV!A:A, 0)), "")</f>
        <v>HQQE</v>
      </c>
      <c r="AD264" s="28"/>
      <c r="AE264" s="29" t="s">
        <v>76</v>
      </c>
    </row>
    <row r="265" ht="12.0" customHeight="1">
      <c r="A265" s="30" t="s">
        <v>320</v>
      </c>
      <c r="B265" s="24" t="str">
        <f>IFERROR(__xludf.DUMMYFUNCTION("IFERROR(IF(REGEXMATCH(REGEXEXTRACT(A265,""\bCRV\s*\d+(?:-\d+)+(?:-(?:A?BI|AI|BI))?\b""),""-(?:A?BI|AI|BI)$""),REGEXREPLACE(REGEXEXTRACT(A265,""\bCRV\s*\d+(?:-\d+)+(?:-(?:A?BI|AI|BI))?\b""),""-(A?BI|AI|BI)$"",""C$1""),REGEXEXTRACT(A265,""\bCRV\s*\d+(?:-\d+"&amp;")+(?:-(?:A?BI|AI|BI))?\b"")&amp;""C""),"""")"),"CRV 45-9C")</f>
        <v>CRV 45-9C</v>
      </c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4"/>
      <c r="W265" s="24">
        <f t="shared" si="1"/>
        <v>3</v>
      </c>
      <c r="X265" s="24">
        <f>IFERROR(__xludf.DUMMYFUNCTION("IFERROR(VALUE(REGEXEXTRACT(A265,""\b(\d+)/\d+\b"")),"""")"),2.0)</f>
        <v>2</v>
      </c>
      <c r="Y265" s="24">
        <f>IFERROR(__xludf.DUMMYFUNCTION("IFERROR(VALUE(REGEXEXTRACT(A265,""\b\d+/(\d+)\b"")),"""")
"),1.0)</f>
        <v>1</v>
      </c>
      <c r="Z265" s="24">
        <f t="array" ref="Z265">IFERROR(INDEX(CRV!BU:BU, MATCH(B265, CRV!A:A, 0)), "")</f>
        <v>37</v>
      </c>
      <c r="AA265" s="24">
        <f t="array" ref="AA265">IFERROR(INDEX(CRV!BV:BV, MATCH(B265, CRV!A:A, 0))*X265+4.5*2+7, "")</f>
        <v>150.8</v>
      </c>
      <c r="AB265" s="24" t="str">
        <f t="array" ref="AB265">IFERROR(IF(VALUE(XLOOKUP($B265,CRV!$A:$A,CRV!$BU:$BU))&lt;=5.5,"прямой пуск (DOL)","звезда-треугольник (SD)"),"")</f>
        <v>звезда-треугольник (SD)</v>
      </c>
      <c r="AC265" s="25" t="str">
        <f t="array" ref="AC265">IFERROR(INDEX(CRV!CA:CA, MATCH(B265, CRV!A:A, 0)), "")</f>
        <v>HQQE</v>
      </c>
      <c r="AD265" s="28"/>
      <c r="AE265" s="29" t="s">
        <v>76</v>
      </c>
    </row>
    <row r="266" ht="12.0" customHeight="1">
      <c r="A266" s="30" t="s">
        <v>321</v>
      </c>
      <c r="B266" s="24" t="str">
        <f>IFERROR(__xludf.DUMMYFUNCTION("IFERROR(IF(REGEXMATCH(REGEXEXTRACT(A266,""\bCRV\s*\d+(?:-\d+)+(?:-(?:A?BI|AI|BI))?\b""),""-(?:A?BI|AI|BI)$""),REGEXREPLACE(REGEXEXTRACT(A266,""\bCRV\s*\d+(?:-\d+)+(?:-(?:A?BI|AI|BI))?\b""),""-(A?BI|AI|BI)$"",""C$1""),REGEXEXTRACT(A266,""\bCRV\s*\d+(?:-\d+"&amp;")+(?:-(?:A?BI|AI|BI))?\b"")&amp;""C""),"""")"),"CRV 45-10-2C")</f>
        <v>CRV 45-10-2C</v>
      </c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4"/>
      <c r="W266" s="24">
        <f t="shared" si="1"/>
        <v>3</v>
      </c>
      <c r="X266" s="24">
        <f>IFERROR(__xludf.DUMMYFUNCTION("IFERROR(VALUE(REGEXEXTRACT(A266,""\b(\d+)/\d+\b"")),"""")"),2.0)</f>
        <v>2</v>
      </c>
      <c r="Y266" s="24">
        <f>IFERROR(__xludf.DUMMYFUNCTION("IFERROR(VALUE(REGEXEXTRACT(A266,""\b\d+/(\d+)\b"")),"""")
"),1.0)</f>
        <v>1</v>
      </c>
      <c r="Z266" s="24">
        <f t="array" ref="Z266">IFERROR(INDEX(CRV!BU:BU, MATCH(B266, CRV!A:A, 0)), "")</f>
        <v>37</v>
      </c>
      <c r="AA266" s="24">
        <f t="array" ref="AA266">IFERROR(INDEX(CRV!BV:BV, MATCH(B266, CRV!A:A, 0))*X266+4.5*2+7, "")</f>
        <v>150.8</v>
      </c>
      <c r="AB266" s="24" t="str">
        <f t="array" ref="AB266">IFERROR(IF(VALUE(XLOOKUP($B266,CRV!$A:$A,CRV!$BU:$BU))&lt;=5.5,"прямой пуск (DOL)","звезда-треугольник (SD)"),"")</f>
        <v>звезда-треугольник (SD)</v>
      </c>
      <c r="AC266" s="25" t="str">
        <f t="array" ref="AC266">IFERROR(INDEX(CRV!CA:CA, MATCH(B266, CRV!A:A, 0)), "")</f>
        <v>HQQE</v>
      </c>
      <c r="AD266" s="28"/>
      <c r="AE266" s="29" t="s">
        <v>76</v>
      </c>
    </row>
    <row r="267" ht="12.0" customHeight="1">
      <c r="A267" s="30" t="s">
        <v>322</v>
      </c>
      <c r="B267" s="24" t="str">
        <f>IFERROR(__xludf.DUMMYFUNCTION("IFERROR(IF(REGEXMATCH(REGEXEXTRACT(A267,""\bCRV\s*\d+(?:-\d+)+(?:-(?:A?BI|AI|BI))?\b""),""-(?:A?BI|AI|BI)$""),REGEXREPLACE(REGEXEXTRACT(A267,""\bCRV\s*\d+(?:-\d+)+(?:-(?:A?BI|AI|BI))?\b""),""-(A?BI|AI|BI)$"",""C$1""),REGEXEXTRACT(A267,""\bCRV\s*\d+(?:-\d+"&amp;")+(?:-(?:A?BI|AI|BI))?\b"")&amp;""C""),"""")"),"CRV 45-10C")</f>
        <v>CRV 45-10C</v>
      </c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4"/>
      <c r="W267" s="24">
        <f t="shared" si="1"/>
        <v>3</v>
      </c>
      <c r="X267" s="24">
        <f>IFERROR(__xludf.DUMMYFUNCTION("IFERROR(VALUE(REGEXEXTRACT(A267,""\b(\d+)/\d+\b"")),"""")"),2.0)</f>
        <v>2</v>
      </c>
      <c r="Y267" s="24">
        <f>IFERROR(__xludf.DUMMYFUNCTION("IFERROR(VALUE(REGEXEXTRACT(A267,""\b\d+/(\d+)\b"")),"""")
"),1.0)</f>
        <v>1</v>
      </c>
      <c r="Z267" s="24">
        <f t="array" ref="Z267">IFERROR(INDEX(CRV!BU:BU, MATCH(B267, CRV!A:A, 0)), "")</f>
        <v>37</v>
      </c>
      <c r="AA267" s="24">
        <f t="array" ref="AA267">IFERROR(INDEX(CRV!BV:BV, MATCH(B267, CRV!A:A, 0))*X267+4.5*2+7, "")</f>
        <v>150.8</v>
      </c>
      <c r="AB267" s="24" t="str">
        <f t="array" ref="AB267">IFERROR(IF(VALUE(XLOOKUP($B267,CRV!$A:$A,CRV!$BU:$BU))&lt;=5.5,"прямой пуск (DOL)","звезда-треугольник (SD)"),"")</f>
        <v>звезда-треугольник (SD)</v>
      </c>
      <c r="AC267" s="25" t="str">
        <f t="array" ref="AC267">IFERROR(INDEX(CRV!CA:CA, MATCH(B267, CRV!A:A, 0)), "")</f>
        <v>HQQE</v>
      </c>
      <c r="AD267" s="28"/>
      <c r="AE267" s="29" t="s">
        <v>76</v>
      </c>
    </row>
    <row r="268" ht="12.0" customHeight="1">
      <c r="A268" s="30" t="s">
        <v>323</v>
      </c>
      <c r="B268" s="24" t="str">
        <f>IFERROR(__xludf.DUMMYFUNCTION("IFERROR(IF(REGEXMATCH(REGEXEXTRACT(A268,""\bCRV\s*\d+(?:-\d+)+(?:-(?:A?BI|AI|BI))?\b""),""-(?:A?BI|AI|BI)$""),REGEXREPLACE(REGEXEXTRACT(A268,""\bCRV\s*\d+(?:-\d+)+(?:-(?:A?BI|AI|BI))?\b""),""-(A?BI|AI|BI)$"",""C$1""),REGEXEXTRACT(A268,""\bCRV\s*\d+(?:-\d+"&amp;")+(?:-(?:A?BI|AI|BI))?\b"")&amp;""C""),"""")"),"CRV 45-11-2C")</f>
        <v>CRV 45-11-2C</v>
      </c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>
        <f t="shared" si="1"/>
        <v>3</v>
      </c>
      <c r="X268" s="24">
        <f>IFERROR(__xludf.DUMMYFUNCTION("IFERROR(VALUE(REGEXEXTRACT(A268,""\b(\d+)/\d+\b"")),"""")"),2.0)</f>
        <v>2</v>
      </c>
      <c r="Y268" s="24">
        <f>IFERROR(__xludf.DUMMYFUNCTION("IFERROR(VALUE(REGEXEXTRACT(A268,""\b\d+/(\d+)\b"")),"""")
"),1.0)</f>
        <v>1</v>
      </c>
      <c r="Z268" s="24">
        <f t="array" ref="Z268">IFERROR(INDEX(CRV!BU:BU, MATCH(B268, CRV!A:A, 0)), "")</f>
        <v>45</v>
      </c>
      <c r="AA268" s="24">
        <f t="array" ref="AA268">IFERROR(INDEX(CRV!BV:BV, MATCH(B268, CRV!A:A, 0))*X268+4.5*2+7, "")</f>
        <v>177.6</v>
      </c>
      <c r="AB268" s="24" t="str">
        <f t="array" ref="AB268">IFERROR(IF(VALUE(XLOOKUP($B268,CRV!$A:$A,CRV!$BU:$BU))&lt;=5.5,"прямой пуск (DOL)","звезда-треугольник (SD)"),"")</f>
        <v>звезда-треугольник (SD)</v>
      </c>
      <c r="AC268" s="25" t="str">
        <f t="array" ref="AC268">IFERROR(INDEX(CRV!CA:CA, MATCH(B268, CRV!A:A, 0)), "")</f>
        <v>HQQE</v>
      </c>
      <c r="AD268" s="24"/>
      <c r="AE268" s="29" t="s">
        <v>76</v>
      </c>
    </row>
    <row r="269" ht="12.0" customHeight="1">
      <c r="A269" s="30" t="s">
        <v>324</v>
      </c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>
        <f t="shared" si="1"/>
        <v>3</v>
      </c>
      <c r="X269" s="24">
        <f>IFERROR(__xludf.DUMMYFUNCTION("IFERROR(VALUE(REGEXEXTRACT(A269,""\b(\d+)/\d+\b"")),"""")"),2.0)</f>
        <v>2</v>
      </c>
      <c r="Y269" s="24">
        <f>IFERROR(__xludf.DUMMYFUNCTION("IFERROR(
  VALUE(REGEXEXTRACT(A269,""\b\d+/(\d+)\b"")),
  """"
)
"),1.0)</f>
        <v>1</v>
      </c>
      <c r="Z269" s="24" t="str">
        <f t="array" ref="Z269">IFERROR(INDEX(CRV!BU:BU, MATCH(B269, CRV!A:A, 0)), "")</f>
        <v/>
      </c>
      <c r="AA269" s="24" t="str">
        <f t="array" ref="AA269">IFERROR(INDEX(CRV!BV:BV, MATCH(B269, CRV!A:A, 0)), "")</f>
        <v/>
      </c>
      <c r="AB269" s="24"/>
      <c r="AC269" s="24"/>
      <c r="AD269" s="24"/>
      <c r="AE269" s="24"/>
    </row>
    <row r="270" ht="12.0" customHeight="1">
      <c r="A270" s="30" t="s">
        <v>325</v>
      </c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>
        <f t="shared" si="1"/>
        <v>3</v>
      </c>
      <c r="X270" s="24">
        <f>IFERROR(__xludf.DUMMYFUNCTION("IFERROR(VALUE(REGEXEXTRACT(A270,""\b(\d+)/\d+\b"")),"""")"),2.0)</f>
        <v>2</v>
      </c>
      <c r="Y270" s="24">
        <f>IFERROR(__xludf.DUMMYFUNCTION("IFERROR(
  VALUE(REGEXEXTRACT(A270,""\b\d+/(\d+)\b"")),
  """"
)
"),1.0)</f>
        <v>1</v>
      </c>
      <c r="Z270" s="24" t="str">
        <f t="array" ref="Z270">IFERROR(INDEX(CRV!BU:BU, MATCH(B270, CRV!A:A, 0)), "")</f>
        <v/>
      </c>
      <c r="AA270" s="24" t="str">
        <f t="array" ref="AA270">IFERROR(INDEX(CRV!BV:BV, MATCH(B270, CRV!A:A, 0)), "")</f>
        <v/>
      </c>
      <c r="AB270" s="24"/>
      <c r="AC270" s="24"/>
      <c r="AD270" s="24"/>
      <c r="AE270" s="24"/>
    </row>
    <row r="271" ht="12.0" customHeight="1">
      <c r="A271" s="30" t="s">
        <v>326</v>
      </c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>
        <f t="shared" si="1"/>
        <v>3</v>
      </c>
      <c r="X271" s="24">
        <f>IFERROR(__xludf.DUMMYFUNCTION("IFERROR(VALUE(REGEXEXTRACT(A271,""\b(\d+)/\d+\b"")),"""")"),2.0)</f>
        <v>2</v>
      </c>
      <c r="Y271" s="24">
        <f>IFERROR(__xludf.DUMMYFUNCTION("IFERROR(
  VALUE(REGEXEXTRACT(A271,""\b\d+/(\d+)\b"")),
  """"
)
"),1.0)</f>
        <v>1</v>
      </c>
      <c r="Z271" s="24" t="str">
        <f t="array" ref="Z271">IFERROR(INDEX(CRV!BU:BU, MATCH(B271, CRV!A:A, 0)), "")</f>
        <v/>
      </c>
      <c r="AA271" s="24" t="str">
        <f t="array" ref="AA271">IFERROR(INDEX(CRV!BV:BV, MATCH(B271, CRV!A:A, 0)), "")</f>
        <v/>
      </c>
      <c r="AB271" s="24"/>
      <c r="AC271" s="24"/>
      <c r="AD271" s="24"/>
      <c r="AE271" s="24"/>
    </row>
    <row r="272" ht="12.0" customHeight="1">
      <c r="A272" s="30" t="s">
        <v>327</v>
      </c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>
        <f t="shared" si="1"/>
        <v>3</v>
      </c>
      <c r="X272" s="24">
        <f>IFERROR(__xludf.DUMMYFUNCTION("IFERROR(VALUE(REGEXEXTRACT(A272,""\b(\d+)/\d+\b"")),"""")"),2.0)</f>
        <v>2</v>
      </c>
      <c r="Y272" s="24">
        <f>IFERROR(__xludf.DUMMYFUNCTION("IFERROR(
  VALUE(REGEXEXTRACT(A272,""\b\d+/(\d+)\b"")),
  """"
)
"),1.0)</f>
        <v>1</v>
      </c>
      <c r="Z272" s="24" t="str">
        <f t="array" ref="Z272">IFERROR(INDEX(CRV!BU:BU, MATCH(B272, CRV!A:A, 0)), "")</f>
        <v/>
      </c>
      <c r="AA272" s="24" t="str">
        <f t="array" ref="AA272">IFERROR(INDEX(CRV!BV:BV, MATCH(B272, CRV!A:A, 0)), "")</f>
        <v/>
      </c>
      <c r="AB272" s="24"/>
      <c r="AC272" s="24"/>
      <c r="AD272" s="24"/>
      <c r="AE272" s="24"/>
    </row>
    <row r="273" ht="12.0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4"/>
      <c r="W273" s="24" t="str">
        <f t="shared" si="1"/>
        <v/>
      </c>
      <c r="X273" s="24" t="str">
        <f>IFERROR(__xludf.DUMMYFUNCTION("IFERROR(VALUE(REGEXEXTRACT(A273,""\b(\d+)/\d+\b"")),"""")"),"")</f>
        <v/>
      </c>
      <c r="Y273" s="24" t="str">
        <f>IFERROR(__xludf.DUMMYFUNCTION("IFERROR(
  VALUE(REGEXEXTRACT(A273,""\b\d+/(\d+)\b"")),
  """"
)
"),"")</f>
        <v/>
      </c>
      <c r="Z273" s="24" t="str">
        <f t="array" ref="Z273">IFERROR(INDEX(CRV!BU:BU, MATCH(B273, CRV!A:A, 0)), "")</f>
        <v/>
      </c>
      <c r="AA273" s="24" t="str">
        <f t="array" ref="AA273">IFERROR(INDEX(CRV!BV:BV, MATCH(B273, CRV!A:A, 0)), "")</f>
        <v/>
      </c>
      <c r="AB273" s="28"/>
      <c r="AC273" s="28"/>
      <c r="AD273" s="28"/>
      <c r="AE273" s="28"/>
    </row>
    <row r="274" ht="12.0" customHeight="1">
      <c r="A274" s="29" t="s">
        <v>328</v>
      </c>
      <c r="B274" s="28"/>
      <c r="C274" s="29">
        <v>1900.0</v>
      </c>
      <c r="D274" s="29">
        <v>1109.0</v>
      </c>
      <c r="E274" s="29">
        <v>390.0</v>
      </c>
      <c r="F274" s="29">
        <v>722.0</v>
      </c>
      <c r="G274" s="29">
        <v>657.0</v>
      </c>
      <c r="H274" s="29">
        <v>1981.0</v>
      </c>
      <c r="I274" s="29">
        <v>1379.0</v>
      </c>
      <c r="J274" s="29">
        <v>2771.0</v>
      </c>
      <c r="K274" s="29">
        <v>1684.0</v>
      </c>
      <c r="L274" s="29">
        <v>548.0</v>
      </c>
      <c r="M274" s="29">
        <v>588.0</v>
      </c>
      <c r="N274" s="29">
        <v>1644.0</v>
      </c>
      <c r="O274" s="29">
        <v>150.0</v>
      </c>
      <c r="P274" s="29"/>
      <c r="Q274" s="29" t="s">
        <v>245</v>
      </c>
      <c r="R274" s="29">
        <v>1200.0</v>
      </c>
      <c r="S274" s="29">
        <v>800.0</v>
      </c>
      <c r="T274" s="29">
        <v>821.0</v>
      </c>
      <c r="U274" s="29">
        <v>650.0</v>
      </c>
      <c r="V274" s="24"/>
      <c r="W274" s="24">
        <f t="shared" si="1"/>
        <v>3</v>
      </c>
      <c r="X274" s="24">
        <f>IFERROR(__xludf.DUMMYFUNCTION("IFERROR(VALUE(REGEXEXTRACT(A274,""\b(\d+)/\d+\b"")),"""")"),2.0)</f>
        <v>2</v>
      </c>
      <c r="Y274" s="24">
        <f>IFERROR(__xludf.DUMMYFUNCTION("IFERROR(
  VALUE(REGEXEXTRACT(A274,""\b\d+/(\d+)\b"")),
  """"
)
"),1.0)</f>
        <v>1</v>
      </c>
      <c r="Z274" s="24" t="str">
        <f t="array" ref="Z274">IFERROR(INDEX(CRV!BU:BU, MATCH(B274, CRV!A:A, 0)), "")</f>
        <v/>
      </c>
      <c r="AA274" s="24" t="str">
        <f t="array" ref="AA274">IFERROR(INDEX(CRV!BV:BV, MATCH(B274, CRV!A:A, 0)), "")</f>
        <v/>
      </c>
      <c r="AB274" s="28"/>
      <c r="AC274" s="28"/>
      <c r="AD274" s="28"/>
      <c r="AE274" s="28"/>
    </row>
    <row r="275" ht="12.0" customHeight="1">
      <c r="A275" s="29" t="s">
        <v>329</v>
      </c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4"/>
      <c r="W275" s="24">
        <f t="shared" si="1"/>
        <v>3</v>
      </c>
      <c r="X275" s="24">
        <f>IFERROR(__xludf.DUMMYFUNCTION("IFERROR(VALUE(REGEXEXTRACT(A275,""\b(\d+)/\d+\b"")),"""")"),2.0)</f>
        <v>2</v>
      </c>
      <c r="Y275" s="24">
        <f>IFERROR(__xludf.DUMMYFUNCTION("IFERROR(
  VALUE(REGEXEXTRACT(A275,""\b\d+/(\d+)\b"")),
  """"
)
"),1.0)</f>
        <v>1</v>
      </c>
      <c r="Z275" s="24" t="str">
        <f t="array" ref="Z275">IFERROR(INDEX(CRV!BU:BU, MATCH(B275, CRV!A:A, 0)), "")</f>
        <v/>
      </c>
      <c r="AA275" s="24" t="str">
        <f t="array" ref="AA275">IFERROR(INDEX(CRV!BV:BV, MATCH(B275, CRV!A:A, 0)), "")</f>
        <v/>
      </c>
      <c r="AB275" s="28"/>
      <c r="AC275" s="28"/>
      <c r="AD275" s="28"/>
      <c r="AE275" s="28"/>
    </row>
    <row r="276" ht="12.0" customHeight="1">
      <c r="A276" s="29" t="s">
        <v>330</v>
      </c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4"/>
      <c r="W276" s="24">
        <f t="shared" si="1"/>
        <v>3</v>
      </c>
      <c r="X276" s="24">
        <f>IFERROR(__xludf.DUMMYFUNCTION("IFERROR(VALUE(REGEXEXTRACT(A276,""\b(\d+)/\d+\b"")),"""")"),2.0)</f>
        <v>2</v>
      </c>
      <c r="Y276" s="24">
        <f>IFERROR(__xludf.DUMMYFUNCTION("IFERROR(
  VALUE(REGEXEXTRACT(A276,""\b\d+/(\d+)\b"")),
  """"
)
"),1.0)</f>
        <v>1</v>
      </c>
      <c r="Z276" s="24" t="str">
        <f t="array" ref="Z276">IFERROR(INDEX(CRV!BU:BU, MATCH(B276, CRV!A:A, 0)), "")</f>
        <v/>
      </c>
      <c r="AA276" s="24" t="str">
        <f t="array" ref="AA276">IFERROR(INDEX(CRV!BV:BV, MATCH(B276, CRV!A:A, 0)), "")</f>
        <v/>
      </c>
      <c r="AB276" s="28"/>
      <c r="AC276" s="28"/>
      <c r="AD276" s="28"/>
      <c r="AE276" s="28"/>
    </row>
    <row r="277" ht="12.0" customHeight="1">
      <c r="A277" s="29" t="s">
        <v>331</v>
      </c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4"/>
      <c r="W277" s="24">
        <f t="shared" si="1"/>
        <v>3</v>
      </c>
      <c r="X277" s="24">
        <f>IFERROR(__xludf.DUMMYFUNCTION("IFERROR(VALUE(REGEXEXTRACT(A277,""\b(\d+)/\d+\b"")),"""")"),2.0)</f>
        <v>2</v>
      </c>
      <c r="Y277" s="24">
        <f>IFERROR(__xludf.DUMMYFUNCTION("IFERROR(
  VALUE(REGEXEXTRACT(A277,""\b\d+/(\d+)\b"")),
  """"
)
"),1.0)</f>
        <v>1</v>
      </c>
      <c r="Z277" s="24" t="str">
        <f t="array" ref="Z277">IFERROR(INDEX(CRV!BU:BU, MATCH(B277, CRV!A:A, 0)), "")</f>
        <v/>
      </c>
      <c r="AA277" s="24" t="str">
        <f t="array" ref="AA277">IFERROR(INDEX(CRV!BV:BV, MATCH(B277, CRV!A:A, 0)), "")</f>
        <v/>
      </c>
      <c r="AB277" s="28"/>
      <c r="AC277" s="28"/>
      <c r="AD277" s="28"/>
      <c r="AE277" s="28"/>
    </row>
    <row r="278" ht="12.0" customHeight="1">
      <c r="A278" s="29" t="s">
        <v>332</v>
      </c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4"/>
      <c r="W278" s="24">
        <f t="shared" si="1"/>
        <v>3</v>
      </c>
      <c r="X278" s="24">
        <f>IFERROR(__xludf.DUMMYFUNCTION("IFERROR(VALUE(REGEXEXTRACT(A278,""\b(\d+)/\d+\b"")),"""")"),2.0)</f>
        <v>2</v>
      </c>
      <c r="Y278" s="24">
        <f>IFERROR(__xludf.DUMMYFUNCTION("IFERROR(
  VALUE(REGEXEXTRACT(A278,""\b\d+/(\d+)\b"")),
  """"
)
"),1.0)</f>
        <v>1</v>
      </c>
      <c r="Z278" s="24" t="str">
        <f t="array" ref="Z278">IFERROR(INDEX(CRV!BU:BU, MATCH(B278, CRV!A:A, 0)), "")</f>
        <v/>
      </c>
      <c r="AA278" s="24" t="str">
        <f t="array" ref="AA278">IFERROR(INDEX(CRV!BV:BV, MATCH(B278, CRV!A:A, 0)), "")</f>
        <v/>
      </c>
      <c r="AB278" s="28"/>
      <c r="AC278" s="28"/>
      <c r="AD278" s="28"/>
      <c r="AE278" s="28"/>
    </row>
    <row r="279" ht="12.0" customHeight="1">
      <c r="A279" s="30" t="s">
        <v>333</v>
      </c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4"/>
      <c r="W279" s="24">
        <f t="shared" si="1"/>
        <v>3</v>
      </c>
      <c r="X279" s="24">
        <f>IFERROR(__xludf.DUMMYFUNCTION("IFERROR(VALUE(REGEXEXTRACT(A279,""\b(\d+)/\d+\b"")),"""")"),2.0)</f>
        <v>2</v>
      </c>
      <c r="Y279" s="24">
        <f>IFERROR(__xludf.DUMMYFUNCTION("IFERROR(
  VALUE(REGEXEXTRACT(A279,""\b\d+/(\d+)\b"")),
  """"
)
"),1.0)</f>
        <v>1</v>
      </c>
      <c r="Z279" s="24" t="str">
        <f t="array" ref="Z279">IFERROR(INDEX(CRV!BU:BU, MATCH(B279, CRV!A:A, 0)), "")</f>
        <v/>
      </c>
      <c r="AA279" s="24" t="str">
        <f t="array" ref="AA279">IFERROR(INDEX(CRV!BV:BV, MATCH(B279, CRV!A:A, 0)), "")</f>
        <v/>
      </c>
      <c r="AB279" s="28"/>
      <c r="AC279" s="28"/>
      <c r="AD279" s="28"/>
      <c r="AE279" s="28"/>
    </row>
    <row r="280" ht="12.0" customHeight="1">
      <c r="A280" s="30" t="s">
        <v>334</v>
      </c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4"/>
      <c r="W280" s="24">
        <f t="shared" si="1"/>
        <v>3</v>
      </c>
      <c r="X280" s="24">
        <f>IFERROR(__xludf.DUMMYFUNCTION("IFERROR(VALUE(REGEXEXTRACT(A280,""\b(\d+)/\d+\b"")),"""")"),2.0)</f>
        <v>2</v>
      </c>
      <c r="Y280" s="24">
        <f>IFERROR(__xludf.DUMMYFUNCTION("IFERROR(
  VALUE(REGEXEXTRACT(A280,""\b\d+/(\d+)\b"")),
  """"
)
"),1.0)</f>
        <v>1</v>
      </c>
      <c r="Z280" s="24" t="str">
        <f t="array" ref="Z280">IFERROR(INDEX(CRV!BU:BU, MATCH(B280, CRV!A:A, 0)), "")</f>
        <v/>
      </c>
      <c r="AA280" s="24" t="str">
        <f t="array" ref="AA280">IFERROR(INDEX(CRV!BV:BV, MATCH(B280, CRV!A:A, 0)), "")</f>
        <v/>
      </c>
      <c r="AB280" s="28"/>
      <c r="AC280" s="28"/>
      <c r="AD280" s="28"/>
      <c r="AE280" s="28"/>
    </row>
    <row r="281" ht="12.0" customHeight="1">
      <c r="A281" s="30" t="s">
        <v>335</v>
      </c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4"/>
      <c r="W281" s="24">
        <f t="shared" si="1"/>
        <v>3</v>
      </c>
      <c r="X281" s="24">
        <f>IFERROR(__xludf.DUMMYFUNCTION("IFERROR(VALUE(REGEXEXTRACT(A281,""\b(\d+)/\d+\b"")),"""")"),2.0)</f>
        <v>2</v>
      </c>
      <c r="Y281" s="24">
        <f>IFERROR(__xludf.DUMMYFUNCTION("IFERROR(
  VALUE(REGEXEXTRACT(A281,""\b\d+/(\d+)\b"")),
  """"
)
"),1.0)</f>
        <v>1</v>
      </c>
      <c r="Z281" s="24" t="str">
        <f t="array" ref="Z281">IFERROR(INDEX(CRV!BU:BU, MATCH(B281, CRV!A:A, 0)), "")</f>
        <v/>
      </c>
      <c r="AA281" s="24" t="str">
        <f t="array" ref="AA281">IFERROR(INDEX(CRV!BV:BV, MATCH(B281, CRV!A:A, 0)), "")</f>
        <v/>
      </c>
      <c r="AB281" s="28"/>
      <c r="AC281" s="28"/>
      <c r="AD281" s="28"/>
      <c r="AE281" s="28"/>
    </row>
    <row r="282" ht="12.0" customHeight="1">
      <c r="A282" s="30" t="s">
        <v>336</v>
      </c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4"/>
      <c r="W282" s="24">
        <f t="shared" si="1"/>
        <v>3</v>
      </c>
      <c r="X282" s="24">
        <f>IFERROR(__xludf.DUMMYFUNCTION("IFERROR(VALUE(REGEXEXTRACT(A282,""\b(\d+)/\d+\b"")),"""")"),2.0)</f>
        <v>2</v>
      </c>
      <c r="Y282" s="24">
        <f>IFERROR(__xludf.DUMMYFUNCTION("IFERROR(
  VALUE(REGEXEXTRACT(A282,""\b\d+/(\d+)\b"")),
  """"
)
"),1.0)</f>
        <v>1</v>
      </c>
      <c r="Z282" s="24" t="str">
        <f t="array" ref="Z282">IFERROR(INDEX(CRV!BU:BU, MATCH(B282, CRV!A:A, 0)), "")</f>
        <v/>
      </c>
      <c r="AA282" s="24" t="str">
        <f t="array" ref="AA282">IFERROR(INDEX(CRV!BV:BV, MATCH(B282, CRV!A:A, 0)), "")</f>
        <v/>
      </c>
      <c r="AB282" s="28"/>
      <c r="AC282" s="28"/>
      <c r="AD282" s="28"/>
      <c r="AE282" s="28"/>
    </row>
    <row r="283" ht="12.0" customHeight="1">
      <c r="A283" s="30" t="s">
        <v>337</v>
      </c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>
        <f t="shared" si="1"/>
        <v>3</v>
      </c>
      <c r="X283" s="24">
        <f>IFERROR(__xludf.DUMMYFUNCTION("IFERROR(VALUE(REGEXEXTRACT(A283,""\b(\d+)/\d+\b"")),"""")"),2.0)</f>
        <v>2</v>
      </c>
      <c r="Y283" s="24">
        <f>IFERROR(__xludf.DUMMYFUNCTION("IFERROR(
  VALUE(REGEXEXTRACT(A283,""\b\d+/(\d+)\b"")),
  """"
)
"),1.0)</f>
        <v>1</v>
      </c>
      <c r="Z283" s="24" t="str">
        <f t="array" ref="Z283">IFERROR(INDEX(CRV!BU:BU, MATCH(B283, CRV!A:A, 0)), "")</f>
        <v/>
      </c>
      <c r="AA283" s="24" t="str">
        <f t="array" ref="AA283">IFERROR(INDEX(CRV!BV:BV, MATCH(B283, CRV!A:A, 0)), "")</f>
        <v/>
      </c>
      <c r="AB283" s="24"/>
      <c r="AC283" s="24"/>
      <c r="AD283" s="24"/>
      <c r="AE283" s="24"/>
    </row>
    <row r="284" ht="12.0" customHeight="1">
      <c r="A284" s="30" t="s">
        <v>338</v>
      </c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>
        <f t="shared" si="1"/>
        <v>3</v>
      </c>
      <c r="X284" s="24">
        <f>IFERROR(__xludf.DUMMYFUNCTION("IFERROR(VALUE(REGEXEXTRACT(A284,""\b(\d+)/\d+\b"")),"""")"),2.0)</f>
        <v>2</v>
      </c>
      <c r="Y284" s="24">
        <f>IFERROR(__xludf.DUMMYFUNCTION("IFERROR(
  VALUE(REGEXEXTRACT(A284,""\b\d+/(\d+)\b"")),
  """"
)
"),1.0)</f>
        <v>1</v>
      </c>
      <c r="Z284" s="24" t="str">
        <f t="array" ref="Z284">IFERROR(INDEX(CRV!BU:BU, MATCH(B284, CRV!A:A, 0)), "")</f>
        <v/>
      </c>
      <c r="AA284" s="24" t="str">
        <f t="array" ref="AA284">IFERROR(INDEX(CRV!BV:BV, MATCH(B284, CRV!A:A, 0)), "")</f>
        <v/>
      </c>
      <c r="AB284" s="24"/>
      <c r="AC284" s="24"/>
      <c r="AD284" s="24"/>
      <c r="AE284" s="24"/>
    </row>
    <row r="285" ht="12.0" customHeight="1">
      <c r="A285" s="30" t="s">
        <v>339</v>
      </c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>
        <f t="shared" si="1"/>
        <v>3</v>
      </c>
      <c r="X285" s="24">
        <f>IFERROR(__xludf.DUMMYFUNCTION("IFERROR(VALUE(REGEXEXTRACT(A285,""\b(\d+)/\d+\b"")),"""")"),2.0)</f>
        <v>2</v>
      </c>
      <c r="Y285" s="24">
        <f>IFERROR(__xludf.DUMMYFUNCTION("IFERROR(
  VALUE(REGEXEXTRACT(A285,""\b\d+/(\d+)\b"")),
  """"
)
"),1.0)</f>
        <v>1</v>
      </c>
      <c r="Z285" s="24" t="str">
        <f t="array" ref="Z285">IFERROR(INDEX(CRV!BU:BU, MATCH(B285, CRV!A:A, 0)), "")</f>
        <v/>
      </c>
      <c r="AA285" s="24" t="str">
        <f t="array" ref="AA285">IFERROR(INDEX(CRV!BV:BV, MATCH(B285, CRV!A:A, 0)), "")</f>
        <v/>
      </c>
      <c r="AB285" s="24"/>
      <c r="AC285" s="24"/>
      <c r="AD285" s="24"/>
      <c r="AE285" s="24"/>
    </row>
    <row r="286" ht="12.0" customHeight="1">
      <c r="A286" s="30" t="s">
        <v>340</v>
      </c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4"/>
      <c r="W286" s="24">
        <f t="shared" si="1"/>
        <v>3</v>
      </c>
      <c r="X286" s="24">
        <f>IFERROR(__xludf.DUMMYFUNCTION("IFERROR(VALUE(REGEXEXTRACT(A286,""\b(\d+)/\d+\b"")),"""")"),2.0)</f>
        <v>2</v>
      </c>
      <c r="Y286" s="24">
        <f>IFERROR(__xludf.DUMMYFUNCTION("IFERROR(
  VALUE(REGEXEXTRACT(A286,""\b\d+/(\d+)\b"")),
  """"
)
"),1.0)</f>
        <v>1</v>
      </c>
      <c r="Z286" s="24" t="str">
        <f t="array" ref="Z286">IFERROR(INDEX(CRV!BU:BU, MATCH(B286, CRV!A:A, 0)), "")</f>
        <v/>
      </c>
      <c r="AA286" s="24" t="str">
        <f t="array" ref="AA286">IFERROR(INDEX(CRV!BV:BV, MATCH(B286, CRV!A:A, 0)), "")</f>
        <v/>
      </c>
      <c r="AB286" s="28"/>
      <c r="AC286" s="28"/>
      <c r="AD286" s="28"/>
      <c r="AE286" s="28"/>
    </row>
    <row r="287" ht="12.0" customHeight="1">
      <c r="A287" s="30" t="s">
        <v>341</v>
      </c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4"/>
      <c r="W287" s="24">
        <f t="shared" si="1"/>
        <v>3</v>
      </c>
      <c r="X287" s="24">
        <f>IFERROR(__xludf.DUMMYFUNCTION("IFERROR(VALUE(REGEXEXTRACT(A287,""\b(\d+)/\d+\b"")),"""")"),2.0)</f>
        <v>2</v>
      </c>
      <c r="Y287" s="24">
        <f>IFERROR(__xludf.DUMMYFUNCTION("IFERROR(
  VALUE(REGEXEXTRACT(A287,""\b\d+/(\d+)\b"")),
  """"
)
"),1.0)</f>
        <v>1</v>
      </c>
      <c r="Z287" s="24" t="str">
        <f t="array" ref="Z287">IFERROR(INDEX(CRV!BU:BU, MATCH(B287, CRV!A:A, 0)), "")</f>
        <v/>
      </c>
      <c r="AA287" s="24" t="str">
        <f t="array" ref="AA287">IFERROR(INDEX(CRV!BV:BV, MATCH(B287, CRV!A:A, 0)), "")</f>
        <v/>
      </c>
      <c r="AB287" s="28"/>
      <c r="AC287" s="28"/>
      <c r="AD287" s="28"/>
      <c r="AE287" s="28"/>
    </row>
    <row r="288" ht="12.0" customHeight="1">
      <c r="A288" s="30" t="s">
        <v>342</v>
      </c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4"/>
      <c r="W288" s="24">
        <f t="shared" si="1"/>
        <v>3</v>
      </c>
      <c r="X288" s="24">
        <f>IFERROR(__xludf.DUMMYFUNCTION("IFERROR(VALUE(REGEXEXTRACT(A288,""\b(\d+)/\d+\b"")),"""")"),2.0)</f>
        <v>2</v>
      </c>
      <c r="Y288" s="24">
        <f>IFERROR(__xludf.DUMMYFUNCTION("IFERROR(
  VALUE(REGEXEXTRACT(A288,""\b\d+/(\d+)\b"")),
  """"
)
"),1.0)</f>
        <v>1</v>
      </c>
      <c r="Z288" s="24" t="str">
        <f t="array" ref="Z288">IFERROR(INDEX(CRV!BU:BU, MATCH(B288, CRV!A:A, 0)), "")</f>
        <v/>
      </c>
      <c r="AA288" s="24" t="str">
        <f t="array" ref="AA288">IFERROR(INDEX(CRV!BV:BV, MATCH(B288, CRV!A:A, 0)), "")</f>
        <v/>
      </c>
      <c r="AB288" s="28"/>
      <c r="AC288" s="28"/>
      <c r="AD288" s="28"/>
      <c r="AE288" s="28"/>
    </row>
    <row r="289" ht="12.0" customHeight="1">
      <c r="A289" s="30" t="s">
        <v>343</v>
      </c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4"/>
      <c r="W289" s="24">
        <f t="shared" si="1"/>
        <v>3</v>
      </c>
      <c r="X289" s="24">
        <f>IFERROR(__xludf.DUMMYFUNCTION("IFERROR(VALUE(REGEXEXTRACT(A289,""\b(\d+)/\d+\b"")),"""")"),2.0)</f>
        <v>2</v>
      </c>
      <c r="Y289" s="24">
        <f>IFERROR(__xludf.DUMMYFUNCTION("IFERROR(
  VALUE(REGEXEXTRACT(A289,""\b\d+/(\d+)\b"")),
  """"
)
"),1.0)</f>
        <v>1</v>
      </c>
      <c r="Z289" s="24" t="str">
        <f t="array" ref="Z289">IFERROR(INDEX(CRV!BU:BU, MATCH(B289, CRV!A:A, 0)), "")</f>
        <v/>
      </c>
      <c r="AA289" s="24" t="str">
        <f t="array" ref="AA289">IFERROR(INDEX(CRV!BV:BV, MATCH(B289, CRV!A:A, 0)), "")</f>
        <v/>
      </c>
      <c r="AB289" s="28"/>
      <c r="AC289" s="28"/>
      <c r="AD289" s="28"/>
      <c r="AE289" s="28"/>
    </row>
    <row r="290" ht="12.0" customHeight="1">
      <c r="A290" s="30" t="s">
        <v>344</v>
      </c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4"/>
      <c r="W290" s="24">
        <f t="shared" si="1"/>
        <v>3</v>
      </c>
      <c r="X290" s="24">
        <f>IFERROR(__xludf.DUMMYFUNCTION("IFERROR(VALUE(REGEXEXTRACT(A290,""\b(\d+)/\d+\b"")),"""")"),2.0)</f>
        <v>2</v>
      </c>
      <c r="Y290" s="24">
        <f>IFERROR(__xludf.DUMMYFUNCTION("IFERROR(
  VALUE(REGEXEXTRACT(A290,""\b\d+/(\d+)\b"")),
  """"
)
"),1.0)</f>
        <v>1</v>
      </c>
      <c r="Z290" s="24" t="str">
        <f t="array" ref="Z290">IFERROR(INDEX(CRV!BU:BU, MATCH(B290, CRV!A:A, 0)), "")</f>
        <v/>
      </c>
      <c r="AA290" s="24" t="str">
        <f t="array" ref="AA290">IFERROR(INDEX(CRV!BV:BV, MATCH(B290, CRV!A:A, 0)), "")</f>
        <v/>
      </c>
      <c r="AB290" s="28"/>
      <c r="AC290" s="28"/>
      <c r="AD290" s="28"/>
      <c r="AE290" s="28"/>
    </row>
    <row r="291" ht="12.0" customHeight="1">
      <c r="A291" s="30" t="s">
        <v>345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4"/>
      <c r="W291" s="24">
        <f t="shared" si="1"/>
        <v>3</v>
      </c>
      <c r="X291" s="24">
        <f>IFERROR(__xludf.DUMMYFUNCTION("IFERROR(VALUE(REGEXEXTRACT(A291,""\b(\d+)/\d+\b"")),"""")"),2.0)</f>
        <v>2</v>
      </c>
      <c r="Y291" s="24">
        <f>IFERROR(__xludf.DUMMYFUNCTION("IFERROR(
  VALUE(REGEXEXTRACT(A291,""\b\d+/(\d+)\b"")),
  """"
)
"),1.0)</f>
        <v>1</v>
      </c>
      <c r="Z291" s="24" t="str">
        <f t="array" ref="Z291">IFERROR(INDEX(CRV!BU:BU, MATCH(B291, CRV!A:A, 0)), "")</f>
        <v/>
      </c>
      <c r="AA291" s="24" t="str">
        <f t="array" ref="AA291">IFERROR(INDEX(CRV!BV:BV, MATCH(B291, CRV!A:A, 0)), "")</f>
        <v/>
      </c>
      <c r="AB291" s="28"/>
      <c r="AC291" s="28"/>
      <c r="AD291" s="28"/>
      <c r="AE291" s="28"/>
    </row>
    <row r="292" ht="12.0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4"/>
      <c r="W292" s="24" t="str">
        <f t="shared" si="1"/>
        <v/>
      </c>
      <c r="X292" s="24" t="str">
        <f>IFERROR(__xludf.DUMMYFUNCTION("IFERROR(VALUE(REGEXEXTRACT(A292,""\b(\d+)/\d+\b"")),"""")"),"")</f>
        <v/>
      </c>
      <c r="Y292" s="24" t="str">
        <f>IFERROR(__xludf.DUMMYFUNCTION("IFERROR(
  VALUE(REGEXEXTRACT(A292,""\b\d+/(\d+)\b"")),
  """"
)
"),"")</f>
        <v/>
      </c>
      <c r="Z292" s="24" t="str">
        <f t="array" ref="Z292">IFERROR(INDEX(CRV!BU:BU, MATCH(B292, CRV!A:A, 0)), "")</f>
        <v/>
      </c>
      <c r="AA292" s="24" t="str">
        <f t="array" ref="AA292">IFERROR(INDEX(CRV!BV:BV, MATCH(B292, CRV!A:A, 0)), "")</f>
        <v/>
      </c>
      <c r="AB292" s="28"/>
      <c r="AC292" s="28"/>
      <c r="AD292" s="28"/>
      <c r="AE292" s="28"/>
    </row>
    <row r="293" ht="12.0" customHeight="1">
      <c r="A293" s="30" t="s">
        <v>346</v>
      </c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>
        <f t="shared" si="1"/>
        <v>3</v>
      </c>
      <c r="X293" s="24">
        <f>IFERROR(__xludf.DUMMYFUNCTION("IFERROR(VALUE(REGEXEXTRACT(A293,""\b(\d+)/\d+\b"")),"""")"),2.0)</f>
        <v>2</v>
      </c>
      <c r="Y293" s="24">
        <f>IFERROR(__xludf.DUMMYFUNCTION("IFERROR(
  VALUE(REGEXEXTRACT(A293,""\b\d+/(\d+)\b"")),
  """"
)
"),1.0)</f>
        <v>1</v>
      </c>
      <c r="Z293" s="24" t="str">
        <f t="array" ref="Z293">IFERROR(INDEX(CRV!BU:BU, MATCH(B293, CRV!A:A, 0)), "")</f>
        <v/>
      </c>
      <c r="AA293" s="24" t="str">
        <f t="array" ref="AA293">IFERROR(INDEX(CRV!BV:BV, MATCH(B293, CRV!A:A, 0)), "")</f>
        <v/>
      </c>
      <c r="AB293" s="24"/>
      <c r="AC293" s="24"/>
      <c r="AD293" s="24"/>
      <c r="AE293" s="24"/>
    </row>
    <row r="294" ht="12.0" customHeight="1">
      <c r="A294" s="30" t="s">
        <v>347</v>
      </c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>
        <f t="shared" si="1"/>
        <v>3</v>
      </c>
      <c r="X294" s="24">
        <f>IFERROR(__xludf.DUMMYFUNCTION("IFERROR(VALUE(REGEXEXTRACT(A294,""\b(\d+)/\d+\b"")),"""")"),2.0)</f>
        <v>2</v>
      </c>
      <c r="Y294" s="24">
        <f>IFERROR(__xludf.DUMMYFUNCTION("IFERROR(
  VALUE(REGEXEXTRACT(A294,""\b\d+/(\d+)\b"")),
  """"
)
"),1.0)</f>
        <v>1</v>
      </c>
      <c r="Z294" s="24" t="str">
        <f t="array" ref="Z294">IFERROR(INDEX(CRV!BU:BU, MATCH(B294, CRV!A:A, 0)), "")</f>
        <v/>
      </c>
      <c r="AA294" s="24" t="str">
        <f t="array" ref="AA294">IFERROR(INDEX(CRV!BV:BV, MATCH(B294, CRV!A:A, 0)), "")</f>
        <v/>
      </c>
      <c r="AB294" s="24"/>
      <c r="AC294" s="24"/>
      <c r="AD294" s="24"/>
      <c r="AE294" s="24"/>
    </row>
    <row r="295" ht="12.0" customHeight="1">
      <c r="A295" s="30" t="s">
        <v>348</v>
      </c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>
        <f t="shared" si="1"/>
        <v>3</v>
      </c>
      <c r="X295" s="24">
        <f>IFERROR(__xludf.DUMMYFUNCTION("IFERROR(VALUE(REGEXEXTRACT(A295,""\b(\d+)/\d+\b"")),"""")"),2.0)</f>
        <v>2</v>
      </c>
      <c r="Y295" s="24">
        <f>IFERROR(__xludf.DUMMYFUNCTION("IFERROR(
  VALUE(REGEXEXTRACT(A295,""\b\d+/(\d+)\b"")),
  """"
)
"),1.0)</f>
        <v>1</v>
      </c>
      <c r="Z295" s="24" t="str">
        <f t="array" ref="Z295">IFERROR(INDEX(CRV!BU:BU, MATCH(B295, CRV!A:A, 0)), "")</f>
        <v/>
      </c>
      <c r="AA295" s="24" t="str">
        <f t="array" ref="AA295">IFERROR(INDEX(CRV!BV:BV, MATCH(B295, CRV!A:A, 0)), "")</f>
        <v/>
      </c>
      <c r="AB295" s="24"/>
      <c r="AC295" s="24"/>
      <c r="AD295" s="24"/>
      <c r="AE295" s="24"/>
    </row>
    <row r="296" ht="12.0" customHeight="1">
      <c r="A296" s="30" t="s">
        <v>349</v>
      </c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>
        <f t="shared" si="1"/>
        <v>3</v>
      </c>
      <c r="X296" s="24">
        <f>IFERROR(__xludf.DUMMYFUNCTION("IFERROR(VALUE(REGEXEXTRACT(A296,""\b(\d+)/\d+\b"")),"""")"),2.0)</f>
        <v>2</v>
      </c>
      <c r="Y296" s="24">
        <f>IFERROR(__xludf.DUMMYFUNCTION("IFERROR(
  VALUE(REGEXEXTRACT(A296,""\b\d+/(\d+)\b"")),
  """"
)
"),1.0)</f>
        <v>1</v>
      </c>
      <c r="Z296" s="24" t="str">
        <f t="array" ref="Z296">IFERROR(INDEX(CRV!BU:BU, MATCH(B296, CRV!A:A, 0)), "")</f>
        <v/>
      </c>
      <c r="AA296" s="24" t="str">
        <f t="array" ref="AA296">IFERROR(INDEX(CRV!BV:BV, MATCH(B296, CRV!A:A, 0)), "")</f>
        <v/>
      </c>
      <c r="AB296" s="24"/>
      <c r="AC296" s="24"/>
      <c r="AD296" s="24"/>
      <c r="AE296" s="24"/>
    </row>
    <row r="297" ht="12.0" customHeight="1">
      <c r="A297" s="30" t="s">
        <v>350</v>
      </c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>
        <f t="shared" si="1"/>
        <v>3</v>
      </c>
      <c r="X297" s="24">
        <f>IFERROR(__xludf.DUMMYFUNCTION("IFERROR(VALUE(REGEXEXTRACT(A297,""\b(\d+)/\d+\b"")),"""")"),2.0)</f>
        <v>2</v>
      </c>
      <c r="Y297" s="24">
        <f>IFERROR(__xludf.DUMMYFUNCTION("IFERROR(
  VALUE(REGEXEXTRACT(A297,""\b\d+/(\d+)\b"")),
  """"
)
"),1.0)</f>
        <v>1</v>
      </c>
      <c r="Z297" s="24" t="str">
        <f t="array" ref="Z297">IFERROR(INDEX(CRV!BU:BU, MATCH(B297, CRV!A:A, 0)), "")</f>
        <v/>
      </c>
      <c r="AA297" s="24" t="str">
        <f t="array" ref="AA297">IFERROR(INDEX(CRV!BV:BV, MATCH(B297, CRV!A:A, 0)), "")</f>
        <v/>
      </c>
      <c r="AB297" s="24"/>
      <c r="AC297" s="24"/>
      <c r="AD297" s="24"/>
      <c r="AE297" s="24"/>
    </row>
    <row r="298" ht="12.0" customHeight="1">
      <c r="A298" s="30" t="s">
        <v>351</v>
      </c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4"/>
      <c r="W298" s="24">
        <f t="shared" si="1"/>
        <v>3</v>
      </c>
      <c r="X298" s="24">
        <f>IFERROR(__xludf.DUMMYFUNCTION("IFERROR(VALUE(REGEXEXTRACT(A298,""\b(\d+)/\d+\b"")),"""")"),2.0)</f>
        <v>2</v>
      </c>
      <c r="Y298" s="24">
        <f>IFERROR(__xludf.DUMMYFUNCTION("IFERROR(
  VALUE(REGEXEXTRACT(A298,""\b\d+/(\d+)\b"")),
  """"
)
"),1.0)</f>
        <v>1</v>
      </c>
      <c r="Z298" s="24" t="str">
        <f t="array" ref="Z298">IFERROR(INDEX(CRV!BU:BU, MATCH(B298, CRV!A:A, 0)), "")</f>
        <v/>
      </c>
      <c r="AA298" s="24" t="str">
        <f t="array" ref="AA298">IFERROR(INDEX(CRV!BV:BV, MATCH(B298, CRV!A:A, 0)), "")</f>
        <v/>
      </c>
      <c r="AB298" s="28"/>
      <c r="AC298" s="28"/>
      <c r="AD298" s="28"/>
      <c r="AE298" s="28"/>
    </row>
    <row r="299" ht="12.0" customHeight="1">
      <c r="A299" s="30" t="s">
        <v>352</v>
      </c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4"/>
      <c r="W299" s="24">
        <f t="shared" si="1"/>
        <v>3</v>
      </c>
      <c r="X299" s="24">
        <f>IFERROR(__xludf.DUMMYFUNCTION("IFERROR(VALUE(REGEXEXTRACT(A299,""\b(\d+)/\d+\b"")),"""")"),2.0)</f>
        <v>2</v>
      </c>
      <c r="Y299" s="24">
        <f>IFERROR(__xludf.DUMMYFUNCTION("IFERROR(
  VALUE(REGEXEXTRACT(A299,""\b\d+/(\d+)\b"")),
  """"
)
"),1.0)</f>
        <v>1</v>
      </c>
      <c r="Z299" s="24" t="str">
        <f t="array" ref="Z299">IFERROR(INDEX(CRV!BU:BU, MATCH(B299, CRV!A:A, 0)), "")</f>
        <v/>
      </c>
      <c r="AA299" s="24" t="str">
        <f t="array" ref="AA299">IFERROR(INDEX(CRV!BV:BV, MATCH(B299, CRV!A:A, 0)), "")</f>
        <v/>
      </c>
      <c r="AB299" s="28"/>
      <c r="AC299" s="28"/>
      <c r="AD299" s="28"/>
      <c r="AE299" s="28"/>
    </row>
    <row r="300" ht="12.0" customHeight="1">
      <c r="A300" s="30" t="s">
        <v>353</v>
      </c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4"/>
      <c r="W300" s="24">
        <f t="shared" si="1"/>
        <v>3</v>
      </c>
      <c r="X300" s="24">
        <f>IFERROR(__xludf.DUMMYFUNCTION("IFERROR(VALUE(REGEXEXTRACT(A300,""\b(\d+)/\d+\b"")),"""")"),2.0)</f>
        <v>2</v>
      </c>
      <c r="Y300" s="24">
        <f>IFERROR(__xludf.DUMMYFUNCTION("IFERROR(
  VALUE(REGEXEXTRACT(A300,""\b\d+/(\d+)\b"")),
  """"
)
"),1.0)</f>
        <v>1</v>
      </c>
      <c r="Z300" s="24" t="str">
        <f t="array" ref="Z300">IFERROR(INDEX(CRV!BU:BU, MATCH(B300, CRV!A:A, 0)), "")</f>
        <v/>
      </c>
      <c r="AA300" s="24" t="str">
        <f t="array" ref="AA300">IFERROR(INDEX(CRV!BV:BV, MATCH(B300, CRV!A:A, 0)), "")</f>
        <v/>
      </c>
      <c r="AB300" s="28"/>
      <c r="AC300" s="28"/>
      <c r="AD300" s="28"/>
      <c r="AE300" s="28"/>
    </row>
    <row r="301" ht="12.0" customHeight="1">
      <c r="A301" s="30" t="s">
        <v>354</v>
      </c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4"/>
      <c r="W301" s="24">
        <f t="shared" si="1"/>
        <v>3</v>
      </c>
      <c r="X301" s="24">
        <f>IFERROR(__xludf.DUMMYFUNCTION("IFERROR(VALUE(REGEXEXTRACT(A301,""\b(\d+)/\d+\b"")),"""")"),2.0)</f>
        <v>2</v>
      </c>
      <c r="Y301" s="24">
        <f>IFERROR(__xludf.DUMMYFUNCTION("IFERROR(
  VALUE(REGEXEXTRACT(A301,""\b\d+/(\d+)\b"")),
  """"
)
"),1.0)</f>
        <v>1</v>
      </c>
      <c r="Z301" s="24" t="str">
        <f t="array" ref="Z301">IFERROR(INDEX(CRV!BU:BU, MATCH(B301, CRV!A:A, 0)), "")</f>
        <v/>
      </c>
      <c r="AA301" s="24" t="str">
        <f t="array" ref="AA301">IFERROR(INDEX(CRV!BV:BV, MATCH(B301, CRV!A:A, 0)), "")</f>
        <v/>
      </c>
      <c r="AB301" s="28"/>
      <c r="AC301" s="28"/>
      <c r="AD301" s="28"/>
      <c r="AE301" s="28"/>
    </row>
    <row r="302" ht="12.0" customHeight="1">
      <c r="A302" s="30" t="s">
        <v>355</v>
      </c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4"/>
      <c r="W302" s="24">
        <f t="shared" si="1"/>
        <v>3</v>
      </c>
      <c r="X302" s="24">
        <f>IFERROR(__xludf.DUMMYFUNCTION("IFERROR(VALUE(REGEXEXTRACT(A302,""\b(\d+)/\d+\b"")),"""")"),2.0)</f>
        <v>2</v>
      </c>
      <c r="Y302" s="24">
        <f>IFERROR(__xludf.DUMMYFUNCTION("IFERROR(
  VALUE(REGEXEXTRACT(A302,""\b\d+/(\d+)\b"")),
  """"
)
"),1.0)</f>
        <v>1</v>
      </c>
      <c r="Z302" s="24" t="str">
        <f t="array" ref="Z302">IFERROR(INDEX(CRV!BU:BU, MATCH(B302, CRV!A:A, 0)), "")</f>
        <v/>
      </c>
      <c r="AA302" s="24" t="str">
        <f t="array" ref="AA302">IFERROR(INDEX(CRV!BV:BV, MATCH(B302, CRV!A:A, 0)), "")</f>
        <v/>
      </c>
      <c r="AB302" s="28"/>
      <c r="AC302" s="28"/>
      <c r="AD302" s="28"/>
      <c r="AE302" s="28"/>
    </row>
    <row r="303" ht="12.0" customHeight="1">
      <c r="A303" s="30" t="s">
        <v>356</v>
      </c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4"/>
      <c r="W303" s="24">
        <f t="shared" si="1"/>
        <v>3</v>
      </c>
      <c r="X303" s="24">
        <f>IFERROR(__xludf.DUMMYFUNCTION("IFERROR(VALUE(REGEXEXTRACT(A303,""\b(\d+)/\d+\b"")),"""")"),2.0)</f>
        <v>2</v>
      </c>
      <c r="Y303" s="24">
        <f>IFERROR(__xludf.DUMMYFUNCTION("IFERROR(
  VALUE(REGEXEXTRACT(A303,""\b\d+/(\d+)\b"")),
  """"
)
"),1.0)</f>
        <v>1</v>
      </c>
      <c r="Z303" s="24" t="str">
        <f t="array" ref="Z303">IFERROR(INDEX(CRV!BU:BU, MATCH(B303, CRV!A:A, 0)), "")</f>
        <v/>
      </c>
      <c r="AA303" s="24" t="str">
        <f t="array" ref="AA303">IFERROR(INDEX(CRV!BV:BV, MATCH(B303, CRV!A:A, 0)), "")</f>
        <v/>
      </c>
      <c r="AB303" s="28"/>
      <c r="AC303" s="28"/>
      <c r="AD303" s="28"/>
      <c r="AE303" s="28"/>
    </row>
    <row r="304" ht="12.0" customHeight="1">
      <c r="A304" s="30" t="s">
        <v>357</v>
      </c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4"/>
      <c r="W304" s="24">
        <f t="shared" si="1"/>
        <v>3</v>
      </c>
      <c r="X304" s="24">
        <f>IFERROR(__xludf.DUMMYFUNCTION("IFERROR(VALUE(REGEXEXTRACT(A304,""\b(\d+)/\d+\b"")),"""")"),2.0)</f>
        <v>2</v>
      </c>
      <c r="Y304" s="24">
        <f>IFERROR(__xludf.DUMMYFUNCTION("IFERROR(
  VALUE(REGEXEXTRACT(A304,""\b\d+/(\d+)\b"")),
  """"
)
"),1.0)</f>
        <v>1</v>
      </c>
      <c r="Z304" s="24" t="str">
        <f t="array" ref="Z304">IFERROR(INDEX(CRV!BU:BU, MATCH(B304, CRV!A:A, 0)), "")</f>
        <v/>
      </c>
      <c r="AA304" s="24" t="str">
        <f t="array" ref="AA304">IFERROR(INDEX(CRV!BV:BV, MATCH(B304, CRV!A:A, 0)), "")</f>
        <v/>
      </c>
      <c r="AB304" s="28"/>
      <c r="AC304" s="28"/>
      <c r="AD304" s="28"/>
      <c r="AE304" s="28"/>
    </row>
    <row r="305" ht="12.0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4"/>
      <c r="W305" s="24" t="str">
        <f t="shared" si="1"/>
        <v/>
      </c>
      <c r="X305" s="24" t="str">
        <f>IFERROR(__xludf.DUMMYFUNCTION("IFERROR(VALUE(REGEXEXTRACT(A305,""\b(\d+)/\d+\b"")),"""")"),"")</f>
        <v/>
      </c>
      <c r="Y305" s="24" t="str">
        <f>IFERROR(__xludf.DUMMYFUNCTION("IFERROR(
  VALUE(REGEXEXTRACT(A305,""\b\d+/(\d+)\b"")),
  """"
)
"),"")</f>
        <v/>
      </c>
      <c r="Z305" s="24" t="str">
        <f t="array" ref="Z305">IFERROR(INDEX(CRV!BU:BU, MATCH(B305, CRV!A:A, 0)), "")</f>
        <v/>
      </c>
      <c r="AA305" s="24" t="str">
        <f t="array" ref="AA305">IFERROR(INDEX(CRV!BV:BV, MATCH(B305, CRV!A:A, 0)), "")</f>
        <v/>
      </c>
      <c r="AB305" s="28"/>
      <c r="AC305" s="28"/>
      <c r="AD305" s="28"/>
      <c r="AE305" s="28"/>
    </row>
    <row r="306" ht="12.0" customHeight="1">
      <c r="A306" s="30" t="s">
        <v>358</v>
      </c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4"/>
      <c r="W306" s="24">
        <f t="shared" si="1"/>
        <v>3</v>
      </c>
      <c r="X306" s="24">
        <f>IFERROR(__xludf.DUMMYFUNCTION("IFERROR(VALUE(REGEXEXTRACT(A306,""\b(\d+)/\d+\b"")),"""")"),2.0)</f>
        <v>2</v>
      </c>
      <c r="Y306" s="24">
        <f>IFERROR(__xludf.DUMMYFUNCTION("IFERROR(
  VALUE(REGEXEXTRACT(A306,""\b\d+/(\d+)\b"")),
  """"
)
"),1.0)</f>
        <v>1</v>
      </c>
      <c r="Z306" s="24" t="str">
        <f t="array" ref="Z306">IFERROR(INDEX(CRV!BU:BU, MATCH(B306, CRV!A:A, 0)), "")</f>
        <v/>
      </c>
      <c r="AA306" s="24" t="str">
        <f t="array" ref="AA306">IFERROR(INDEX(CRV!BV:BV, MATCH(B306, CRV!A:A, 0)), "")</f>
        <v/>
      </c>
      <c r="AB306" s="28"/>
      <c r="AC306" s="28"/>
      <c r="AD306" s="28"/>
      <c r="AE306" s="28"/>
    </row>
    <row r="307" ht="12.0" customHeight="1">
      <c r="A307" s="30" t="s">
        <v>359</v>
      </c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4"/>
      <c r="W307" s="24">
        <f t="shared" si="1"/>
        <v>3</v>
      </c>
      <c r="X307" s="24">
        <f>IFERROR(__xludf.DUMMYFUNCTION("IFERROR(VALUE(REGEXEXTRACT(A307,""\b(\d+)/\d+\b"")),"""")"),2.0)</f>
        <v>2</v>
      </c>
      <c r="Y307" s="24">
        <f>IFERROR(__xludf.DUMMYFUNCTION("IFERROR(
  VALUE(REGEXEXTRACT(A307,""\b\d+/(\d+)\b"")),
  """"
)
"),1.0)</f>
        <v>1</v>
      </c>
      <c r="Z307" s="24" t="str">
        <f t="array" ref="Z307">IFERROR(INDEX(CRV!BU:BU, MATCH(B307, CRV!A:A, 0)), "")</f>
        <v/>
      </c>
      <c r="AA307" s="24" t="str">
        <f t="array" ref="AA307">IFERROR(INDEX(CRV!BV:BV, MATCH(B307, CRV!A:A, 0)), "")</f>
        <v/>
      </c>
      <c r="AB307" s="33"/>
      <c r="AC307" s="33"/>
      <c r="AD307" s="33"/>
      <c r="AE307" s="33"/>
    </row>
    <row r="308" ht="12.0" customHeight="1">
      <c r="A308" s="30" t="s">
        <v>360</v>
      </c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</row>
    <row r="309" ht="12.0" customHeight="1">
      <c r="A309" s="30" t="s">
        <v>361</v>
      </c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</row>
    <row r="310" ht="12.0" customHeight="1">
      <c r="A310" s="30" t="s">
        <v>362</v>
      </c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</row>
    <row r="311" ht="12.0" customHeight="1">
      <c r="A311" s="30" t="s">
        <v>363</v>
      </c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</row>
    <row r="312" ht="12.0" customHeight="1">
      <c r="A312" s="30" t="s">
        <v>364</v>
      </c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</row>
    <row r="313" ht="12.0" customHeight="1">
      <c r="A313" s="30" t="s">
        <v>365</v>
      </c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</row>
    <row r="314" ht="12.0" customHeight="1">
      <c r="A314" s="30" t="s">
        <v>366</v>
      </c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</row>
    <row r="315" ht="12.0" customHeight="1">
      <c r="A315" s="30" t="s">
        <v>367</v>
      </c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</row>
    <row r="316" ht="12.0" customHeight="1">
      <c r="A316" s="30" t="s">
        <v>368</v>
      </c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</row>
    <row r="317" ht="12.0" customHeight="1">
      <c r="A317" s="30" t="s">
        <v>369</v>
      </c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</row>
    <row r="318" ht="12.0" customHeight="1">
      <c r="A318" s="30" t="s">
        <v>370</v>
      </c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</row>
    <row r="319" ht="12.0" customHeight="1">
      <c r="A319" s="30" t="s">
        <v>371</v>
      </c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</row>
    <row r="320" ht="12.0" customHeight="1">
      <c r="A320" s="30" t="s">
        <v>372</v>
      </c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</row>
    <row r="321" ht="12.0" customHeight="1">
      <c r="A321" s="30" t="s">
        <v>373</v>
      </c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</row>
    <row r="322" ht="12.0" customHeight="1">
      <c r="A322" s="32" t="s">
        <v>374</v>
      </c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</row>
    <row r="323" ht="12.0" customHeight="1">
      <c r="A323" s="30" t="s">
        <v>375</v>
      </c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</row>
    <row r="324" ht="12.0" customHeight="1">
      <c r="A324" s="30" t="s">
        <v>376</v>
      </c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</row>
    <row r="325" ht="12.0" customHeight="1">
      <c r="A325" s="28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</row>
    <row r="326" ht="12.0" customHeight="1">
      <c r="A326" s="30" t="s">
        <v>377</v>
      </c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</row>
    <row r="327" ht="12.0" customHeight="1">
      <c r="A327" s="30" t="s">
        <v>378</v>
      </c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</row>
    <row r="328" ht="12.0" customHeight="1">
      <c r="A328" s="30" t="s">
        <v>379</v>
      </c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</row>
    <row r="329" ht="12.0" customHeight="1">
      <c r="A329" s="30" t="s">
        <v>380</v>
      </c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</row>
    <row r="330" ht="12.0" customHeight="1">
      <c r="A330" s="30" t="s">
        <v>381</v>
      </c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</row>
    <row r="331" ht="12.0" customHeight="1">
      <c r="A331" s="30" t="s">
        <v>382</v>
      </c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</row>
    <row r="332" ht="12.0" customHeight="1">
      <c r="A332" s="30" t="s">
        <v>383</v>
      </c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</row>
    <row r="333" ht="12.0" customHeight="1">
      <c r="A333" s="30" t="s">
        <v>384</v>
      </c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</row>
    <row r="334" ht="12.0" customHeight="1">
      <c r="A334" s="30" t="s">
        <v>385</v>
      </c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</row>
    <row r="335" ht="12.0" customHeight="1">
      <c r="A335" s="30" t="s">
        <v>386</v>
      </c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</row>
    <row r="336" ht="12.0" customHeight="1">
      <c r="A336" s="30" t="s">
        <v>387</v>
      </c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</row>
    <row r="337" ht="12.0" customHeight="1">
      <c r="A337" s="30" t="s">
        <v>388</v>
      </c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</row>
    <row r="338" ht="12.0" customHeight="1">
      <c r="A338" s="30" t="s">
        <v>389</v>
      </c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</row>
    <row r="339" ht="12.0" customHeight="1">
      <c r="A339" s="30" t="s">
        <v>390</v>
      </c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</row>
    <row r="340" ht="12.0" customHeight="1">
      <c r="A340" s="32" t="s">
        <v>391</v>
      </c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</row>
    <row r="341" ht="12.0" customHeight="1">
      <c r="A341" s="30" t="s">
        <v>392</v>
      </c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</row>
    <row r="342" ht="12.0" customHeight="1">
      <c r="A342" s="30" t="s">
        <v>393</v>
      </c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</row>
    <row r="343" ht="12.0" customHeight="1">
      <c r="A343" s="28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</row>
    <row r="344" ht="12.0" customHeight="1">
      <c r="A344" s="30" t="s">
        <v>394</v>
      </c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</row>
    <row r="345" ht="12.0" customHeight="1">
      <c r="A345" s="30" t="s">
        <v>395</v>
      </c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</row>
    <row r="346" ht="12.0" customHeight="1">
      <c r="A346" s="30" t="s">
        <v>396</v>
      </c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</row>
    <row r="347" ht="12.0" customHeight="1">
      <c r="A347" s="30" t="s">
        <v>397</v>
      </c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</row>
    <row r="348" ht="12.0" customHeight="1">
      <c r="A348" s="30" t="s">
        <v>398</v>
      </c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</row>
    <row r="349" ht="12.0" customHeight="1">
      <c r="A349" s="30" t="s">
        <v>399</v>
      </c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</row>
    <row r="350" ht="12.0" customHeight="1">
      <c r="A350" s="30" t="s">
        <v>400</v>
      </c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</row>
    <row r="351" ht="12.0" customHeight="1">
      <c r="A351" s="30" t="s">
        <v>401</v>
      </c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</row>
    <row r="352" ht="12.0" customHeight="1">
      <c r="A352" s="30" t="s">
        <v>402</v>
      </c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</row>
    <row r="353" ht="12.0" customHeight="1">
      <c r="A353" s="30" t="s">
        <v>403</v>
      </c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</row>
    <row r="354" ht="12.0" customHeight="1">
      <c r="A354" s="30" t="s">
        <v>404</v>
      </c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</row>
    <row r="355" ht="12.0" customHeight="1">
      <c r="A355" s="30" t="s">
        <v>405</v>
      </c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</row>
    <row r="356" ht="12.0" customHeight="1">
      <c r="A356" s="30" t="s">
        <v>406</v>
      </c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</row>
    <row r="357" ht="12.0" customHeight="1">
      <c r="A357" s="30" t="s">
        <v>407</v>
      </c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</row>
    <row r="358" ht="12.0" customHeight="1">
      <c r="A358" s="32" t="s">
        <v>408</v>
      </c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</row>
    <row r="359" ht="12.0" customHeight="1">
      <c r="A359" s="30" t="s">
        <v>409</v>
      </c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</row>
    <row r="360" ht="12.0" customHeight="1">
      <c r="A360" s="30" t="s">
        <v>410</v>
      </c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</row>
    <row r="361" ht="12.0" customHeight="1">
      <c r="A361" s="28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</row>
    <row r="362" ht="12.0" customHeight="1">
      <c r="A362" s="30" t="s">
        <v>411</v>
      </c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</row>
    <row r="363" ht="12.0" customHeight="1">
      <c r="A363" s="30" t="s">
        <v>412</v>
      </c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</row>
    <row r="364" ht="12.0" customHeight="1">
      <c r="A364" s="30" t="s">
        <v>413</v>
      </c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</row>
    <row r="365" ht="12.0" customHeight="1">
      <c r="A365" s="30" t="s">
        <v>414</v>
      </c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</row>
    <row r="366" ht="12.0" customHeight="1">
      <c r="A366" s="30" t="s">
        <v>415</v>
      </c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</row>
    <row r="367" ht="12.0" customHeight="1">
      <c r="A367" s="30" t="s">
        <v>416</v>
      </c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</row>
    <row r="368" ht="12.0" customHeight="1">
      <c r="A368" s="30" t="s">
        <v>417</v>
      </c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</row>
    <row r="369" ht="12.0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</row>
    <row r="370" ht="12.0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</row>
    <row r="371" ht="12.0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</row>
    <row r="372" ht="12.0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</row>
    <row r="373" ht="12.0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</row>
    <row r="374" ht="12.0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</row>
    <row r="375" ht="12.0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</row>
    <row r="376" ht="12.0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</row>
    <row r="377" ht="12.0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</row>
    <row r="378" ht="12.0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</row>
    <row r="379" ht="12.0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</row>
    <row r="380" ht="12.0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</row>
    <row r="381" ht="12.0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</row>
    <row r="382" ht="12.0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</row>
    <row r="383" ht="12.0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</row>
    <row r="384" ht="12.0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</row>
    <row r="385" ht="12.0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</row>
    <row r="386" ht="12.0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</row>
    <row r="387" ht="12.0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</row>
    <row r="388" ht="12.0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</row>
    <row r="389" ht="12.0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</row>
    <row r="390" ht="12.0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</row>
    <row r="391" ht="12.0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</row>
    <row r="392" ht="12.0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</row>
    <row r="393" ht="12.0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</row>
    <row r="394" ht="12.0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</row>
    <row r="395" ht="12.0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</row>
    <row r="396" ht="12.0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</row>
    <row r="397" ht="12.0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</row>
    <row r="398" ht="12.0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</row>
    <row r="399" ht="12.0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</row>
    <row r="400" ht="12.0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</row>
    <row r="401" ht="12.0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</row>
    <row r="402" ht="12.0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</row>
    <row r="403" ht="12.0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</row>
    <row r="404" ht="12.0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</row>
    <row r="405" ht="12.0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</row>
    <row r="406" ht="12.0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</row>
    <row r="407" ht="12.0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</row>
    <row r="408" ht="12.0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</row>
    <row r="409" ht="12.0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</row>
    <row r="410" ht="12.0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</row>
    <row r="411" ht="12.0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</row>
    <row r="412" ht="12.0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</row>
    <row r="413" ht="12.0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</row>
    <row r="414" ht="12.0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</row>
    <row r="415" ht="12.0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</row>
    <row r="416" ht="12.0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</row>
    <row r="417" ht="12.0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</row>
    <row r="418" ht="12.0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</row>
    <row r="419" ht="12.0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</row>
    <row r="420" ht="12.0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</row>
    <row r="421" ht="12.0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</row>
    <row r="422" ht="12.0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</row>
    <row r="423" ht="12.0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</row>
    <row r="424" ht="12.0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</row>
    <row r="425" ht="12.0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</row>
    <row r="426" ht="12.0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</row>
    <row r="427" ht="12.0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</row>
    <row r="428" ht="12.0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</row>
    <row r="429" ht="12.0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</row>
    <row r="430" ht="12.0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</row>
    <row r="431" ht="12.0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</row>
    <row r="432" ht="12.0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</row>
    <row r="433" ht="12.0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</row>
    <row r="434" ht="12.0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</row>
    <row r="435" ht="12.0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</row>
    <row r="436" ht="12.0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</row>
    <row r="437" ht="12.0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</row>
    <row r="438" ht="12.0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</row>
    <row r="439" ht="12.0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</row>
    <row r="440" ht="12.0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</row>
    <row r="441" ht="12.0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</row>
    <row r="442" ht="12.0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</row>
    <row r="443" ht="12.0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</row>
    <row r="444" ht="12.0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</row>
    <row r="445" ht="12.0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</row>
    <row r="446" ht="12.0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</row>
    <row r="447" ht="12.0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</row>
    <row r="448" ht="12.0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</row>
    <row r="449" ht="12.0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</row>
    <row r="450" ht="12.0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</row>
    <row r="451" ht="12.0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</row>
    <row r="452" ht="12.0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</row>
    <row r="453" ht="12.0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</row>
    <row r="454" ht="12.0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</row>
    <row r="455" ht="12.0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</row>
    <row r="456" ht="12.0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</row>
    <row r="457" ht="12.0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</row>
    <row r="458" ht="12.0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</row>
    <row r="459" ht="12.0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</row>
    <row r="460" ht="12.0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</row>
    <row r="461" ht="12.0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</row>
    <row r="462" ht="12.0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</row>
    <row r="463" ht="12.0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</row>
    <row r="464" ht="12.0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</row>
    <row r="465" ht="12.0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</row>
    <row r="466" ht="12.0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</row>
    <row r="467" ht="12.0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</row>
    <row r="468" ht="12.0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</row>
    <row r="469" ht="12.0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</row>
    <row r="470" ht="12.0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</row>
    <row r="471" ht="12.0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</row>
    <row r="472" ht="12.0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</row>
    <row r="473" ht="12.0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</row>
    <row r="474" ht="12.0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</row>
    <row r="475" ht="12.0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</row>
    <row r="476" ht="12.0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</row>
    <row r="477" ht="12.0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</row>
    <row r="478" ht="12.0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</row>
    <row r="479" ht="12.0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</row>
    <row r="480" ht="12.0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</row>
    <row r="481" ht="12.0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</row>
    <row r="482" ht="12.0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</row>
    <row r="483" ht="12.0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</row>
    <row r="484" ht="12.0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</row>
    <row r="485" ht="12.0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</row>
    <row r="486" ht="12.0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</row>
    <row r="487" ht="12.0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</row>
    <row r="488" ht="12.0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</row>
    <row r="489" ht="12.0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</row>
    <row r="490" ht="12.0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</row>
    <row r="491" ht="12.0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</row>
    <row r="492" ht="12.0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</row>
    <row r="493" ht="12.0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</row>
    <row r="494" ht="12.0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</row>
    <row r="495" ht="12.0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</row>
    <row r="496" ht="12.0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</row>
    <row r="497" ht="12.0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</row>
    <row r="498" ht="12.0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</row>
    <row r="499" ht="12.0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</row>
    <row r="500" ht="12.0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</row>
    <row r="501" ht="12.0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</row>
    <row r="502" ht="12.0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</row>
    <row r="503" ht="12.0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</row>
    <row r="504" ht="12.0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</row>
    <row r="505" ht="12.0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</row>
    <row r="506" ht="12.0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</row>
    <row r="507" ht="12.0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</row>
    <row r="508" ht="12.0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</row>
    <row r="509" ht="12.0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</row>
    <row r="510" ht="12.0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</row>
    <row r="511" ht="12.0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</row>
    <row r="512" ht="12.0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</row>
    <row r="513" ht="12.0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</row>
    <row r="514" ht="12.0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</row>
    <row r="515" ht="12.0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</row>
    <row r="516" ht="12.0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</row>
    <row r="517" ht="12.0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</row>
    <row r="518" ht="12.0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</row>
    <row r="519" ht="12.0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</row>
    <row r="520" ht="12.0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</row>
    <row r="521" ht="12.0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</row>
    <row r="522" ht="12.0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</row>
    <row r="523" ht="12.0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</row>
    <row r="524" ht="12.0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</row>
    <row r="525" ht="12.0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</row>
    <row r="526" ht="12.0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</row>
    <row r="527" ht="12.0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</row>
    <row r="528" ht="12.0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</row>
    <row r="529" ht="12.0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</row>
    <row r="530" ht="12.0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</row>
    <row r="531" ht="12.0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</row>
    <row r="532" ht="12.0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</row>
    <row r="533" ht="12.0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</row>
    <row r="534" ht="12.0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</row>
    <row r="535" ht="12.0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</row>
    <row r="536" ht="12.0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</row>
    <row r="537" ht="12.0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</row>
    <row r="538" ht="12.0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</row>
    <row r="539" ht="12.0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</row>
    <row r="540" ht="12.0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</row>
    <row r="541" ht="12.0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</row>
    <row r="542" ht="12.0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</row>
    <row r="543" ht="12.0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</row>
    <row r="544" ht="12.0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</row>
    <row r="545" ht="12.0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</row>
    <row r="546" ht="12.0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</row>
    <row r="547" ht="12.0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</row>
    <row r="548" ht="12.0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</row>
    <row r="549" ht="12.0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</row>
    <row r="550" ht="12.0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</row>
    <row r="551" ht="12.0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</row>
    <row r="552" ht="12.0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</row>
    <row r="553" ht="12.0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</row>
    <row r="554" ht="12.0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</row>
    <row r="555" ht="12.0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</row>
    <row r="556" ht="12.0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</row>
    <row r="557" ht="12.0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</row>
    <row r="558" ht="12.0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</row>
    <row r="559" ht="12.0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</row>
    <row r="560" ht="12.0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</row>
    <row r="561" ht="12.0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</row>
    <row r="562" ht="12.0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</row>
    <row r="563" ht="12.0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</row>
    <row r="564" ht="12.0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</row>
    <row r="565" ht="12.0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</row>
    <row r="566" ht="12.0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</row>
    <row r="567" ht="12.0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</row>
    <row r="568" ht="12.0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</row>
    <row r="569" ht="12.0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</row>
    <row r="570" ht="12.0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</row>
    <row r="571" ht="12.0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</row>
    <row r="572" ht="12.0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</row>
    <row r="573" ht="12.0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</row>
    <row r="574" ht="12.0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</row>
    <row r="575" ht="12.0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</row>
    <row r="576" ht="12.0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</row>
    <row r="577" ht="12.0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</row>
    <row r="578" ht="12.0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</row>
    <row r="579" ht="12.0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</row>
    <row r="580" ht="12.0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</row>
    <row r="581" ht="12.0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</row>
    <row r="582" ht="12.0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</row>
    <row r="583" ht="12.0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</row>
    <row r="584" ht="12.0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</row>
    <row r="585" ht="12.0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</row>
    <row r="586" ht="12.0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</row>
    <row r="587" ht="12.0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</row>
    <row r="588" ht="12.0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</row>
    <row r="589" ht="12.0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</row>
    <row r="590" ht="12.0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</row>
    <row r="591" ht="12.0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</row>
    <row r="592" ht="12.0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</row>
    <row r="593" ht="12.0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</row>
    <row r="594" ht="12.0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</row>
    <row r="595" ht="12.0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</row>
    <row r="596" ht="12.0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</row>
    <row r="597" ht="12.0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</row>
    <row r="598" ht="12.0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</row>
    <row r="599" ht="12.0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</row>
    <row r="600" ht="12.0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</row>
    <row r="601" ht="12.0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</row>
    <row r="602" ht="12.0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</row>
    <row r="603" ht="12.0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</row>
    <row r="604" ht="12.0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</row>
    <row r="605" ht="12.0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</row>
    <row r="606" ht="12.0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</row>
    <row r="607" ht="12.0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</row>
    <row r="608" ht="12.0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</row>
    <row r="609" ht="12.0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</row>
    <row r="610" ht="12.0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</row>
    <row r="611" ht="12.0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</row>
    <row r="612" ht="12.0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</row>
    <row r="613" ht="12.0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</row>
    <row r="614" ht="12.0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</row>
    <row r="615" ht="12.0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</row>
    <row r="616" ht="12.0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</row>
    <row r="617" ht="12.0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</row>
    <row r="618" ht="12.0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</row>
    <row r="619" ht="12.0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</row>
    <row r="620" ht="12.0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</row>
    <row r="621" ht="12.0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</row>
    <row r="622" ht="12.0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</row>
    <row r="623" ht="12.0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</row>
    <row r="624" ht="12.0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</row>
    <row r="625" ht="12.0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</row>
    <row r="626" ht="12.0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</row>
    <row r="627" ht="12.0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</row>
    <row r="628" ht="12.0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</row>
    <row r="629" ht="12.0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</row>
    <row r="630" ht="12.0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</row>
    <row r="631" ht="12.0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</row>
    <row r="632" ht="12.0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</row>
    <row r="633" ht="12.0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</row>
    <row r="634" ht="12.0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</row>
    <row r="635" ht="12.0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</row>
    <row r="636" ht="12.0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</row>
    <row r="637" ht="12.0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</row>
    <row r="638" ht="12.0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</row>
    <row r="639" ht="12.0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</row>
    <row r="640" ht="12.0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</row>
    <row r="641" ht="12.0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</row>
    <row r="642" ht="12.0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</row>
    <row r="643" ht="12.0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</row>
    <row r="644" ht="12.0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</row>
    <row r="645" ht="12.0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</row>
    <row r="646" ht="12.0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</row>
    <row r="647" ht="12.0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</row>
    <row r="648" ht="12.0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</row>
    <row r="649" ht="12.0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</row>
    <row r="650" ht="12.0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</row>
    <row r="651" ht="12.0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</row>
    <row r="652" ht="12.0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</row>
    <row r="653" ht="12.0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</row>
    <row r="654" ht="12.0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</row>
    <row r="655" ht="12.0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</row>
    <row r="656" ht="12.0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</row>
    <row r="657" ht="12.0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</row>
    <row r="658" ht="12.0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</row>
    <row r="659" ht="12.0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</row>
    <row r="660" ht="12.0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</row>
    <row r="661" ht="12.0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</row>
    <row r="662" ht="12.0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</row>
    <row r="663" ht="12.0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</row>
    <row r="664" ht="12.0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</row>
    <row r="665" ht="12.0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</row>
    <row r="666" ht="12.0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</row>
    <row r="667" ht="12.0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</row>
    <row r="668" ht="12.0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</row>
    <row r="669" ht="12.0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</row>
    <row r="670" ht="12.0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</row>
    <row r="671" ht="12.0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</row>
    <row r="672" ht="12.0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</row>
    <row r="673" ht="12.0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</row>
    <row r="674" ht="12.0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</row>
    <row r="675" ht="12.0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</row>
    <row r="676" ht="12.0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</row>
    <row r="677" ht="12.0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</row>
    <row r="678" ht="12.0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</row>
    <row r="679" ht="12.0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</row>
    <row r="680" ht="12.0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</row>
    <row r="681" ht="12.0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</row>
    <row r="682" ht="12.0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</row>
    <row r="683" ht="12.0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</row>
    <row r="684" ht="12.0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</row>
    <row r="685" ht="12.0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</row>
    <row r="686" ht="12.0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</row>
    <row r="687" ht="12.0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</row>
    <row r="688" ht="12.0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</row>
    <row r="689" ht="12.0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</row>
    <row r="690" ht="12.0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</row>
    <row r="691" ht="12.0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</row>
    <row r="692" ht="12.0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</row>
    <row r="693" ht="12.0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</row>
    <row r="694" ht="12.0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</row>
    <row r="695" ht="12.0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</row>
    <row r="696" ht="12.0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</row>
    <row r="697" ht="12.0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</row>
    <row r="698" ht="12.0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</row>
    <row r="699" ht="12.0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</row>
    <row r="700" ht="12.0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</row>
    <row r="701" ht="12.0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</row>
    <row r="702" ht="12.0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</row>
    <row r="703" ht="12.0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</row>
    <row r="704" ht="12.0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</row>
    <row r="705" ht="12.0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</row>
    <row r="706" ht="12.0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</row>
    <row r="707" ht="12.0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</row>
    <row r="708" ht="12.0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</row>
    <row r="709" ht="12.0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</row>
    <row r="710" ht="12.0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</row>
    <row r="711" ht="12.0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</row>
    <row r="712" ht="12.0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</row>
    <row r="713" ht="12.0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</row>
    <row r="714" ht="12.0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</row>
    <row r="715" ht="12.0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</row>
    <row r="716" ht="12.0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</row>
    <row r="717" ht="12.0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</row>
    <row r="718" ht="12.0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</row>
    <row r="719" ht="12.0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</row>
    <row r="720" ht="12.0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</row>
    <row r="721" ht="12.0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</row>
    <row r="722" ht="12.0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</row>
    <row r="723" ht="12.0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</row>
    <row r="724" ht="12.0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</row>
    <row r="725" ht="12.0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</row>
    <row r="726" ht="12.0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</row>
    <row r="727" ht="12.0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</row>
    <row r="728" ht="12.0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</row>
    <row r="729" ht="12.0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</row>
    <row r="730" ht="12.0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</row>
    <row r="731" ht="12.0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</row>
    <row r="732" ht="12.0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</row>
    <row r="733" ht="12.0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</row>
    <row r="734" ht="12.0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</row>
    <row r="735" ht="12.0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</row>
    <row r="736" ht="12.0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</row>
    <row r="737" ht="12.0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</row>
    <row r="738" ht="12.0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</row>
    <row r="739" ht="12.0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</row>
    <row r="740" ht="12.0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</row>
    <row r="741" ht="12.0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</row>
    <row r="742" ht="12.0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</row>
    <row r="743" ht="12.0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</row>
    <row r="744" ht="12.0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</row>
    <row r="745" ht="12.0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</row>
    <row r="746" ht="12.0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</row>
    <row r="747" ht="12.0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</row>
    <row r="748" ht="12.0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</row>
    <row r="749" ht="12.0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</row>
    <row r="750" ht="12.0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</row>
    <row r="751" ht="12.0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</row>
    <row r="752" ht="12.0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</row>
    <row r="753" ht="12.0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</row>
    <row r="754" ht="12.0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</row>
    <row r="755" ht="12.0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</row>
    <row r="756" ht="12.0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</row>
    <row r="757" ht="12.0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</row>
    <row r="758" ht="12.0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</row>
    <row r="759" ht="12.0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</row>
    <row r="760" ht="12.0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</row>
    <row r="761" ht="12.0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</row>
    <row r="762" ht="12.0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</row>
    <row r="763" ht="12.0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</row>
    <row r="764" ht="12.0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</row>
    <row r="765" ht="12.0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</row>
    <row r="766" ht="12.0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</row>
    <row r="767" ht="12.0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</row>
    <row r="768" ht="12.0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</row>
    <row r="769" ht="12.0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</row>
    <row r="770" ht="12.0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</row>
    <row r="771" ht="12.0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</row>
    <row r="772" ht="12.0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</row>
    <row r="773" ht="12.0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</row>
    <row r="774" ht="12.0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</row>
    <row r="775" ht="12.0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</row>
    <row r="776" ht="12.0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</row>
    <row r="777" ht="12.0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</row>
    <row r="778" ht="12.0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</row>
    <row r="779" ht="12.0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</row>
    <row r="780" ht="12.0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</row>
    <row r="781" ht="12.0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</row>
    <row r="782" ht="12.0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</row>
    <row r="783" ht="12.0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</row>
    <row r="784" ht="12.0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</row>
    <row r="785" ht="12.0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</row>
    <row r="786" ht="12.0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</row>
    <row r="787" ht="12.0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</row>
    <row r="788" ht="12.0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</row>
    <row r="789" ht="12.0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</row>
    <row r="790" ht="12.0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</row>
    <row r="791" ht="12.0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</row>
    <row r="792" ht="12.0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</row>
    <row r="793" ht="12.0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</row>
    <row r="794" ht="12.0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</row>
    <row r="795" ht="12.0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</row>
    <row r="796" ht="12.0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</row>
    <row r="797" ht="12.0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</row>
    <row r="798" ht="12.0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</row>
    <row r="799" ht="12.0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</row>
    <row r="800" ht="12.0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</row>
    <row r="801" ht="12.0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</row>
    <row r="802" ht="12.0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</row>
    <row r="803" ht="12.0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</row>
    <row r="804" ht="12.0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</row>
    <row r="805" ht="12.0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</row>
    <row r="806" ht="12.0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</row>
    <row r="807" ht="12.0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</row>
    <row r="808" ht="12.0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</row>
    <row r="809" ht="12.0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</row>
    <row r="810" ht="12.0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</row>
    <row r="811" ht="12.0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</row>
    <row r="812" ht="12.0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</row>
    <row r="813" ht="12.0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</row>
    <row r="814" ht="12.0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</row>
    <row r="815" ht="12.0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</row>
    <row r="816" ht="12.0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</row>
    <row r="817" ht="12.0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</row>
    <row r="818" ht="12.0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</row>
    <row r="819" ht="12.0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</row>
    <row r="820" ht="12.0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</row>
    <row r="821" ht="12.0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</row>
    <row r="822" ht="12.0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</row>
    <row r="823" ht="12.0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</row>
    <row r="824" ht="12.0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</row>
    <row r="825" ht="12.0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</row>
    <row r="826" ht="12.0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</row>
    <row r="827" ht="12.0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</row>
    <row r="828" ht="12.0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</row>
    <row r="829" ht="12.0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</row>
    <row r="830" ht="12.0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</row>
    <row r="831" ht="12.0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</row>
    <row r="832" ht="12.0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</row>
    <row r="833" ht="12.0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</row>
    <row r="834" ht="12.0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</row>
    <row r="835" ht="12.0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</row>
    <row r="836" ht="12.0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</row>
    <row r="837" ht="12.0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</row>
    <row r="838" ht="12.0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</row>
    <row r="839" ht="12.0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</row>
    <row r="840" ht="12.0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</row>
    <row r="841" ht="12.0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</row>
    <row r="842" ht="12.0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</row>
    <row r="843" ht="12.0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</row>
    <row r="844" ht="12.0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</row>
    <row r="845" ht="12.0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</row>
    <row r="846" ht="12.0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</row>
    <row r="847" ht="12.0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</row>
    <row r="848" ht="12.0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</row>
    <row r="849" ht="12.0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</row>
    <row r="850" ht="12.0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</row>
    <row r="851" ht="12.0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</row>
    <row r="852" ht="12.0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</row>
    <row r="853" ht="12.0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</row>
    <row r="854" ht="12.0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</row>
    <row r="855" ht="12.0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</row>
    <row r="856" ht="12.0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</row>
    <row r="857" ht="12.0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</row>
    <row r="858" ht="12.0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</row>
    <row r="859" ht="12.0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</row>
    <row r="860" ht="12.0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</row>
    <row r="861" ht="12.0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</row>
    <row r="862" ht="12.0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</row>
    <row r="863" ht="12.0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</row>
    <row r="864" ht="12.0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</row>
    <row r="865" ht="12.0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</row>
    <row r="866" ht="12.0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</row>
    <row r="867" ht="12.0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</row>
    <row r="868" ht="12.0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</row>
    <row r="869" ht="12.0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</row>
    <row r="870" ht="12.0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</row>
    <row r="871" ht="12.0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</row>
    <row r="872" ht="12.0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</row>
    <row r="873" ht="12.0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</row>
    <row r="874" ht="12.0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</row>
    <row r="875" ht="12.0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</row>
    <row r="876" ht="12.0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</row>
    <row r="877" ht="12.0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</row>
    <row r="878" ht="12.0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</row>
    <row r="879" ht="12.0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</row>
    <row r="880" ht="12.0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</row>
    <row r="881" ht="12.0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</row>
    <row r="882" ht="12.0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</row>
    <row r="883" ht="12.0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</row>
    <row r="884" ht="12.0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</row>
    <row r="885" ht="12.0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</row>
    <row r="886" ht="12.0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</row>
    <row r="887" ht="12.0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</row>
    <row r="888" ht="12.0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</row>
    <row r="889" ht="12.0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</row>
    <row r="890" ht="12.0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</row>
    <row r="891" ht="12.0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</row>
    <row r="892" ht="12.0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</row>
    <row r="893" ht="12.0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</row>
    <row r="894" ht="12.0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</row>
    <row r="895" ht="12.0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</row>
    <row r="896" ht="12.0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</row>
    <row r="897" ht="12.0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</row>
    <row r="898" ht="12.0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</row>
    <row r="899" ht="12.0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</row>
    <row r="900" ht="12.0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</row>
    <row r="901" ht="12.0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</row>
    <row r="902" ht="12.0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</row>
    <row r="903" ht="12.0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</row>
    <row r="904" ht="12.0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</row>
    <row r="905" ht="12.0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</row>
    <row r="906" ht="12.0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</row>
    <row r="907" ht="12.0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</row>
    <row r="908" ht="12.0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</row>
    <row r="909" ht="12.0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</row>
    <row r="910" ht="12.0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</row>
    <row r="911" ht="12.0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</row>
    <row r="912" ht="12.0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</row>
    <row r="913" ht="12.0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</row>
    <row r="914" ht="12.0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</row>
    <row r="915" ht="12.0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</row>
    <row r="916" ht="12.0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</row>
    <row r="917" ht="12.0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</row>
    <row r="918" ht="12.0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</row>
    <row r="919" ht="12.0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</row>
    <row r="920" ht="12.0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</row>
    <row r="921" ht="12.0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</row>
    <row r="922" ht="12.0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</row>
    <row r="923" ht="12.0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</row>
    <row r="924" ht="12.0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</row>
    <row r="925" ht="12.0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</row>
    <row r="926" ht="12.0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</row>
    <row r="927" ht="12.0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</row>
    <row r="928" ht="12.0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</row>
    <row r="929" ht="12.0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</row>
    <row r="930" ht="12.0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</row>
    <row r="931" ht="12.0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</row>
    <row r="932" ht="12.0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</row>
    <row r="933" ht="12.0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</row>
    <row r="934" ht="12.0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</row>
    <row r="935" ht="12.0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</row>
    <row r="936" ht="12.0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</row>
    <row r="937" ht="12.0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</row>
    <row r="938" ht="12.0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</row>
    <row r="939" ht="12.0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</row>
    <row r="940" ht="12.0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</row>
    <row r="941" ht="12.0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</row>
    <row r="942" ht="12.0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</row>
    <row r="943" ht="12.0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</row>
    <row r="944" ht="12.0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</row>
    <row r="945" ht="12.0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</row>
    <row r="946" ht="12.0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</row>
    <row r="947" ht="12.0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</row>
    <row r="948" ht="12.0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</row>
    <row r="949" ht="12.0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</row>
    <row r="950" ht="12.0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</row>
    <row r="951" ht="12.0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</row>
    <row r="952" ht="12.0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</row>
    <row r="953" ht="12.0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</row>
    <row r="954" ht="12.0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</row>
    <row r="955" ht="12.0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</row>
    <row r="956" ht="12.0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</row>
    <row r="957" ht="12.0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</row>
    <row r="958" ht="12.0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</row>
    <row r="959" ht="12.0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</row>
    <row r="960" ht="12.0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</row>
    <row r="961" ht="12.0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</row>
    <row r="962" ht="12.0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</row>
    <row r="963" ht="12.0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</row>
    <row r="964" ht="12.0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</row>
    <row r="965" ht="12.0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</row>
    <row r="966" ht="12.0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</row>
    <row r="967" ht="12.0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</row>
    <row r="968" ht="12.0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</row>
    <row r="969" ht="12.0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</row>
    <row r="970" ht="12.0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</row>
    <row r="971" ht="12.0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</row>
    <row r="972" ht="12.0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</row>
    <row r="973" ht="12.0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</row>
    <row r="974" ht="12.0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</row>
    <row r="975" ht="12.0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</row>
    <row r="976" ht="12.0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</row>
    <row r="977" ht="12.0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</row>
    <row r="978" ht="12.0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</row>
    <row r="979" ht="12.0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</row>
    <row r="980" ht="12.0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</row>
    <row r="981" ht="12.0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</row>
    <row r="982" ht="12.0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</row>
    <row r="983" ht="12.0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</row>
    <row r="984" ht="12.0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</row>
    <row r="985" ht="12.0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</row>
    <row r="986" ht="12.0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</row>
    <row r="987" ht="12.0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</row>
    <row r="988" ht="12.0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</row>
    <row r="989" ht="12.0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</row>
    <row r="990" ht="12.0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</row>
    <row r="991" ht="12.0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</row>
    <row r="992" ht="12.0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</row>
    <row r="993" ht="12.0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</row>
    <row r="994" ht="12.0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</row>
    <row r="995" ht="12.0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</row>
    <row r="996" ht="12.0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</row>
    <row r="997" ht="12.0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</row>
    <row r="998" ht="12.0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</row>
    <row r="999" ht="12.0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</row>
    <row r="1000" ht="12.0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</row>
    <row r="1001" ht="12.0" customHeight="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</row>
    <row r="1002" ht="12.0" customHeight="1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</row>
    <row r="1003" ht="12.0" customHeight="1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</row>
    <row r="1004" ht="12.0" customHeight="1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</row>
    <row r="1005" ht="12.0" customHeight="1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</row>
    <row r="1006" ht="12.0" customHeight="1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</row>
    <row r="1007" ht="12.0" customHeight="1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</row>
    <row r="1008" ht="12.0" customHeight="1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</row>
    <row r="1009" ht="12.0" customHeight="1">
      <c r="A1009" s="35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</row>
    <row r="1010" ht="12.0" customHeight="1">
      <c r="A1010" s="35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</row>
    <row r="1011" ht="12.0" customHeight="1">
      <c r="A1011" s="35"/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  <c r="AD1011" s="35"/>
      <c r="AE1011" s="35"/>
    </row>
    <row r="1012" ht="12.0" customHeight="1">
      <c r="A1012" s="35"/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5"/>
      <c r="AD1012" s="35"/>
      <c r="AE1012" s="35"/>
    </row>
    <row r="1013" ht="12.0" customHeight="1">
      <c r="A1013" s="35"/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</row>
    <row r="1014" ht="12.0" customHeight="1">
      <c r="A1014" s="35"/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</row>
    <row r="1015" ht="12.0" customHeight="1">
      <c r="A1015" s="35"/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</row>
    <row r="1016" ht="12.0" customHeight="1">
      <c r="A1016" s="35"/>
      <c r="B1016" s="35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  <c r="AA1016" s="35"/>
      <c r="AB1016" s="35"/>
      <c r="AC1016" s="35"/>
      <c r="AD1016" s="35"/>
      <c r="AE1016" s="35"/>
    </row>
    <row r="1017" ht="12.0" customHeight="1">
      <c r="A1017" s="35"/>
      <c r="B1017" s="35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  <c r="AA1017" s="35"/>
      <c r="AB1017" s="35"/>
      <c r="AC1017" s="35"/>
      <c r="AD1017" s="35"/>
      <c r="AE1017" s="35"/>
    </row>
    <row r="1018" ht="12.0" customHeight="1">
      <c r="A1018" s="35"/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  <c r="AA1018" s="35"/>
      <c r="AB1018" s="35"/>
      <c r="AC1018" s="35"/>
      <c r="AD1018" s="35"/>
      <c r="AE1018" s="35"/>
    </row>
    <row r="1019" ht="12.0" customHeight="1">
      <c r="A1019" s="35"/>
      <c r="B1019" s="35"/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  <c r="AA1019" s="35"/>
      <c r="AB1019" s="35"/>
      <c r="AC1019" s="35"/>
      <c r="AD1019" s="35"/>
      <c r="AE1019" s="35"/>
    </row>
    <row r="1020" ht="12.0" customHeight="1">
      <c r="A1020" s="35"/>
      <c r="B1020" s="35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  <c r="AA1020" s="35"/>
      <c r="AB1020" s="35"/>
      <c r="AC1020" s="35"/>
      <c r="AD1020" s="35"/>
      <c r="AE1020" s="35"/>
    </row>
    <row r="1021" ht="12.0" customHeight="1">
      <c r="A1021" s="35"/>
      <c r="B1021" s="35"/>
      <c r="C1021" s="35"/>
      <c r="D1021" s="35"/>
      <c r="E1021" s="35"/>
      <c r="F1021" s="35"/>
      <c r="G1021" s="35"/>
      <c r="H1021" s="35"/>
      <c r="I1021" s="35"/>
      <c r="J1021" s="35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  <c r="AA1021" s="35"/>
      <c r="AB1021" s="35"/>
      <c r="AC1021" s="35"/>
      <c r="AD1021" s="35"/>
      <c r="AE1021" s="35"/>
    </row>
    <row r="1022" ht="12.0" customHeight="1">
      <c r="A1022" s="35"/>
      <c r="B1022" s="35"/>
      <c r="C1022" s="35"/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  <c r="AA1022" s="35"/>
      <c r="AB1022" s="35"/>
      <c r="AC1022" s="35"/>
      <c r="AD1022" s="35"/>
      <c r="AE1022" s="35"/>
    </row>
    <row r="1023" ht="12.0" customHeight="1">
      <c r="A1023" s="35"/>
      <c r="B1023" s="35"/>
      <c r="C1023" s="35"/>
      <c r="D1023" s="35"/>
      <c r="E1023" s="35"/>
      <c r="F1023" s="35"/>
      <c r="G1023" s="35"/>
      <c r="H1023" s="35"/>
      <c r="I1023" s="35"/>
      <c r="J1023" s="35"/>
      <c r="K1023" s="35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  <c r="AA1023" s="35"/>
      <c r="AB1023" s="35"/>
      <c r="AC1023" s="35"/>
      <c r="AD1023" s="35"/>
      <c r="AE1023" s="35"/>
    </row>
    <row r="1024" ht="12.0" customHeight="1">
      <c r="A1024" s="35"/>
      <c r="B1024" s="35"/>
      <c r="C1024" s="35"/>
      <c r="D1024" s="35"/>
      <c r="E1024" s="35"/>
      <c r="F1024" s="35"/>
      <c r="G1024" s="35"/>
      <c r="H1024" s="35"/>
      <c r="I1024" s="35"/>
      <c r="J1024" s="35"/>
      <c r="K1024" s="35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  <c r="AA1024" s="35"/>
      <c r="AB1024" s="35"/>
      <c r="AC1024" s="35"/>
      <c r="AD1024" s="35"/>
      <c r="AE1024" s="35"/>
    </row>
    <row r="1025" ht="12.0" customHeight="1">
      <c r="A1025" s="35"/>
      <c r="B1025" s="35"/>
      <c r="C1025" s="35"/>
      <c r="D1025" s="35"/>
      <c r="E1025" s="35"/>
      <c r="F1025" s="35"/>
      <c r="G1025" s="35"/>
      <c r="H1025" s="35"/>
      <c r="I1025" s="35"/>
      <c r="J1025" s="35"/>
      <c r="K1025" s="35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  <c r="AA1025" s="35"/>
      <c r="AB1025" s="35"/>
      <c r="AC1025" s="35"/>
      <c r="AD1025" s="35"/>
      <c r="AE1025" s="35"/>
    </row>
    <row r="1026" ht="12.0" customHeight="1">
      <c r="A1026" s="35"/>
      <c r="B1026" s="35"/>
      <c r="C1026" s="35"/>
      <c r="D1026" s="35"/>
      <c r="E1026" s="35"/>
      <c r="F1026" s="35"/>
      <c r="G1026" s="35"/>
      <c r="H1026" s="35"/>
      <c r="I1026" s="35"/>
      <c r="J1026" s="35"/>
      <c r="K1026" s="35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  <c r="AA1026" s="35"/>
      <c r="AB1026" s="35"/>
      <c r="AC1026" s="35"/>
      <c r="AD1026" s="35"/>
      <c r="AE1026" s="35"/>
    </row>
    <row r="1027" ht="12.0" customHeight="1">
      <c r="A1027" s="35"/>
      <c r="B1027" s="35"/>
      <c r="C1027" s="35"/>
      <c r="D1027" s="35"/>
      <c r="E1027" s="35"/>
      <c r="F1027" s="35"/>
      <c r="G1027" s="35"/>
      <c r="H1027" s="35"/>
      <c r="I1027" s="35"/>
      <c r="J1027" s="35"/>
      <c r="K1027" s="35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  <c r="AA1027" s="35"/>
      <c r="AB1027" s="35"/>
      <c r="AC1027" s="35"/>
      <c r="AD1027" s="35"/>
      <c r="AE1027" s="35"/>
    </row>
    <row r="1028" ht="12.0" customHeight="1">
      <c r="A1028" s="35"/>
      <c r="B1028" s="35"/>
      <c r="C1028" s="35"/>
      <c r="D1028" s="35"/>
      <c r="E1028" s="35"/>
      <c r="F1028" s="35"/>
      <c r="G1028" s="35"/>
      <c r="H1028" s="35"/>
      <c r="I1028" s="35"/>
      <c r="J1028" s="35"/>
      <c r="K1028" s="35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  <c r="AA1028" s="35"/>
      <c r="AB1028" s="35"/>
      <c r="AC1028" s="35"/>
      <c r="AD1028" s="35"/>
      <c r="AE1028" s="35"/>
    </row>
    <row r="1029" ht="12.0" customHeight="1">
      <c r="A1029" s="35"/>
      <c r="B1029" s="35"/>
      <c r="C1029" s="35"/>
      <c r="D1029" s="35"/>
      <c r="E1029" s="35"/>
      <c r="F1029" s="35"/>
      <c r="G1029" s="35"/>
      <c r="H1029" s="35"/>
      <c r="I1029" s="35"/>
      <c r="J1029" s="35"/>
      <c r="K1029" s="35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  <c r="AA1029" s="35"/>
      <c r="AB1029" s="35"/>
      <c r="AC1029" s="35"/>
      <c r="AD1029" s="35"/>
      <c r="AE1029" s="35"/>
    </row>
    <row r="1030" ht="12.0" customHeight="1">
      <c r="A1030" s="35"/>
      <c r="B1030" s="35"/>
      <c r="C1030" s="35"/>
      <c r="D1030" s="35"/>
      <c r="E1030" s="35"/>
      <c r="F1030" s="35"/>
      <c r="G1030" s="35"/>
      <c r="H1030" s="35"/>
      <c r="I1030" s="35"/>
      <c r="J1030" s="35"/>
      <c r="K1030" s="35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  <c r="AA1030" s="35"/>
      <c r="AB1030" s="35"/>
      <c r="AC1030" s="35"/>
      <c r="AD1030" s="35"/>
      <c r="AE1030" s="35"/>
    </row>
    <row r="1031" ht="12.0" customHeight="1">
      <c r="A1031" s="35"/>
      <c r="B1031" s="35"/>
      <c r="C1031" s="35"/>
      <c r="D1031" s="35"/>
      <c r="E1031" s="35"/>
      <c r="F1031" s="35"/>
      <c r="G1031" s="35"/>
      <c r="H1031" s="35"/>
      <c r="I1031" s="35"/>
      <c r="J1031" s="35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  <c r="AA1031" s="35"/>
      <c r="AB1031" s="35"/>
      <c r="AC1031" s="35"/>
      <c r="AD1031" s="35"/>
      <c r="AE1031" s="35"/>
    </row>
    <row r="1032" ht="12.0" customHeight="1">
      <c r="A1032" s="35"/>
      <c r="B1032" s="35"/>
      <c r="C1032" s="35"/>
      <c r="D1032" s="35"/>
      <c r="E1032" s="35"/>
      <c r="F1032" s="35"/>
      <c r="G1032" s="35"/>
      <c r="H1032" s="35"/>
      <c r="I1032" s="35"/>
      <c r="J1032" s="35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  <c r="AA1032" s="35"/>
      <c r="AB1032" s="35"/>
      <c r="AC1032" s="35"/>
      <c r="AD1032" s="35"/>
      <c r="AE1032" s="35"/>
    </row>
    <row r="1033" ht="12.0" customHeight="1">
      <c r="A1033" s="35"/>
      <c r="B1033" s="35"/>
      <c r="C1033" s="35"/>
      <c r="D1033" s="35"/>
      <c r="E1033" s="35"/>
      <c r="F1033" s="35"/>
      <c r="G1033" s="35"/>
      <c r="H1033" s="35"/>
      <c r="I1033" s="35"/>
      <c r="J1033" s="35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  <c r="AA1033" s="35"/>
      <c r="AB1033" s="35"/>
      <c r="AC1033" s="35"/>
      <c r="AD1033" s="35"/>
      <c r="AE1033" s="35"/>
    </row>
    <row r="1034" ht="12.0" customHeight="1">
      <c r="A1034" s="35"/>
      <c r="B1034" s="35"/>
      <c r="C1034" s="35"/>
      <c r="D1034" s="35"/>
      <c r="E1034" s="35"/>
      <c r="F1034" s="35"/>
      <c r="G1034" s="35"/>
      <c r="H1034" s="35"/>
      <c r="I1034" s="35"/>
      <c r="J1034" s="35"/>
      <c r="K1034" s="35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  <c r="AA1034" s="35"/>
      <c r="AB1034" s="35"/>
      <c r="AC1034" s="35"/>
      <c r="AD1034" s="35"/>
      <c r="AE1034" s="35"/>
    </row>
    <row r="1035" ht="12.0" customHeight="1">
      <c r="A1035" s="35"/>
      <c r="B1035" s="35"/>
      <c r="C1035" s="35"/>
      <c r="D1035" s="35"/>
      <c r="E1035" s="35"/>
      <c r="F1035" s="35"/>
      <c r="G1035" s="35"/>
      <c r="H1035" s="35"/>
      <c r="I1035" s="35"/>
      <c r="J1035" s="35"/>
      <c r="K1035" s="35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  <c r="AA1035" s="35"/>
      <c r="AB1035" s="35"/>
      <c r="AC1035" s="35"/>
      <c r="AD1035" s="35"/>
      <c r="AE1035" s="35"/>
    </row>
    <row r="1036" ht="12.0" customHeight="1">
      <c r="A1036" s="35"/>
      <c r="B1036" s="35"/>
      <c r="C1036" s="35"/>
      <c r="D1036" s="35"/>
      <c r="E1036" s="35"/>
      <c r="F1036" s="35"/>
      <c r="G1036" s="35"/>
      <c r="H1036" s="35"/>
      <c r="I1036" s="35"/>
      <c r="J1036" s="35"/>
      <c r="K1036" s="35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  <c r="W1036" s="35"/>
      <c r="X1036" s="35"/>
      <c r="Y1036" s="35"/>
      <c r="Z1036" s="35"/>
      <c r="AA1036" s="35"/>
      <c r="AB1036" s="35"/>
      <c r="AC1036" s="35"/>
      <c r="AD1036" s="35"/>
      <c r="AE1036" s="35"/>
    </row>
    <row r="1037" ht="12.0" customHeight="1">
      <c r="A1037" s="35"/>
      <c r="B1037" s="35"/>
      <c r="C1037" s="35"/>
      <c r="D1037" s="35"/>
      <c r="E1037" s="35"/>
      <c r="F1037" s="35"/>
      <c r="G1037" s="35"/>
      <c r="H1037" s="35"/>
      <c r="I1037" s="35"/>
      <c r="J1037" s="35"/>
      <c r="K1037" s="35"/>
      <c r="L1037" s="35"/>
      <c r="M1037" s="35"/>
      <c r="N1037" s="35"/>
      <c r="O1037" s="35"/>
      <c r="P1037" s="35"/>
      <c r="Q1037" s="35"/>
      <c r="R1037" s="35"/>
      <c r="S1037" s="35"/>
      <c r="T1037" s="35"/>
      <c r="U1037" s="35"/>
      <c r="V1037" s="35"/>
      <c r="W1037" s="35"/>
      <c r="X1037" s="35"/>
      <c r="Y1037" s="35"/>
      <c r="Z1037" s="35"/>
      <c r="AA1037" s="35"/>
      <c r="AB1037" s="35"/>
      <c r="AC1037" s="35"/>
      <c r="AD1037" s="35"/>
      <c r="AE1037" s="35"/>
    </row>
    <row r="1038" ht="12.0" customHeight="1">
      <c r="A1038" s="35"/>
      <c r="B1038" s="35"/>
      <c r="C1038" s="35"/>
      <c r="D1038" s="35"/>
      <c r="E1038" s="35"/>
      <c r="F1038" s="35"/>
      <c r="G1038" s="35"/>
      <c r="H1038" s="35"/>
      <c r="I1038" s="35"/>
      <c r="J1038" s="35"/>
      <c r="K1038" s="35"/>
      <c r="L1038" s="35"/>
      <c r="M1038" s="35"/>
      <c r="N1038" s="35"/>
      <c r="O1038" s="35"/>
      <c r="P1038" s="35"/>
      <c r="Q1038" s="35"/>
      <c r="R1038" s="35"/>
      <c r="S1038" s="35"/>
      <c r="T1038" s="35"/>
      <c r="U1038" s="35"/>
      <c r="V1038" s="35"/>
      <c r="W1038" s="35"/>
      <c r="X1038" s="35"/>
      <c r="Y1038" s="35"/>
      <c r="Z1038" s="35"/>
      <c r="AA1038" s="35"/>
      <c r="AB1038" s="35"/>
      <c r="AC1038" s="35"/>
      <c r="AD1038" s="35"/>
      <c r="AE1038" s="35"/>
    </row>
    <row r="1039" ht="12.0" customHeight="1">
      <c r="A1039" s="35"/>
      <c r="B1039" s="35"/>
      <c r="C1039" s="35"/>
      <c r="D1039" s="35"/>
      <c r="E1039" s="35"/>
      <c r="F1039" s="35"/>
      <c r="G1039" s="35"/>
      <c r="H1039" s="35"/>
      <c r="I1039" s="35"/>
      <c r="J1039" s="35"/>
      <c r="K1039" s="35"/>
      <c r="L1039" s="35"/>
      <c r="M1039" s="35"/>
      <c r="N1039" s="35"/>
      <c r="O1039" s="35"/>
      <c r="P1039" s="35"/>
      <c r="Q1039" s="35"/>
      <c r="R1039" s="35"/>
      <c r="S1039" s="35"/>
      <c r="T1039" s="35"/>
      <c r="U1039" s="35"/>
      <c r="V1039" s="35"/>
      <c r="W1039" s="35"/>
      <c r="X1039" s="35"/>
      <c r="Y1039" s="35"/>
      <c r="Z1039" s="35"/>
      <c r="AA1039" s="35"/>
      <c r="AB1039" s="35"/>
      <c r="AC1039" s="35"/>
      <c r="AD1039" s="35"/>
      <c r="AE1039" s="35"/>
    </row>
    <row r="1040" ht="12.0" customHeight="1">
      <c r="A1040" s="35"/>
      <c r="B1040" s="35"/>
      <c r="C1040" s="35"/>
      <c r="D1040" s="35"/>
      <c r="E1040" s="35"/>
      <c r="F1040" s="35"/>
      <c r="G1040" s="35"/>
      <c r="H1040" s="35"/>
      <c r="I1040" s="35"/>
      <c r="J1040" s="35"/>
      <c r="K1040" s="35"/>
      <c r="L1040" s="35"/>
      <c r="M1040" s="35"/>
      <c r="N1040" s="35"/>
      <c r="O1040" s="35"/>
      <c r="P1040" s="35"/>
      <c r="Q1040" s="35"/>
      <c r="R1040" s="35"/>
      <c r="S1040" s="35"/>
      <c r="T1040" s="35"/>
      <c r="U1040" s="35"/>
      <c r="V1040" s="35"/>
      <c r="W1040" s="35"/>
      <c r="X1040" s="35"/>
      <c r="Y1040" s="35"/>
      <c r="Z1040" s="35"/>
      <c r="AA1040" s="35"/>
      <c r="AB1040" s="35"/>
      <c r="AC1040" s="35"/>
      <c r="AD1040" s="35"/>
      <c r="AE1040" s="35"/>
    </row>
    <row r="1041" ht="12.0" customHeight="1">
      <c r="A1041" s="35"/>
      <c r="B1041" s="35"/>
      <c r="C1041" s="35"/>
      <c r="D1041" s="35"/>
      <c r="E1041" s="35"/>
      <c r="F1041" s="35"/>
      <c r="G1041" s="35"/>
      <c r="H1041" s="35"/>
      <c r="I1041" s="35"/>
      <c r="J1041" s="35"/>
      <c r="K1041" s="35"/>
      <c r="L1041" s="35"/>
      <c r="M1041" s="35"/>
      <c r="N1041" s="35"/>
      <c r="O1041" s="35"/>
      <c r="P1041" s="35"/>
      <c r="Q1041" s="35"/>
      <c r="R1041" s="35"/>
      <c r="S1041" s="35"/>
      <c r="T1041" s="35"/>
      <c r="U1041" s="35"/>
      <c r="V1041" s="35"/>
      <c r="W1041" s="35"/>
      <c r="X1041" s="35"/>
      <c r="Y1041" s="35"/>
      <c r="Z1041" s="35"/>
      <c r="AA1041" s="35"/>
      <c r="AB1041" s="35"/>
      <c r="AC1041" s="35"/>
      <c r="AD1041" s="35"/>
      <c r="AE1041" s="35"/>
    </row>
    <row r="1042" ht="12.0" customHeight="1">
      <c r="A1042" s="35"/>
      <c r="B1042" s="35"/>
      <c r="C1042" s="35"/>
      <c r="D1042" s="35"/>
      <c r="E1042" s="35"/>
      <c r="F1042" s="35"/>
      <c r="G1042" s="35"/>
      <c r="H1042" s="35"/>
      <c r="I1042" s="35"/>
      <c r="J1042" s="35"/>
      <c r="K1042" s="35"/>
      <c r="L1042" s="35"/>
      <c r="M1042" s="35"/>
      <c r="N1042" s="35"/>
      <c r="O1042" s="35"/>
      <c r="P1042" s="35"/>
      <c r="Q1042" s="35"/>
      <c r="R1042" s="35"/>
      <c r="S1042" s="35"/>
      <c r="T1042" s="35"/>
      <c r="U1042" s="35"/>
      <c r="V1042" s="35"/>
      <c r="W1042" s="35"/>
      <c r="X1042" s="35"/>
      <c r="Y1042" s="35"/>
      <c r="Z1042" s="35"/>
      <c r="AA1042" s="35"/>
      <c r="AB1042" s="35"/>
      <c r="AC1042" s="35"/>
      <c r="AD1042" s="35"/>
      <c r="AE1042" s="35"/>
    </row>
    <row r="1043" ht="12.0" customHeight="1">
      <c r="A1043" s="35"/>
      <c r="B1043" s="35"/>
      <c r="C1043" s="35"/>
      <c r="D1043" s="35"/>
      <c r="E1043" s="35"/>
      <c r="F1043" s="35"/>
      <c r="G1043" s="35"/>
      <c r="H1043" s="35"/>
      <c r="I1043" s="35"/>
      <c r="J1043" s="35"/>
      <c r="K1043" s="35"/>
      <c r="L1043" s="35"/>
      <c r="M1043" s="35"/>
      <c r="N1043" s="35"/>
      <c r="O1043" s="35"/>
      <c r="P1043" s="35"/>
      <c r="Q1043" s="35"/>
      <c r="R1043" s="35"/>
      <c r="S1043" s="35"/>
      <c r="T1043" s="35"/>
      <c r="U1043" s="35"/>
      <c r="V1043" s="35"/>
      <c r="W1043" s="35"/>
      <c r="X1043" s="35"/>
      <c r="Y1043" s="35"/>
      <c r="Z1043" s="35"/>
      <c r="AA1043" s="35"/>
      <c r="AB1043" s="35"/>
      <c r="AC1043" s="35"/>
      <c r="AD1043" s="35"/>
      <c r="AE1043" s="35"/>
    </row>
    <row r="1044" ht="12.0" customHeight="1">
      <c r="A1044" s="35"/>
      <c r="B1044" s="35"/>
      <c r="C1044" s="35"/>
      <c r="D1044" s="35"/>
      <c r="E1044" s="35"/>
      <c r="F1044" s="35"/>
      <c r="G1044" s="35"/>
      <c r="H1044" s="35"/>
      <c r="I1044" s="35"/>
      <c r="J1044" s="35"/>
      <c r="K1044" s="35"/>
      <c r="L1044" s="35"/>
      <c r="M1044" s="35"/>
      <c r="N1044" s="35"/>
      <c r="O1044" s="35"/>
      <c r="P1044" s="35"/>
      <c r="Q1044" s="35"/>
      <c r="R1044" s="35"/>
      <c r="S1044" s="35"/>
      <c r="T1044" s="35"/>
      <c r="U1044" s="35"/>
      <c r="V1044" s="35"/>
      <c r="W1044" s="35"/>
      <c r="X1044" s="35"/>
      <c r="Y1044" s="35"/>
      <c r="Z1044" s="35"/>
      <c r="AA1044" s="35"/>
      <c r="AB1044" s="35"/>
      <c r="AC1044" s="35"/>
      <c r="AD1044" s="35"/>
      <c r="AE1044" s="35"/>
    </row>
    <row r="1045" ht="12.0" customHeight="1">
      <c r="A1045" s="35"/>
      <c r="B1045" s="35"/>
      <c r="C1045" s="35"/>
      <c r="D1045" s="35"/>
      <c r="E1045" s="35"/>
      <c r="F1045" s="35"/>
      <c r="G1045" s="35"/>
      <c r="H1045" s="35"/>
      <c r="I1045" s="35"/>
      <c r="J1045" s="35"/>
      <c r="K1045" s="35"/>
      <c r="L1045" s="35"/>
      <c r="M1045" s="35"/>
      <c r="N1045" s="35"/>
      <c r="O1045" s="35"/>
      <c r="P1045" s="35"/>
      <c r="Q1045" s="35"/>
      <c r="R1045" s="35"/>
      <c r="S1045" s="35"/>
      <c r="T1045" s="35"/>
      <c r="U1045" s="35"/>
      <c r="V1045" s="35"/>
      <c r="W1045" s="35"/>
      <c r="X1045" s="35"/>
      <c r="Y1045" s="35"/>
      <c r="Z1045" s="35"/>
      <c r="AA1045" s="35"/>
      <c r="AB1045" s="35"/>
      <c r="AC1045" s="35"/>
      <c r="AD1045" s="35"/>
      <c r="AE1045" s="35"/>
    </row>
    <row r="1046" ht="12.0" customHeight="1">
      <c r="A1046" s="35"/>
      <c r="B1046" s="35"/>
      <c r="C1046" s="35"/>
      <c r="D1046" s="35"/>
      <c r="E1046" s="35"/>
      <c r="F1046" s="35"/>
      <c r="G1046" s="35"/>
      <c r="H1046" s="35"/>
      <c r="I1046" s="35"/>
      <c r="J1046" s="35"/>
      <c r="K1046" s="35"/>
      <c r="L1046" s="35"/>
      <c r="M1046" s="35"/>
      <c r="N1046" s="35"/>
      <c r="O1046" s="35"/>
      <c r="P1046" s="35"/>
      <c r="Q1046" s="35"/>
      <c r="R1046" s="35"/>
      <c r="S1046" s="35"/>
      <c r="T1046" s="35"/>
      <c r="U1046" s="35"/>
      <c r="V1046" s="35"/>
      <c r="W1046" s="35"/>
      <c r="X1046" s="35"/>
      <c r="Y1046" s="35"/>
      <c r="Z1046" s="35"/>
      <c r="AA1046" s="35"/>
      <c r="AB1046" s="35"/>
      <c r="AC1046" s="35"/>
      <c r="AD1046" s="35"/>
      <c r="AE1046" s="35"/>
    </row>
    <row r="1047" ht="12.0" customHeight="1">
      <c r="A1047" s="35"/>
      <c r="B1047" s="35"/>
      <c r="C1047" s="35"/>
      <c r="D1047" s="35"/>
      <c r="E1047" s="35"/>
      <c r="F1047" s="35"/>
      <c r="G1047" s="35"/>
      <c r="H1047" s="35"/>
      <c r="I1047" s="35"/>
      <c r="J1047" s="35"/>
      <c r="K1047" s="35"/>
      <c r="L1047" s="35"/>
      <c r="M1047" s="35"/>
      <c r="N1047" s="35"/>
      <c r="O1047" s="35"/>
      <c r="P1047" s="35"/>
      <c r="Q1047" s="35"/>
      <c r="R1047" s="35"/>
      <c r="S1047" s="35"/>
      <c r="T1047" s="35"/>
      <c r="U1047" s="35"/>
      <c r="V1047" s="35"/>
      <c r="W1047" s="35"/>
      <c r="X1047" s="35"/>
      <c r="Y1047" s="35"/>
      <c r="Z1047" s="35"/>
      <c r="AA1047" s="35"/>
      <c r="AB1047" s="35"/>
      <c r="AC1047" s="35"/>
      <c r="AD1047" s="35"/>
      <c r="AE1047" s="35"/>
    </row>
    <row r="1048" ht="12.0" customHeight="1">
      <c r="A1048" s="35"/>
      <c r="B1048" s="35"/>
      <c r="C1048" s="35"/>
      <c r="D1048" s="35"/>
      <c r="E1048" s="35"/>
      <c r="F1048" s="35"/>
      <c r="G1048" s="35"/>
      <c r="H1048" s="35"/>
      <c r="I1048" s="35"/>
      <c r="J1048" s="35"/>
      <c r="K1048" s="35"/>
      <c r="L1048" s="35"/>
      <c r="M1048" s="35"/>
      <c r="N1048" s="35"/>
      <c r="O1048" s="35"/>
      <c r="P1048" s="35"/>
      <c r="Q1048" s="35"/>
      <c r="R1048" s="35"/>
      <c r="S1048" s="35"/>
      <c r="T1048" s="35"/>
      <c r="U1048" s="35"/>
      <c r="V1048" s="35"/>
      <c r="W1048" s="35"/>
      <c r="X1048" s="35"/>
      <c r="Y1048" s="35"/>
      <c r="Z1048" s="35"/>
      <c r="AA1048" s="35"/>
      <c r="AB1048" s="35"/>
      <c r="AC1048" s="35"/>
      <c r="AD1048" s="35"/>
      <c r="AE1048" s="35"/>
    </row>
    <row r="1049" ht="12.0" customHeight="1">
      <c r="A1049" s="35"/>
      <c r="B1049" s="35"/>
      <c r="C1049" s="35"/>
      <c r="D1049" s="35"/>
      <c r="E1049" s="35"/>
      <c r="F1049" s="35"/>
      <c r="G1049" s="35"/>
      <c r="H1049" s="35"/>
      <c r="I1049" s="35"/>
      <c r="J1049" s="35"/>
      <c r="K1049" s="35"/>
      <c r="L1049" s="35"/>
      <c r="M1049" s="35"/>
      <c r="N1049" s="35"/>
      <c r="O1049" s="35"/>
      <c r="P1049" s="35"/>
      <c r="Q1049" s="35"/>
      <c r="R1049" s="35"/>
      <c r="S1049" s="35"/>
      <c r="T1049" s="35"/>
      <c r="U1049" s="35"/>
      <c r="V1049" s="35"/>
      <c r="W1049" s="35"/>
      <c r="X1049" s="35"/>
      <c r="Y1049" s="35"/>
      <c r="Z1049" s="35"/>
      <c r="AA1049" s="35"/>
      <c r="AB1049" s="35"/>
      <c r="AC1049" s="35"/>
      <c r="AD1049" s="35"/>
      <c r="AE1049" s="35"/>
    </row>
    <row r="1050" ht="12.0" customHeight="1">
      <c r="A1050" s="35"/>
      <c r="B1050" s="35"/>
      <c r="C1050" s="35"/>
      <c r="D1050" s="35"/>
      <c r="E1050" s="35"/>
      <c r="F1050" s="35"/>
      <c r="G1050" s="35"/>
      <c r="H1050" s="35"/>
      <c r="I1050" s="35"/>
      <c r="J1050" s="35"/>
      <c r="K1050" s="35"/>
      <c r="L1050" s="35"/>
      <c r="M1050" s="35"/>
      <c r="N1050" s="35"/>
      <c r="O1050" s="35"/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5"/>
      <c r="AA1050" s="35"/>
      <c r="AB1050" s="35"/>
      <c r="AC1050" s="35"/>
      <c r="AD1050" s="35"/>
      <c r="AE1050" s="35"/>
    </row>
    <row r="1051" ht="12.0" customHeight="1">
      <c r="A1051" s="35"/>
      <c r="B1051" s="35"/>
      <c r="C1051" s="35"/>
      <c r="D1051" s="35"/>
      <c r="E1051" s="35"/>
      <c r="F1051" s="35"/>
      <c r="G1051" s="35"/>
      <c r="H1051" s="35"/>
      <c r="I1051" s="35"/>
      <c r="J1051" s="35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  <c r="AA1051" s="35"/>
      <c r="AB1051" s="35"/>
      <c r="AC1051" s="35"/>
      <c r="AD1051" s="35"/>
      <c r="AE1051" s="35"/>
    </row>
    <row r="1052" ht="12.0" customHeight="1">
      <c r="A1052" s="35"/>
      <c r="B1052" s="35"/>
      <c r="C1052" s="35"/>
      <c r="D1052" s="35"/>
      <c r="E1052" s="35"/>
      <c r="F1052" s="35"/>
      <c r="G1052" s="35"/>
      <c r="H1052" s="35"/>
      <c r="I1052" s="35"/>
      <c r="J1052" s="35"/>
      <c r="K1052" s="35"/>
      <c r="L1052" s="35"/>
      <c r="M1052" s="35"/>
      <c r="N1052" s="35"/>
      <c r="O1052" s="35"/>
      <c r="P1052" s="35"/>
      <c r="Q1052" s="35"/>
      <c r="R1052" s="35"/>
      <c r="S1052" s="35"/>
      <c r="T1052" s="35"/>
      <c r="U1052" s="35"/>
      <c r="V1052" s="35"/>
      <c r="W1052" s="35"/>
      <c r="X1052" s="35"/>
      <c r="Y1052" s="35"/>
      <c r="Z1052" s="35"/>
      <c r="AA1052" s="35"/>
      <c r="AB1052" s="35"/>
      <c r="AC1052" s="35"/>
      <c r="AD1052" s="35"/>
      <c r="AE1052" s="35"/>
    </row>
    <row r="1053" ht="12.0" customHeight="1">
      <c r="A1053" s="35"/>
      <c r="B1053" s="35"/>
      <c r="C1053" s="35"/>
      <c r="D1053" s="35"/>
      <c r="E1053" s="35"/>
      <c r="F1053" s="35"/>
      <c r="G1053" s="35"/>
      <c r="H1053" s="35"/>
      <c r="I1053" s="35"/>
      <c r="J1053" s="35"/>
      <c r="K1053" s="35"/>
      <c r="L1053" s="35"/>
      <c r="M1053" s="35"/>
      <c r="N1053" s="35"/>
      <c r="O1053" s="35"/>
      <c r="P1053" s="35"/>
      <c r="Q1053" s="35"/>
      <c r="R1053" s="35"/>
      <c r="S1053" s="35"/>
      <c r="T1053" s="35"/>
      <c r="U1053" s="35"/>
      <c r="V1053" s="35"/>
      <c r="W1053" s="35"/>
      <c r="X1053" s="35"/>
      <c r="Y1053" s="35"/>
      <c r="Z1053" s="35"/>
      <c r="AA1053" s="35"/>
      <c r="AB1053" s="35"/>
      <c r="AC1053" s="35"/>
      <c r="AD1053" s="35"/>
      <c r="AE1053" s="35"/>
    </row>
    <row r="1054" ht="12.0" customHeight="1">
      <c r="A1054" s="35"/>
      <c r="B1054" s="35"/>
      <c r="C1054" s="35"/>
      <c r="D1054" s="35"/>
      <c r="E1054" s="35"/>
      <c r="F1054" s="35"/>
      <c r="G1054" s="35"/>
      <c r="H1054" s="35"/>
      <c r="I1054" s="35"/>
      <c r="J1054" s="35"/>
      <c r="K1054" s="35"/>
      <c r="L1054" s="35"/>
      <c r="M1054" s="35"/>
      <c r="N1054" s="35"/>
      <c r="O1054" s="35"/>
      <c r="P1054" s="35"/>
      <c r="Q1054" s="35"/>
      <c r="R1054" s="35"/>
      <c r="S1054" s="35"/>
      <c r="T1054" s="35"/>
      <c r="U1054" s="35"/>
      <c r="V1054" s="35"/>
      <c r="W1054" s="35"/>
      <c r="X1054" s="35"/>
      <c r="Y1054" s="35"/>
      <c r="Z1054" s="35"/>
      <c r="AA1054" s="35"/>
      <c r="AB1054" s="35"/>
      <c r="AC1054" s="35"/>
      <c r="AD1054" s="35"/>
      <c r="AE1054" s="35"/>
    </row>
    <row r="1055" ht="12.0" customHeight="1">
      <c r="A1055" s="35"/>
      <c r="B1055" s="35"/>
      <c r="C1055" s="35"/>
      <c r="D1055" s="35"/>
      <c r="E1055" s="35"/>
      <c r="F1055" s="35"/>
      <c r="G1055" s="35"/>
      <c r="H1055" s="35"/>
      <c r="I1055" s="35"/>
      <c r="J1055" s="35"/>
      <c r="K1055" s="35"/>
      <c r="L1055" s="35"/>
      <c r="M1055" s="35"/>
      <c r="N1055" s="35"/>
      <c r="O1055" s="35"/>
      <c r="P1055" s="35"/>
      <c r="Q1055" s="35"/>
      <c r="R1055" s="35"/>
      <c r="S1055" s="35"/>
      <c r="T1055" s="35"/>
      <c r="U1055" s="35"/>
      <c r="V1055" s="35"/>
      <c r="W1055" s="35"/>
      <c r="X1055" s="35"/>
      <c r="Y1055" s="35"/>
      <c r="Z1055" s="35"/>
      <c r="AA1055" s="35"/>
      <c r="AB1055" s="35"/>
      <c r="AC1055" s="35"/>
      <c r="AD1055" s="35"/>
      <c r="AE1055" s="35"/>
    </row>
    <row r="1056" ht="12.0" customHeight="1">
      <c r="A1056" s="35"/>
      <c r="B1056" s="35"/>
      <c r="C1056" s="35"/>
      <c r="D1056" s="35"/>
      <c r="E1056" s="35"/>
      <c r="F1056" s="35"/>
      <c r="G1056" s="35"/>
      <c r="H1056" s="35"/>
      <c r="I1056" s="35"/>
      <c r="J1056" s="35"/>
      <c r="K1056" s="35"/>
      <c r="L1056" s="35"/>
      <c r="M1056" s="35"/>
      <c r="N1056" s="35"/>
      <c r="O1056" s="35"/>
      <c r="P1056" s="35"/>
      <c r="Q1056" s="35"/>
      <c r="R1056" s="35"/>
      <c r="S1056" s="35"/>
      <c r="T1056" s="35"/>
      <c r="U1056" s="35"/>
      <c r="V1056" s="35"/>
      <c r="W1056" s="35"/>
      <c r="X1056" s="35"/>
      <c r="Y1056" s="35"/>
      <c r="Z1056" s="35"/>
      <c r="AA1056" s="35"/>
      <c r="AB1056" s="35"/>
      <c r="AC1056" s="35"/>
      <c r="AD1056" s="35"/>
      <c r="AE1056" s="35"/>
    </row>
    <row r="1057" ht="12.0" customHeight="1">
      <c r="A1057" s="35"/>
      <c r="B1057" s="35"/>
      <c r="C1057" s="35"/>
      <c r="D1057" s="35"/>
      <c r="E1057" s="35"/>
      <c r="F1057" s="35"/>
      <c r="G1057" s="35"/>
      <c r="H1057" s="35"/>
      <c r="I1057" s="35"/>
      <c r="J1057" s="35"/>
      <c r="K1057" s="35"/>
      <c r="L1057" s="35"/>
      <c r="M1057" s="35"/>
      <c r="N1057" s="35"/>
      <c r="O1057" s="35"/>
      <c r="P1057" s="35"/>
      <c r="Q1057" s="35"/>
      <c r="R1057" s="35"/>
      <c r="S1057" s="35"/>
      <c r="T1057" s="35"/>
      <c r="U1057" s="35"/>
      <c r="V1057" s="35"/>
      <c r="W1057" s="35"/>
      <c r="X1057" s="35"/>
      <c r="Y1057" s="35"/>
      <c r="Z1057" s="35"/>
      <c r="AA1057" s="35"/>
      <c r="AB1057" s="35"/>
      <c r="AC1057" s="35"/>
      <c r="AD1057" s="35"/>
      <c r="AE1057" s="35"/>
    </row>
    <row r="1058" ht="12.0" customHeight="1">
      <c r="A1058" s="35"/>
      <c r="B1058" s="35"/>
      <c r="C1058" s="35"/>
      <c r="D1058" s="35"/>
      <c r="E1058" s="35"/>
      <c r="F1058" s="35"/>
      <c r="G1058" s="35"/>
      <c r="H1058" s="35"/>
      <c r="I1058" s="35"/>
      <c r="J1058" s="35"/>
      <c r="K1058" s="35"/>
      <c r="L1058" s="35"/>
      <c r="M1058" s="35"/>
      <c r="N1058" s="35"/>
      <c r="O1058" s="35"/>
      <c r="P1058" s="35"/>
      <c r="Q1058" s="35"/>
      <c r="R1058" s="35"/>
      <c r="S1058" s="35"/>
      <c r="T1058" s="35"/>
      <c r="U1058" s="35"/>
      <c r="V1058" s="35"/>
      <c r="W1058" s="35"/>
      <c r="X1058" s="35"/>
      <c r="Y1058" s="35"/>
      <c r="Z1058" s="35"/>
      <c r="AA1058" s="35"/>
      <c r="AB1058" s="35"/>
      <c r="AC1058" s="35"/>
      <c r="AD1058" s="35"/>
      <c r="AE1058" s="35"/>
    </row>
    <row r="1059" ht="12.0" customHeight="1">
      <c r="A1059" s="35"/>
      <c r="B1059" s="35"/>
      <c r="C1059" s="35"/>
      <c r="D1059" s="35"/>
      <c r="E1059" s="35"/>
      <c r="F1059" s="35"/>
      <c r="G1059" s="35"/>
      <c r="H1059" s="35"/>
      <c r="I1059" s="35"/>
      <c r="J1059" s="35"/>
      <c r="K1059" s="35"/>
      <c r="L1059" s="35"/>
      <c r="M1059" s="35"/>
      <c r="N1059" s="35"/>
      <c r="O1059" s="35"/>
      <c r="P1059" s="35"/>
      <c r="Q1059" s="35"/>
      <c r="R1059" s="35"/>
      <c r="S1059" s="35"/>
      <c r="T1059" s="35"/>
      <c r="U1059" s="35"/>
      <c r="V1059" s="35"/>
      <c r="W1059" s="35"/>
      <c r="X1059" s="35"/>
      <c r="Y1059" s="35"/>
      <c r="Z1059" s="35"/>
      <c r="AA1059" s="35"/>
      <c r="AB1059" s="35"/>
      <c r="AC1059" s="35"/>
      <c r="AD1059" s="35"/>
      <c r="AE1059" s="35"/>
    </row>
    <row r="1060" ht="12.0" customHeight="1">
      <c r="A1060" s="35"/>
      <c r="B1060" s="35"/>
      <c r="C1060" s="35"/>
      <c r="D1060" s="35"/>
      <c r="E1060" s="35"/>
      <c r="F1060" s="35"/>
      <c r="G1060" s="35"/>
      <c r="H1060" s="35"/>
      <c r="I1060" s="35"/>
      <c r="J1060" s="35"/>
      <c r="K1060" s="35"/>
      <c r="L1060" s="35"/>
      <c r="M1060" s="35"/>
      <c r="N1060" s="35"/>
      <c r="O1060" s="35"/>
      <c r="P1060" s="35"/>
      <c r="Q1060" s="35"/>
      <c r="R1060" s="35"/>
      <c r="S1060" s="35"/>
      <c r="T1060" s="35"/>
      <c r="U1060" s="35"/>
      <c r="V1060" s="35"/>
      <c r="W1060" s="35"/>
      <c r="X1060" s="35"/>
      <c r="Y1060" s="35"/>
      <c r="Z1060" s="35"/>
      <c r="AA1060" s="35"/>
      <c r="AB1060" s="35"/>
      <c r="AC1060" s="35"/>
      <c r="AD1060" s="35"/>
      <c r="AE1060" s="35"/>
    </row>
    <row r="1061" ht="12.0" customHeight="1">
      <c r="A1061" s="35"/>
      <c r="B1061" s="35"/>
      <c r="C1061" s="35"/>
      <c r="D1061" s="35"/>
      <c r="E1061" s="35"/>
      <c r="F1061" s="35"/>
      <c r="G1061" s="35"/>
      <c r="H1061" s="35"/>
      <c r="I1061" s="35"/>
      <c r="J1061" s="35"/>
      <c r="K1061" s="35"/>
      <c r="L1061" s="35"/>
      <c r="M1061" s="35"/>
      <c r="N1061" s="35"/>
      <c r="O1061" s="35"/>
      <c r="P1061" s="35"/>
      <c r="Q1061" s="35"/>
      <c r="R1061" s="35"/>
      <c r="S1061" s="35"/>
      <c r="T1061" s="35"/>
      <c r="U1061" s="35"/>
      <c r="V1061" s="35"/>
      <c r="W1061" s="35"/>
      <c r="X1061" s="35"/>
      <c r="Y1061" s="35"/>
      <c r="Z1061" s="35"/>
      <c r="AA1061" s="35"/>
      <c r="AB1061" s="35"/>
      <c r="AC1061" s="35"/>
      <c r="AD1061" s="35"/>
      <c r="AE1061" s="35"/>
    </row>
    <row r="1062" ht="12.0" customHeight="1">
      <c r="A1062" s="35"/>
      <c r="B1062" s="35"/>
      <c r="C1062" s="35"/>
      <c r="D1062" s="35"/>
      <c r="E1062" s="35"/>
      <c r="F1062" s="35"/>
      <c r="G1062" s="35"/>
      <c r="H1062" s="35"/>
      <c r="I1062" s="35"/>
      <c r="J1062" s="35"/>
      <c r="K1062" s="35"/>
      <c r="L1062" s="35"/>
      <c r="M1062" s="35"/>
      <c r="N1062" s="35"/>
      <c r="O1062" s="35"/>
      <c r="P1062" s="35"/>
      <c r="Q1062" s="35"/>
      <c r="R1062" s="35"/>
      <c r="S1062" s="35"/>
      <c r="T1062" s="35"/>
      <c r="U1062" s="35"/>
      <c r="V1062" s="35"/>
      <c r="W1062" s="35"/>
      <c r="X1062" s="35"/>
      <c r="Y1062" s="35"/>
      <c r="Z1062" s="35"/>
      <c r="AA1062" s="35"/>
      <c r="AB1062" s="35"/>
      <c r="AC1062" s="35"/>
      <c r="AD1062" s="35"/>
      <c r="AE1062" s="35"/>
    </row>
    <row r="1063" ht="12.0" customHeight="1">
      <c r="A1063" s="35"/>
      <c r="B1063" s="35"/>
      <c r="C1063" s="35"/>
      <c r="D1063" s="35"/>
      <c r="E1063" s="35"/>
      <c r="F1063" s="35"/>
      <c r="G1063" s="35"/>
      <c r="H1063" s="35"/>
      <c r="I1063" s="35"/>
      <c r="J1063" s="35"/>
      <c r="K1063" s="35"/>
      <c r="L1063" s="35"/>
      <c r="M1063" s="35"/>
      <c r="N1063" s="35"/>
      <c r="O1063" s="35"/>
      <c r="P1063" s="35"/>
      <c r="Q1063" s="35"/>
      <c r="R1063" s="35"/>
      <c r="S1063" s="35"/>
      <c r="T1063" s="35"/>
      <c r="U1063" s="35"/>
      <c r="V1063" s="35"/>
      <c r="W1063" s="35"/>
      <c r="X1063" s="35"/>
      <c r="Y1063" s="35"/>
      <c r="Z1063" s="35"/>
      <c r="AA1063" s="35"/>
      <c r="AB1063" s="35"/>
      <c r="AC1063" s="35"/>
      <c r="AD1063" s="35"/>
      <c r="AE1063" s="35"/>
    </row>
    <row r="1064" ht="12.0" customHeight="1">
      <c r="A1064" s="35"/>
      <c r="B1064" s="35"/>
      <c r="C1064" s="35"/>
      <c r="D1064" s="35"/>
      <c r="E1064" s="35"/>
      <c r="F1064" s="35"/>
      <c r="G1064" s="35"/>
      <c r="H1064" s="35"/>
      <c r="I1064" s="35"/>
      <c r="J1064" s="35"/>
      <c r="K1064" s="35"/>
      <c r="L1064" s="35"/>
      <c r="M1064" s="35"/>
      <c r="N1064" s="35"/>
      <c r="O1064" s="35"/>
      <c r="P1064" s="35"/>
      <c r="Q1064" s="35"/>
      <c r="R1064" s="35"/>
      <c r="S1064" s="35"/>
      <c r="T1064" s="35"/>
      <c r="U1064" s="35"/>
      <c r="V1064" s="35"/>
      <c r="W1064" s="35"/>
      <c r="X1064" s="35"/>
      <c r="Y1064" s="35"/>
      <c r="Z1064" s="35"/>
      <c r="AA1064" s="35"/>
      <c r="AB1064" s="35"/>
      <c r="AC1064" s="35"/>
      <c r="AD1064" s="35"/>
      <c r="AE1064" s="35"/>
    </row>
    <row r="1065" ht="12.0" customHeight="1">
      <c r="A1065" s="35"/>
      <c r="B1065" s="35"/>
      <c r="C1065" s="35"/>
      <c r="D1065" s="35"/>
      <c r="E1065" s="35"/>
      <c r="F1065" s="35"/>
      <c r="G1065" s="35"/>
      <c r="H1065" s="35"/>
      <c r="I1065" s="35"/>
      <c r="J1065" s="35"/>
      <c r="K1065" s="35"/>
      <c r="L1065" s="35"/>
      <c r="M1065" s="35"/>
      <c r="N1065" s="35"/>
      <c r="O1065" s="35"/>
      <c r="P1065" s="35"/>
      <c r="Q1065" s="35"/>
      <c r="R1065" s="35"/>
      <c r="S1065" s="35"/>
      <c r="T1065" s="35"/>
      <c r="U1065" s="35"/>
      <c r="V1065" s="35"/>
      <c r="W1065" s="35"/>
      <c r="X1065" s="35"/>
      <c r="Y1065" s="35"/>
      <c r="Z1065" s="35"/>
      <c r="AA1065" s="35"/>
      <c r="AB1065" s="35"/>
      <c r="AC1065" s="35"/>
      <c r="AD1065" s="35"/>
      <c r="AE1065" s="35"/>
    </row>
    <row r="1066" ht="12.0" customHeight="1">
      <c r="A1066" s="35"/>
      <c r="B1066" s="35"/>
      <c r="C1066" s="35"/>
      <c r="D1066" s="35"/>
      <c r="E1066" s="35"/>
      <c r="F1066" s="35"/>
      <c r="G1066" s="35"/>
      <c r="H1066" s="35"/>
      <c r="I1066" s="35"/>
      <c r="J1066" s="35"/>
      <c r="K1066" s="35"/>
      <c r="L1066" s="35"/>
      <c r="M1066" s="35"/>
      <c r="N1066" s="35"/>
      <c r="O1066" s="35"/>
      <c r="P1066" s="35"/>
      <c r="Q1066" s="35"/>
      <c r="R1066" s="35"/>
      <c r="S1066" s="35"/>
      <c r="T1066" s="35"/>
      <c r="U1066" s="35"/>
      <c r="V1066" s="35"/>
      <c r="W1066" s="35"/>
      <c r="X1066" s="35"/>
      <c r="Y1066" s="35"/>
      <c r="Z1066" s="35"/>
      <c r="AA1066" s="35"/>
      <c r="AB1066" s="35"/>
      <c r="AC1066" s="35"/>
      <c r="AD1066" s="35"/>
      <c r="AE1066" s="35"/>
    </row>
    <row r="1067" ht="12.0" customHeight="1">
      <c r="A1067" s="35"/>
      <c r="B1067" s="35"/>
      <c r="C1067" s="35"/>
      <c r="D1067" s="35"/>
      <c r="E1067" s="35"/>
      <c r="F1067" s="35"/>
      <c r="G1067" s="35"/>
      <c r="H1067" s="35"/>
      <c r="I1067" s="35"/>
      <c r="J1067" s="35"/>
      <c r="K1067" s="35"/>
      <c r="L1067" s="35"/>
      <c r="M1067" s="35"/>
      <c r="N1067" s="35"/>
      <c r="O1067" s="35"/>
      <c r="P1067" s="35"/>
      <c r="Q1067" s="35"/>
      <c r="R1067" s="35"/>
      <c r="S1067" s="35"/>
      <c r="T1067" s="35"/>
      <c r="U1067" s="35"/>
      <c r="V1067" s="35"/>
      <c r="W1067" s="35"/>
      <c r="X1067" s="35"/>
      <c r="Y1067" s="35"/>
      <c r="Z1067" s="35"/>
      <c r="AA1067" s="35"/>
      <c r="AB1067" s="35"/>
      <c r="AC1067" s="35"/>
      <c r="AD1067" s="35"/>
      <c r="AE1067" s="35"/>
    </row>
    <row r="1068" ht="12.0" customHeight="1">
      <c r="A1068" s="35"/>
      <c r="B1068" s="35"/>
      <c r="C1068" s="35"/>
      <c r="D1068" s="35"/>
      <c r="E1068" s="35"/>
      <c r="F1068" s="35"/>
      <c r="G1068" s="35"/>
      <c r="H1068" s="35"/>
      <c r="I1068" s="35"/>
      <c r="J1068" s="35"/>
      <c r="K1068" s="35"/>
      <c r="L1068" s="35"/>
      <c r="M1068" s="35"/>
      <c r="N1068" s="35"/>
      <c r="O1068" s="35"/>
      <c r="P1068" s="35"/>
      <c r="Q1068" s="35"/>
      <c r="R1068" s="35"/>
      <c r="S1068" s="35"/>
      <c r="T1068" s="35"/>
      <c r="U1068" s="35"/>
      <c r="V1068" s="35"/>
      <c r="W1068" s="35"/>
      <c r="X1068" s="35"/>
      <c r="Y1068" s="35"/>
      <c r="Z1068" s="35"/>
      <c r="AA1068" s="35"/>
      <c r="AB1068" s="35"/>
      <c r="AC1068" s="35"/>
      <c r="AD1068" s="35"/>
      <c r="AE1068" s="35"/>
    </row>
    <row r="1069" ht="12.0" customHeight="1">
      <c r="A1069" s="35"/>
      <c r="B1069" s="35"/>
      <c r="C1069" s="35"/>
      <c r="D1069" s="35"/>
      <c r="E1069" s="35"/>
      <c r="F1069" s="35"/>
      <c r="G1069" s="35"/>
      <c r="H1069" s="35"/>
      <c r="I1069" s="35"/>
      <c r="J1069" s="35"/>
      <c r="K1069" s="35"/>
      <c r="L1069" s="35"/>
      <c r="M1069" s="35"/>
      <c r="N1069" s="35"/>
      <c r="O1069" s="35"/>
      <c r="P1069" s="35"/>
      <c r="Q1069" s="35"/>
      <c r="R1069" s="35"/>
      <c r="S1069" s="35"/>
      <c r="T1069" s="35"/>
      <c r="U1069" s="35"/>
      <c r="V1069" s="35"/>
      <c r="W1069" s="35"/>
      <c r="X1069" s="35"/>
      <c r="Y1069" s="35"/>
      <c r="Z1069" s="35"/>
      <c r="AA1069" s="35"/>
      <c r="AB1069" s="35"/>
      <c r="AC1069" s="35"/>
      <c r="AD1069" s="35"/>
      <c r="AE1069" s="35"/>
    </row>
    <row r="1070" ht="12.0" customHeight="1">
      <c r="A1070" s="35"/>
      <c r="B1070" s="35"/>
      <c r="C1070" s="35"/>
      <c r="D1070" s="35"/>
      <c r="E1070" s="35"/>
      <c r="F1070" s="35"/>
      <c r="G1070" s="35"/>
      <c r="H1070" s="35"/>
      <c r="I1070" s="35"/>
      <c r="J1070" s="35"/>
      <c r="K1070" s="35"/>
      <c r="L1070" s="35"/>
      <c r="M1070" s="35"/>
      <c r="N1070" s="35"/>
      <c r="O1070" s="35"/>
      <c r="P1070" s="35"/>
      <c r="Q1070" s="35"/>
      <c r="R1070" s="35"/>
      <c r="S1070" s="35"/>
      <c r="T1070" s="35"/>
      <c r="U1070" s="35"/>
      <c r="V1070" s="35"/>
      <c r="W1070" s="35"/>
      <c r="X1070" s="35"/>
      <c r="Y1070" s="35"/>
      <c r="Z1070" s="35"/>
      <c r="AA1070" s="35"/>
      <c r="AB1070" s="35"/>
      <c r="AC1070" s="35"/>
      <c r="AD1070" s="35"/>
      <c r="AE1070" s="35"/>
    </row>
    <row r="1071" ht="12.0" customHeight="1">
      <c r="A1071" s="35"/>
      <c r="B1071" s="35"/>
      <c r="C1071" s="35"/>
      <c r="D1071" s="35"/>
      <c r="E1071" s="35"/>
      <c r="F1071" s="35"/>
      <c r="G1071" s="35"/>
      <c r="H1071" s="35"/>
      <c r="I1071" s="35"/>
      <c r="J1071" s="35"/>
      <c r="K1071" s="35"/>
      <c r="L1071" s="35"/>
      <c r="M1071" s="35"/>
      <c r="N1071" s="35"/>
      <c r="O1071" s="35"/>
      <c r="P1071" s="35"/>
      <c r="Q1071" s="35"/>
      <c r="R1071" s="35"/>
      <c r="S1071" s="35"/>
      <c r="T1071" s="35"/>
      <c r="U1071" s="35"/>
      <c r="V1071" s="35"/>
      <c r="W1071" s="35"/>
      <c r="X1071" s="35"/>
      <c r="Y1071" s="35"/>
      <c r="Z1071" s="35"/>
      <c r="AA1071" s="35"/>
      <c r="AB1071" s="35"/>
      <c r="AC1071" s="35"/>
      <c r="AD1071" s="35"/>
      <c r="AE1071" s="35"/>
    </row>
    <row r="1072" ht="12.0" customHeight="1">
      <c r="A1072" s="35"/>
      <c r="B1072" s="35"/>
      <c r="C1072" s="35"/>
      <c r="D1072" s="35"/>
      <c r="E1072" s="35"/>
      <c r="F1072" s="35"/>
      <c r="G1072" s="35"/>
      <c r="H1072" s="35"/>
      <c r="I1072" s="35"/>
      <c r="J1072" s="35"/>
      <c r="K1072" s="35"/>
      <c r="L1072" s="35"/>
      <c r="M1072" s="35"/>
      <c r="N1072" s="35"/>
      <c r="O1072" s="35"/>
      <c r="P1072" s="35"/>
      <c r="Q1072" s="35"/>
      <c r="R1072" s="35"/>
      <c r="S1072" s="35"/>
      <c r="T1072" s="35"/>
      <c r="U1072" s="35"/>
      <c r="V1072" s="35"/>
      <c r="W1072" s="35"/>
      <c r="X1072" s="35"/>
      <c r="Y1072" s="35"/>
      <c r="Z1072" s="35"/>
      <c r="AA1072" s="35"/>
      <c r="AB1072" s="35"/>
      <c r="AC1072" s="35"/>
      <c r="AD1072" s="35"/>
      <c r="AE1072" s="35"/>
    </row>
    <row r="1073" ht="12.0" customHeight="1">
      <c r="A1073" s="35"/>
      <c r="B1073" s="35"/>
      <c r="C1073" s="35"/>
      <c r="D1073" s="35"/>
      <c r="E1073" s="35"/>
      <c r="F1073" s="35"/>
      <c r="G1073" s="35"/>
      <c r="H1073" s="35"/>
      <c r="I1073" s="35"/>
      <c r="J1073" s="35"/>
      <c r="K1073" s="35"/>
      <c r="L1073" s="35"/>
      <c r="M1073" s="35"/>
      <c r="N1073" s="35"/>
      <c r="O1073" s="35"/>
      <c r="P1073" s="35"/>
      <c r="Q1073" s="35"/>
      <c r="R1073" s="35"/>
      <c r="S1073" s="35"/>
      <c r="T1073" s="35"/>
      <c r="U1073" s="35"/>
      <c r="V1073" s="35"/>
      <c r="W1073" s="35"/>
      <c r="X1073" s="35"/>
      <c r="Y1073" s="35"/>
      <c r="Z1073" s="35"/>
      <c r="AA1073" s="35"/>
      <c r="AB1073" s="35"/>
      <c r="AC1073" s="35"/>
      <c r="AD1073" s="35"/>
      <c r="AE1073" s="35"/>
    </row>
    <row r="1074" ht="12.0" customHeight="1">
      <c r="A1074" s="35"/>
      <c r="B1074" s="35"/>
      <c r="C1074" s="35"/>
      <c r="D1074" s="35"/>
      <c r="E1074" s="35"/>
      <c r="F1074" s="35"/>
      <c r="G1074" s="35"/>
      <c r="H1074" s="35"/>
      <c r="I1074" s="35"/>
      <c r="J1074" s="35"/>
      <c r="K1074" s="35"/>
      <c r="L1074" s="35"/>
      <c r="M1074" s="35"/>
      <c r="N1074" s="35"/>
      <c r="O1074" s="35"/>
      <c r="P1074" s="35"/>
      <c r="Q1074" s="35"/>
      <c r="R1074" s="35"/>
      <c r="S1074" s="35"/>
      <c r="T1074" s="35"/>
      <c r="U1074" s="35"/>
      <c r="V1074" s="35"/>
      <c r="W1074" s="35"/>
      <c r="X1074" s="35"/>
      <c r="Y1074" s="35"/>
      <c r="Z1074" s="35"/>
      <c r="AA1074" s="35"/>
      <c r="AB1074" s="35"/>
      <c r="AC1074" s="35"/>
      <c r="AD1074" s="35"/>
      <c r="AE1074" s="35"/>
    </row>
    <row r="1075" ht="12.0" customHeight="1">
      <c r="A1075" s="35"/>
      <c r="B1075" s="35"/>
      <c r="C1075" s="35"/>
      <c r="D1075" s="35"/>
      <c r="E1075" s="35"/>
      <c r="F1075" s="35"/>
      <c r="G1075" s="35"/>
      <c r="H1075" s="35"/>
      <c r="I1075" s="35"/>
      <c r="J1075" s="35"/>
      <c r="K1075" s="35"/>
      <c r="L1075" s="35"/>
      <c r="M1075" s="35"/>
      <c r="N1075" s="35"/>
      <c r="O1075" s="35"/>
      <c r="P1075" s="35"/>
      <c r="Q1075" s="35"/>
      <c r="R1075" s="35"/>
      <c r="S1075" s="35"/>
      <c r="T1075" s="35"/>
      <c r="U1075" s="35"/>
      <c r="V1075" s="35"/>
      <c r="W1075" s="35"/>
      <c r="X1075" s="35"/>
      <c r="Y1075" s="35"/>
      <c r="Z1075" s="35"/>
      <c r="AA1075" s="35"/>
      <c r="AB1075" s="35"/>
      <c r="AC1075" s="35"/>
      <c r="AD1075" s="35"/>
      <c r="AE1075" s="35"/>
    </row>
    <row r="1076" ht="12.0" customHeight="1">
      <c r="A1076" s="35"/>
      <c r="B1076" s="35"/>
      <c r="C1076" s="35"/>
      <c r="D1076" s="35"/>
      <c r="E1076" s="35"/>
      <c r="F1076" s="35"/>
      <c r="G1076" s="35"/>
      <c r="H1076" s="35"/>
      <c r="I1076" s="35"/>
      <c r="J1076" s="35"/>
      <c r="K1076" s="35"/>
      <c r="L1076" s="35"/>
      <c r="M1076" s="35"/>
      <c r="N1076" s="35"/>
      <c r="O1076" s="35"/>
      <c r="P1076" s="35"/>
      <c r="Q1076" s="35"/>
      <c r="R1076" s="35"/>
      <c r="S1076" s="35"/>
      <c r="T1076" s="35"/>
      <c r="U1076" s="35"/>
      <c r="V1076" s="35"/>
      <c r="W1076" s="35"/>
      <c r="X1076" s="35"/>
      <c r="Y1076" s="35"/>
      <c r="Z1076" s="35"/>
      <c r="AA1076" s="35"/>
      <c r="AB1076" s="35"/>
      <c r="AC1076" s="35"/>
      <c r="AD1076" s="35"/>
      <c r="AE1076" s="35"/>
    </row>
    <row r="1077" ht="12.0" customHeight="1">
      <c r="A1077" s="35"/>
      <c r="B1077" s="35"/>
      <c r="C1077" s="35"/>
      <c r="D1077" s="35"/>
      <c r="E1077" s="35"/>
      <c r="F1077" s="35"/>
      <c r="G1077" s="35"/>
      <c r="H1077" s="35"/>
      <c r="I1077" s="35"/>
      <c r="J1077" s="35"/>
      <c r="K1077" s="35"/>
      <c r="L1077" s="35"/>
      <c r="M1077" s="35"/>
      <c r="N1077" s="35"/>
      <c r="O1077" s="35"/>
      <c r="P1077" s="35"/>
      <c r="Q1077" s="35"/>
      <c r="R1077" s="35"/>
      <c r="S1077" s="35"/>
      <c r="T1077" s="35"/>
      <c r="U1077" s="35"/>
      <c r="V1077" s="35"/>
      <c r="W1077" s="35"/>
      <c r="X1077" s="35"/>
      <c r="Y1077" s="35"/>
      <c r="Z1077" s="35"/>
      <c r="AA1077" s="35"/>
      <c r="AB1077" s="35"/>
      <c r="AC1077" s="35"/>
      <c r="AD1077" s="35"/>
      <c r="AE1077" s="35"/>
    </row>
    <row r="1078" ht="12.0" customHeight="1">
      <c r="A1078" s="35"/>
      <c r="B1078" s="35"/>
      <c r="C1078" s="35"/>
      <c r="D1078" s="35"/>
      <c r="E1078" s="35"/>
      <c r="F1078" s="35"/>
      <c r="G1078" s="35"/>
      <c r="H1078" s="35"/>
      <c r="I1078" s="35"/>
      <c r="J1078" s="35"/>
      <c r="K1078" s="35"/>
      <c r="L1078" s="35"/>
      <c r="M1078" s="35"/>
      <c r="N1078" s="35"/>
      <c r="O1078" s="35"/>
      <c r="P1078" s="35"/>
      <c r="Q1078" s="35"/>
      <c r="R1078" s="35"/>
      <c r="S1078" s="35"/>
      <c r="T1078" s="35"/>
      <c r="U1078" s="35"/>
      <c r="V1078" s="35"/>
      <c r="W1078" s="35"/>
      <c r="X1078" s="35"/>
      <c r="Y1078" s="35"/>
      <c r="Z1078" s="35"/>
      <c r="AA1078" s="35"/>
      <c r="AB1078" s="35"/>
      <c r="AC1078" s="35"/>
      <c r="AD1078" s="35"/>
      <c r="AE1078" s="35"/>
    </row>
    <row r="1079" ht="12.0" customHeight="1">
      <c r="A1079" s="35"/>
      <c r="B1079" s="35"/>
      <c r="C1079" s="35"/>
      <c r="D1079" s="35"/>
      <c r="E1079" s="35"/>
      <c r="F1079" s="35"/>
      <c r="G1079" s="35"/>
      <c r="H1079" s="35"/>
      <c r="I1079" s="35"/>
      <c r="J1079" s="35"/>
      <c r="K1079" s="35"/>
      <c r="L1079" s="35"/>
      <c r="M1079" s="35"/>
      <c r="N1079" s="35"/>
      <c r="O1079" s="35"/>
      <c r="P1079" s="35"/>
      <c r="Q1079" s="35"/>
      <c r="R1079" s="35"/>
      <c r="S1079" s="35"/>
      <c r="T1079" s="35"/>
      <c r="U1079" s="35"/>
      <c r="V1079" s="35"/>
      <c r="W1079" s="35"/>
      <c r="X1079" s="35"/>
      <c r="Y1079" s="35"/>
      <c r="Z1079" s="35"/>
      <c r="AA1079" s="35"/>
      <c r="AB1079" s="35"/>
      <c r="AC1079" s="35"/>
      <c r="AD1079" s="35"/>
      <c r="AE1079" s="35"/>
    </row>
    <row r="1080" ht="12.0" customHeight="1">
      <c r="A1080" s="35"/>
      <c r="B1080" s="35"/>
      <c r="C1080" s="35"/>
      <c r="D1080" s="35"/>
      <c r="E1080" s="35"/>
      <c r="F1080" s="35"/>
      <c r="G1080" s="35"/>
      <c r="H1080" s="35"/>
      <c r="I1080" s="35"/>
      <c r="J1080" s="35"/>
      <c r="K1080" s="35"/>
      <c r="L1080" s="35"/>
      <c r="M1080" s="35"/>
      <c r="N1080" s="35"/>
      <c r="O1080" s="35"/>
      <c r="P1080" s="35"/>
      <c r="Q1080" s="35"/>
      <c r="R1080" s="35"/>
      <c r="S1080" s="35"/>
      <c r="T1080" s="35"/>
      <c r="U1080" s="35"/>
      <c r="V1080" s="35"/>
      <c r="W1080" s="35"/>
      <c r="X1080" s="35"/>
      <c r="Y1080" s="35"/>
      <c r="Z1080" s="35"/>
      <c r="AA1080" s="35"/>
      <c r="AB1080" s="35"/>
      <c r="AC1080" s="35"/>
      <c r="AD1080" s="35"/>
      <c r="AE1080" s="35"/>
    </row>
    <row r="1081" ht="12.0" customHeight="1">
      <c r="A1081" s="35"/>
      <c r="B1081" s="35"/>
      <c r="C1081" s="35"/>
      <c r="D1081" s="35"/>
      <c r="E1081" s="35"/>
      <c r="F1081" s="35"/>
      <c r="G1081" s="35"/>
      <c r="H1081" s="35"/>
      <c r="I1081" s="35"/>
      <c r="J1081" s="35"/>
      <c r="K1081" s="35"/>
      <c r="L1081" s="35"/>
      <c r="M1081" s="35"/>
      <c r="N1081" s="35"/>
      <c r="O1081" s="35"/>
      <c r="P1081" s="35"/>
      <c r="Q1081" s="35"/>
      <c r="R1081" s="35"/>
      <c r="S1081" s="35"/>
      <c r="T1081" s="35"/>
      <c r="U1081" s="35"/>
      <c r="V1081" s="35"/>
      <c r="W1081" s="35"/>
      <c r="X1081" s="35"/>
      <c r="Y1081" s="35"/>
      <c r="Z1081" s="35"/>
      <c r="AA1081" s="35"/>
      <c r="AB1081" s="35"/>
      <c r="AC1081" s="35"/>
      <c r="AD1081" s="35"/>
      <c r="AE1081" s="35"/>
    </row>
    <row r="1082" ht="12.0" customHeight="1">
      <c r="A1082" s="35"/>
      <c r="B1082" s="35"/>
      <c r="C1082" s="35"/>
      <c r="D1082" s="35"/>
      <c r="E1082" s="35"/>
      <c r="F1082" s="35"/>
      <c r="G1082" s="35"/>
      <c r="H1082" s="35"/>
      <c r="I1082" s="35"/>
      <c r="J1082" s="35"/>
      <c r="K1082" s="35"/>
      <c r="L1082" s="35"/>
      <c r="M1082" s="35"/>
      <c r="N1082" s="35"/>
      <c r="O1082" s="35"/>
      <c r="P1082" s="35"/>
      <c r="Q1082" s="35"/>
      <c r="R1082" s="35"/>
      <c r="S1082" s="35"/>
      <c r="T1082" s="35"/>
      <c r="U1082" s="35"/>
      <c r="V1082" s="35"/>
      <c r="W1082" s="35"/>
      <c r="X1082" s="35"/>
      <c r="Y1082" s="35"/>
      <c r="Z1082" s="35"/>
      <c r="AA1082" s="35"/>
      <c r="AB1082" s="35"/>
      <c r="AC1082" s="35"/>
      <c r="AD1082" s="35"/>
      <c r="AE1082" s="35"/>
    </row>
    <row r="1083" ht="12.0" customHeight="1">
      <c r="A1083" s="35"/>
      <c r="B1083" s="35"/>
      <c r="C1083" s="35"/>
      <c r="D1083" s="35"/>
      <c r="E1083" s="35"/>
      <c r="F1083" s="35"/>
      <c r="G1083" s="35"/>
      <c r="H1083" s="35"/>
      <c r="I1083" s="35"/>
      <c r="J1083" s="35"/>
      <c r="K1083" s="35"/>
      <c r="L1083" s="35"/>
      <c r="M1083" s="35"/>
      <c r="N1083" s="35"/>
      <c r="O1083" s="35"/>
      <c r="P1083" s="35"/>
      <c r="Q1083" s="35"/>
      <c r="R1083" s="35"/>
      <c r="S1083" s="35"/>
      <c r="T1083" s="35"/>
      <c r="U1083" s="35"/>
      <c r="V1083" s="35"/>
      <c r="W1083" s="35"/>
      <c r="X1083" s="35"/>
      <c r="Y1083" s="35"/>
      <c r="Z1083" s="35"/>
      <c r="AA1083" s="35"/>
      <c r="AB1083" s="35"/>
      <c r="AC1083" s="35"/>
      <c r="AD1083" s="35"/>
      <c r="AE1083" s="35"/>
    </row>
    <row r="1084" ht="12.0" customHeight="1">
      <c r="A1084" s="35"/>
      <c r="B1084" s="35"/>
      <c r="C1084" s="35"/>
      <c r="D1084" s="35"/>
      <c r="E1084" s="35"/>
      <c r="F1084" s="35"/>
      <c r="G1084" s="35"/>
      <c r="H1084" s="35"/>
      <c r="I1084" s="35"/>
      <c r="J1084" s="35"/>
      <c r="K1084" s="35"/>
      <c r="L1084" s="35"/>
      <c r="M1084" s="35"/>
      <c r="N1084" s="35"/>
      <c r="O1084" s="35"/>
      <c r="P1084" s="35"/>
      <c r="Q1084" s="35"/>
      <c r="R1084" s="35"/>
      <c r="S1084" s="35"/>
      <c r="T1084" s="35"/>
      <c r="U1084" s="35"/>
      <c r="V1084" s="35"/>
      <c r="W1084" s="35"/>
      <c r="X1084" s="35"/>
      <c r="Y1084" s="35"/>
      <c r="Z1084" s="35"/>
      <c r="AA1084" s="35"/>
      <c r="AB1084" s="35"/>
      <c r="AC1084" s="35"/>
      <c r="AD1084" s="35"/>
      <c r="AE1084" s="35"/>
    </row>
    <row r="1085" ht="12.0" customHeight="1">
      <c r="A1085" s="35"/>
      <c r="B1085" s="35"/>
      <c r="C1085" s="35"/>
      <c r="D1085" s="35"/>
      <c r="E1085" s="35"/>
      <c r="F1085" s="35"/>
      <c r="G1085" s="35"/>
      <c r="H1085" s="35"/>
      <c r="I1085" s="35"/>
      <c r="J1085" s="35"/>
      <c r="K1085" s="35"/>
      <c r="L1085" s="35"/>
      <c r="M1085" s="35"/>
      <c r="N1085" s="35"/>
      <c r="O1085" s="35"/>
      <c r="P1085" s="35"/>
      <c r="Q1085" s="35"/>
      <c r="R1085" s="35"/>
      <c r="S1085" s="35"/>
      <c r="T1085" s="35"/>
      <c r="U1085" s="35"/>
      <c r="V1085" s="35"/>
      <c r="W1085" s="35"/>
      <c r="X1085" s="35"/>
      <c r="Y1085" s="35"/>
      <c r="Z1085" s="35"/>
      <c r="AA1085" s="35"/>
      <c r="AB1085" s="35"/>
      <c r="AC1085" s="35"/>
      <c r="AD1085" s="35"/>
      <c r="AE1085" s="35"/>
    </row>
    <row r="1086" ht="12.0" customHeight="1">
      <c r="A1086" s="35"/>
      <c r="B1086" s="35"/>
      <c r="C1086" s="35"/>
      <c r="D1086" s="35"/>
      <c r="E1086" s="35"/>
      <c r="F1086" s="35"/>
      <c r="G1086" s="35"/>
      <c r="H1086" s="35"/>
      <c r="I1086" s="35"/>
      <c r="J1086" s="35"/>
      <c r="K1086" s="35"/>
      <c r="L1086" s="35"/>
      <c r="M1086" s="35"/>
      <c r="N1086" s="35"/>
      <c r="O1086" s="35"/>
      <c r="P1086" s="35"/>
      <c r="Q1086" s="35"/>
      <c r="R1086" s="35"/>
      <c r="S1086" s="35"/>
      <c r="T1086" s="35"/>
      <c r="U1086" s="35"/>
      <c r="V1086" s="35"/>
      <c r="W1086" s="35"/>
      <c r="X1086" s="35"/>
      <c r="Y1086" s="35"/>
      <c r="Z1086" s="35"/>
      <c r="AA1086" s="35"/>
      <c r="AB1086" s="35"/>
      <c r="AC1086" s="35"/>
      <c r="AD1086" s="35"/>
      <c r="AE1086" s="35"/>
    </row>
    <row r="1087" ht="12.0" customHeight="1">
      <c r="A1087" s="35"/>
      <c r="B1087" s="35"/>
      <c r="C1087" s="35"/>
      <c r="D1087" s="35"/>
      <c r="E1087" s="35"/>
      <c r="F1087" s="35"/>
      <c r="G1087" s="35"/>
      <c r="H1087" s="35"/>
      <c r="I1087" s="35"/>
      <c r="J1087" s="35"/>
      <c r="K1087" s="35"/>
      <c r="L1087" s="35"/>
      <c r="M1087" s="35"/>
      <c r="N1087" s="35"/>
      <c r="O1087" s="35"/>
      <c r="P1087" s="35"/>
      <c r="Q1087" s="35"/>
      <c r="R1087" s="35"/>
      <c r="S1087" s="35"/>
      <c r="T1087" s="35"/>
      <c r="U1087" s="35"/>
      <c r="V1087" s="35"/>
      <c r="W1087" s="35"/>
      <c r="X1087" s="35"/>
      <c r="Y1087" s="35"/>
      <c r="Z1087" s="35"/>
      <c r="AA1087" s="35"/>
      <c r="AB1087" s="35"/>
      <c r="AC1087" s="35"/>
      <c r="AD1087" s="35"/>
      <c r="AE1087" s="35"/>
    </row>
    <row r="1088" ht="12.0" customHeight="1">
      <c r="A1088" s="35"/>
      <c r="B1088" s="35"/>
      <c r="C1088" s="35"/>
      <c r="D1088" s="35"/>
      <c r="E1088" s="35"/>
      <c r="F1088" s="35"/>
      <c r="G1088" s="35"/>
      <c r="H1088" s="35"/>
      <c r="I1088" s="35"/>
      <c r="J1088" s="35"/>
      <c r="K1088" s="35"/>
      <c r="L1088" s="35"/>
      <c r="M1088" s="35"/>
      <c r="N1088" s="35"/>
      <c r="O1088" s="35"/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5"/>
      <c r="AA1088" s="35"/>
      <c r="AB1088" s="35"/>
      <c r="AC1088" s="35"/>
      <c r="AD1088" s="35"/>
      <c r="AE1088" s="35"/>
    </row>
    <row r="1089" ht="12.0" customHeight="1">
      <c r="A1089" s="35"/>
      <c r="B1089" s="35"/>
      <c r="C1089" s="35"/>
      <c r="D1089" s="35"/>
      <c r="E1089" s="35"/>
      <c r="F1089" s="35"/>
      <c r="G1089" s="35"/>
      <c r="H1089" s="35"/>
      <c r="I1089" s="35"/>
      <c r="J1089" s="35"/>
      <c r="K1089" s="35"/>
      <c r="L1089" s="35"/>
      <c r="M1089" s="35"/>
      <c r="N1089" s="35"/>
      <c r="O1089" s="35"/>
      <c r="P1089" s="35"/>
      <c r="Q1089" s="35"/>
      <c r="R1089" s="35"/>
      <c r="S1089" s="35"/>
      <c r="T1089" s="35"/>
      <c r="U1089" s="35"/>
      <c r="V1089" s="35"/>
      <c r="W1089" s="35"/>
      <c r="X1089" s="35"/>
      <c r="Y1089" s="35"/>
      <c r="Z1089" s="35"/>
      <c r="AA1089" s="35"/>
      <c r="AB1089" s="35"/>
      <c r="AC1089" s="35"/>
      <c r="AD1089" s="35"/>
      <c r="AE1089" s="35"/>
    </row>
    <row r="1090" ht="12.0" customHeight="1">
      <c r="A1090" s="35"/>
      <c r="B1090" s="35"/>
      <c r="C1090" s="35"/>
      <c r="D1090" s="35"/>
      <c r="E1090" s="35"/>
      <c r="F1090" s="35"/>
      <c r="G1090" s="35"/>
      <c r="H1090" s="35"/>
      <c r="I1090" s="35"/>
      <c r="J1090" s="35"/>
      <c r="K1090" s="35"/>
      <c r="L1090" s="35"/>
      <c r="M1090" s="35"/>
      <c r="N1090" s="35"/>
      <c r="O1090" s="35"/>
      <c r="P1090" s="35"/>
      <c r="Q1090" s="35"/>
      <c r="R1090" s="35"/>
      <c r="S1090" s="35"/>
      <c r="T1090" s="35"/>
      <c r="U1090" s="35"/>
      <c r="V1090" s="35"/>
      <c r="W1090" s="35"/>
      <c r="X1090" s="35"/>
      <c r="Y1090" s="35"/>
      <c r="Z1090" s="35"/>
      <c r="AA1090" s="35"/>
      <c r="AB1090" s="35"/>
      <c r="AC1090" s="35"/>
      <c r="AD1090" s="35"/>
      <c r="AE1090" s="35"/>
    </row>
    <row r="1091" ht="12.0" customHeight="1">
      <c r="A1091" s="35"/>
      <c r="B1091" s="35"/>
      <c r="C1091" s="35"/>
      <c r="D1091" s="35"/>
      <c r="E1091" s="35"/>
      <c r="F1091" s="35"/>
      <c r="G1091" s="35"/>
      <c r="H1091" s="35"/>
      <c r="I1091" s="35"/>
      <c r="J1091" s="35"/>
      <c r="K1091" s="35"/>
      <c r="L1091" s="35"/>
      <c r="M1091" s="35"/>
      <c r="N1091" s="35"/>
      <c r="O1091" s="35"/>
      <c r="P1091" s="35"/>
      <c r="Q1091" s="35"/>
      <c r="R1091" s="35"/>
      <c r="S1091" s="35"/>
      <c r="T1091" s="35"/>
      <c r="U1091" s="35"/>
      <c r="V1091" s="35"/>
      <c r="W1091" s="35"/>
      <c r="X1091" s="35"/>
      <c r="Y1091" s="35"/>
      <c r="Z1091" s="35"/>
      <c r="AA1091" s="35"/>
      <c r="AB1091" s="35"/>
      <c r="AC1091" s="35"/>
      <c r="AD1091" s="35"/>
      <c r="AE1091" s="35"/>
    </row>
    <row r="1092" ht="12.0" customHeight="1">
      <c r="A1092" s="35"/>
      <c r="B1092" s="35"/>
      <c r="C1092" s="35"/>
      <c r="D1092" s="35"/>
      <c r="E1092" s="35"/>
      <c r="F1092" s="35"/>
      <c r="G1092" s="35"/>
      <c r="H1092" s="35"/>
      <c r="I1092" s="35"/>
      <c r="J1092" s="35"/>
      <c r="K1092" s="35"/>
      <c r="L1092" s="35"/>
      <c r="M1092" s="35"/>
      <c r="N1092" s="35"/>
      <c r="O1092" s="35"/>
      <c r="P1092" s="35"/>
      <c r="Q1092" s="35"/>
      <c r="R1092" s="35"/>
      <c r="S1092" s="35"/>
      <c r="T1092" s="35"/>
      <c r="U1092" s="35"/>
      <c r="V1092" s="35"/>
      <c r="W1092" s="35"/>
      <c r="X1092" s="35"/>
      <c r="Y1092" s="35"/>
      <c r="Z1092" s="35"/>
      <c r="AA1092" s="35"/>
      <c r="AB1092" s="35"/>
      <c r="AC1092" s="35"/>
      <c r="AD1092" s="35"/>
      <c r="AE1092" s="35"/>
    </row>
    <row r="1093" ht="12.0" customHeight="1">
      <c r="A1093" s="35"/>
      <c r="B1093" s="35"/>
      <c r="C1093" s="35"/>
      <c r="D1093" s="35"/>
      <c r="E1093" s="35"/>
      <c r="F1093" s="35"/>
      <c r="G1093" s="35"/>
      <c r="H1093" s="35"/>
      <c r="I1093" s="35"/>
      <c r="J1093" s="35"/>
      <c r="K1093" s="35"/>
      <c r="L1093" s="35"/>
      <c r="M1093" s="35"/>
      <c r="N1093" s="35"/>
      <c r="O1093" s="35"/>
      <c r="P1093" s="35"/>
      <c r="Q1093" s="35"/>
      <c r="R1093" s="35"/>
      <c r="S1093" s="35"/>
      <c r="T1093" s="35"/>
      <c r="U1093" s="35"/>
      <c r="V1093" s="35"/>
      <c r="W1093" s="35"/>
      <c r="X1093" s="35"/>
      <c r="Y1093" s="35"/>
      <c r="Z1093" s="35"/>
      <c r="AA1093" s="35"/>
      <c r="AB1093" s="35"/>
      <c r="AC1093" s="35"/>
      <c r="AD1093" s="35"/>
      <c r="AE1093" s="35"/>
    </row>
    <row r="1094" ht="12.0" customHeight="1">
      <c r="A1094" s="35"/>
      <c r="B1094" s="35"/>
      <c r="C1094" s="35"/>
      <c r="D1094" s="35"/>
      <c r="E1094" s="35"/>
      <c r="F1094" s="35"/>
      <c r="G1094" s="35"/>
      <c r="H1094" s="35"/>
      <c r="I1094" s="35"/>
      <c r="J1094" s="35"/>
      <c r="K1094" s="35"/>
      <c r="L1094" s="35"/>
      <c r="M1094" s="35"/>
      <c r="N1094" s="35"/>
      <c r="O1094" s="35"/>
      <c r="P1094" s="35"/>
      <c r="Q1094" s="35"/>
      <c r="R1094" s="35"/>
      <c r="S1094" s="35"/>
      <c r="T1094" s="35"/>
      <c r="U1094" s="35"/>
      <c r="V1094" s="35"/>
      <c r="W1094" s="35"/>
      <c r="X1094" s="35"/>
      <c r="Y1094" s="35"/>
      <c r="Z1094" s="35"/>
      <c r="AA1094" s="35"/>
      <c r="AB1094" s="35"/>
      <c r="AC1094" s="35"/>
      <c r="AD1094" s="35"/>
      <c r="AE1094" s="35"/>
    </row>
    <row r="1095" ht="12.0" customHeight="1">
      <c r="A1095" s="35"/>
      <c r="B1095" s="35"/>
      <c r="C1095" s="35"/>
      <c r="D1095" s="35"/>
      <c r="E1095" s="35"/>
      <c r="F1095" s="35"/>
      <c r="G1095" s="35"/>
      <c r="H1095" s="35"/>
      <c r="I1095" s="35"/>
      <c r="J1095" s="35"/>
      <c r="K1095" s="35"/>
      <c r="L1095" s="35"/>
      <c r="M1095" s="35"/>
      <c r="N1095" s="35"/>
      <c r="O1095" s="35"/>
      <c r="P1095" s="35"/>
      <c r="Q1095" s="35"/>
      <c r="R1095" s="35"/>
      <c r="S1095" s="35"/>
      <c r="T1095" s="35"/>
      <c r="U1095" s="35"/>
      <c r="V1095" s="35"/>
      <c r="W1095" s="35"/>
      <c r="X1095" s="35"/>
      <c r="Y1095" s="35"/>
      <c r="Z1095" s="35"/>
      <c r="AA1095" s="35"/>
      <c r="AB1095" s="35"/>
      <c r="AC1095" s="35"/>
      <c r="AD1095" s="35"/>
      <c r="AE1095" s="35"/>
    </row>
    <row r="1096" ht="12.0" customHeight="1">
      <c r="A1096" s="35"/>
      <c r="B1096" s="35"/>
      <c r="C1096" s="35"/>
      <c r="D1096" s="35"/>
      <c r="E1096" s="35"/>
      <c r="F1096" s="35"/>
      <c r="G1096" s="35"/>
      <c r="H1096" s="35"/>
      <c r="I1096" s="35"/>
      <c r="J1096" s="35"/>
      <c r="K1096" s="35"/>
      <c r="L1096" s="35"/>
      <c r="M1096" s="35"/>
      <c r="N1096" s="35"/>
      <c r="O1096" s="35"/>
      <c r="P1096" s="35"/>
      <c r="Q1096" s="35"/>
      <c r="R1096" s="35"/>
      <c r="S1096" s="35"/>
      <c r="T1096" s="35"/>
      <c r="U1096" s="35"/>
      <c r="V1096" s="35"/>
      <c r="W1096" s="35"/>
      <c r="X1096" s="35"/>
      <c r="Y1096" s="35"/>
      <c r="Z1096" s="35"/>
      <c r="AA1096" s="35"/>
      <c r="AB1096" s="35"/>
      <c r="AC1096" s="35"/>
      <c r="AD1096" s="35"/>
      <c r="AE1096" s="35"/>
    </row>
    <row r="1097" ht="12.0" customHeight="1">
      <c r="A1097" s="35"/>
      <c r="B1097" s="35"/>
      <c r="C1097" s="35"/>
      <c r="D1097" s="35"/>
      <c r="E1097" s="35"/>
      <c r="F1097" s="35"/>
      <c r="G1097" s="35"/>
      <c r="H1097" s="35"/>
      <c r="I1097" s="35"/>
      <c r="J1097" s="35"/>
      <c r="K1097" s="35"/>
      <c r="L1097" s="35"/>
      <c r="M1097" s="35"/>
      <c r="N1097" s="35"/>
      <c r="O1097" s="35"/>
      <c r="P1097" s="35"/>
      <c r="Q1097" s="35"/>
      <c r="R1097" s="35"/>
      <c r="S1097" s="35"/>
      <c r="T1097" s="35"/>
      <c r="U1097" s="35"/>
      <c r="V1097" s="35"/>
      <c r="W1097" s="35"/>
      <c r="X1097" s="35"/>
      <c r="Y1097" s="35"/>
      <c r="Z1097" s="35"/>
      <c r="AA1097" s="35"/>
      <c r="AB1097" s="35"/>
      <c r="AC1097" s="35"/>
      <c r="AD1097" s="35"/>
      <c r="AE1097" s="35"/>
    </row>
    <row r="1098" ht="12.0" customHeight="1">
      <c r="A1098" s="35"/>
      <c r="B1098" s="35"/>
      <c r="C1098" s="35"/>
      <c r="D1098" s="35"/>
      <c r="E1098" s="35"/>
      <c r="F1098" s="35"/>
      <c r="G1098" s="35"/>
      <c r="H1098" s="35"/>
      <c r="I1098" s="35"/>
      <c r="J1098" s="35"/>
      <c r="K1098" s="35"/>
      <c r="L1098" s="35"/>
      <c r="M1098" s="35"/>
      <c r="N1098" s="35"/>
      <c r="O1098" s="35"/>
      <c r="P1098" s="35"/>
      <c r="Q1098" s="35"/>
      <c r="R1098" s="35"/>
      <c r="S1098" s="35"/>
      <c r="T1098" s="35"/>
      <c r="U1098" s="35"/>
      <c r="V1098" s="35"/>
      <c r="W1098" s="35"/>
      <c r="X1098" s="35"/>
      <c r="Y1098" s="35"/>
      <c r="Z1098" s="35"/>
      <c r="AA1098" s="35"/>
      <c r="AB1098" s="35"/>
      <c r="AC1098" s="35"/>
      <c r="AD1098" s="35"/>
      <c r="AE1098" s="35"/>
    </row>
    <row r="1099" ht="12.0" customHeight="1">
      <c r="A1099" s="35"/>
      <c r="B1099" s="35"/>
      <c r="C1099" s="35"/>
      <c r="D1099" s="35"/>
      <c r="E1099" s="35"/>
      <c r="F1099" s="35"/>
      <c r="G1099" s="35"/>
      <c r="H1099" s="35"/>
      <c r="I1099" s="35"/>
      <c r="J1099" s="35"/>
      <c r="K1099" s="35"/>
      <c r="L1099" s="35"/>
      <c r="M1099" s="35"/>
      <c r="N1099" s="35"/>
      <c r="O1099" s="35"/>
      <c r="P1099" s="35"/>
      <c r="Q1099" s="35"/>
      <c r="R1099" s="35"/>
      <c r="S1099" s="35"/>
      <c r="T1099" s="35"/>
      <c r="U1099" s="35"/>
      <c r="V1099" s="35"/>
      <c r="W1099" s="35"/>
      <c r="X1099" s="35"/>
      <c r="Y1099" s="35"/>
      <c r="Z1099" s="35"/>
      <c r="AA1099" s="35"/>
      <c r="AB1099" s="35"/>
      <c r="AC1099" s="35"/>
      <c r="AD1099" s="35"/>
      <c r="AE1099" s="35"/>
    </row>
    <row r="1100" ht="12.0" customHeight="1">
      <c r="A1100" s="35"/>
      <c r="B1100" s="35"/>
      <c r="C1100" s="35"/>
      <c r="D1100" s="35"/>
      <c r="E1100" s="35"/>
      <c r="F1100" s="35"/>
      <c r="G1100" s="35"/>
      <c r="H1100" s="35"/>
      <c r="I1100" s="35"/>
      <c r="J1100" s="35"/>
      <c r="K1100" s="35"/>
      <c r="L1100" s="35"/>
      <c r="M1100" s="35"/>
      <c r="N1100" s="35"/>
      <c r="O1100" s="35"/>
      <c r="P1100" s="35"/>
      <c r="Q1100" s="35"/>
      <c r="R1100" s="35"/>
      <c r="S1100" s="35"/>
      <c r="T1100" s="35"/>
      <c r="U1100" s="35"/>
      <c r="V1100" s="35"/>
      <c r="W1100" s="35"/>
      <c r="X1100" s="35"/>
      <c r="Y1100" s="35"/>
      <c r="Z1100" s="35"/>
      <c r="AA1100" s="35"/>
      <c r="AB1100" s="35"/>
      <c r="AC1100" s="35"/>
      <c r="AD1100" s="35"/>
      <c r="AE1100" s="35"/>
    </row>
    <row r="1101" ht="12.0" customHeight="1">
      <c r="A1101" s="35"/>
      <c r="B1101" s="35"/>
      <c r="C1101" s="35"/>
      <c r="D1101" s="35"/>
      <c r="E1101" s="35"/>
      <c r="F1101" s="35"/>
      <c r="G1101" s="35"/>
      <c r="H1101" s="35"/>
      <c r="I1101" s="35"/>
      <c r="J1101" s="35"/>
      <c r="K1101" s="35"/>
      <c r="L1101" s="35"/>
      <c r="M1101" s="35"/>
      <c r="N1101" s="35"/>
      <c r="O1101" s="35"/>
      <c r="P1101" s="35"/>
      <c r="Q1101" s="35"/>
      <c r="R1101" s="35"/>
      <c r="S1101" s="35"/>
      <c r="T1101" s="35"/>
      <c r="U1101" s="35"/>
      <c r="V1101" s="35"/>
      <c r="W1101" s="35"/>
      <c r="X1101" s="35"/>
      <c r="Y1101" s="35"/>
      <c r="Z1101" s="35"/>
      <c r="AA1101" s="35"/>
      <c r="AB1101" s="35"/>
      <c r="AC1101" s="35"/>
      <c r="AD1101" s="35"/>
      <c r="AE1101" s="35"/>
    </row>
    <row r="1102" ht="12.0" customHeight="1">
      <c r="A1102" s="35"/>
      <c r="B1102" s="35"/>
      <c r="C1102" s="35"/>
      <c r="D1102" s="35"/>
      <c r="E1102" s="35"/>
      <c r="F1102" s="35"/>
      <c r="G1102" s="35"/>
      <c r="H1102" s="35"/>
      <c r="I1102" s="35"/>
      <c r="J1102" s="35"/>
      <c r="K1102" s="35"/>
      <c r="L1102" s="35"/>
      <c r="M1102" s="35"/>
      <c r="N1102" s="35"/>
      <c r="O1102" s="35"/>
      <c r="P1102" s="35"/>
      <c r="Q1102" s="35"/>
      <c r="R1102" s="35"/>
      <c r="S1102" s="35"/>
      <c r="T1102" s="35"/>
      <c r="U1102" s="35"/>
      <c r="V1102" s="35"/>
      <c r="W1102" s="35"/>
      <c r="X1102" s="35"/>
      <c r="Y1102" s="35"/>
      <c r="Z1102" s="35"/>
      <c r="AA1102" s="35"/>
      <c r="AB1102" s="35"/>
      <c r="AC1102" s="35"/>
      <c r="AD1102" s="35"/>
      <c r="AE1102" s="35"/>
    </row>
    <row r="1103" ht="12.0" customHeight="1">
      <c r="A1103" s="35"/>
      <c r="B1103" s="35"/>
      <c r="C1103" s="35"/>
      <c r="D1103" s="35"/>
      <c r="E1103" s="35"/>
      <c r="F1103" s="35"/>
      <c r="G1103" s="35"/>
      <c r="H1103" s="35"/>
      <c r="I1103" s="35"/>
      <c r="J1103" s="35"/>
      <c r="K1103" s="35"/>
      <c r="L1103" s="35"/>
      <c r="M1103" s="35"/>
      <c r="N1103" s="35"/>
      <c r="O1103" s="35"/>
      <c r="P1103" s="35"/>
      <c r="Q1103" s="35"/>
      <c r="R1103" s="35"/>
      <c r="S1103" s="35"/>
      <c r="T1103" s="35"/>
      <c r="U1103" s="35"/>
      <c r="V1103" s="35"/>
      <c r="W1103" s="35"/>
      <c r="X1103" s="35"/>
      <c r="Y1103" s="35"/>
      <c r="Z1103" s="35"/>
      <c r="AA1103" s="35"/>
      <c r="AB1103" s="35"/>
      <c r="AC1103" s="35"/>
      <c r="AD1103" s="35"/>
      <c r="AE1103" s="35"/>
    </row>
    <row r="1104" ht="12.0" customHeight="1">
      <c r="A1104" s="35"/>
      <c r="B1104" s="35"/>
      <c r="C1104" s="35"/>
      <c r="D1104" s="35"/>
      <c r="E1104" s="35"/>
      <c r="F1104" s="35"/>
      <c r="G1104" s="35"/>
      <c r="H1104" s="35"/>
      <c r="I1104" s="35"/>
      <c r="J1104" s="35"/>
      <c r="K1104" s="35"/>
      <c r="L1104" s="35"/>
      <c r="M1104" s="35"/>
      <c r="N1104" s="35"/>
      <c r="O1104" s="35"/>
      <c r="P1104" s="35"/>
      <c r="Q1104" s="35"/>
      <c r="R1104" s="35"/>
      <c r="S1104" s="35"/>
      <c r="T1104" s="35"/>
      <c r="U1104" s="35"/>
      <c r="V1104" s="35"/>
      <c r="W1104" s="35"/>
      <c r="X1104" s="35"/>
      <c r="Y1104" s="35"/>
      <c r="Z1104" s="35"/>
      <c r="AA1104" s="35"/>
      <c r="AB1104" s="35"/>
      <c r="AC1104" s="35"/>
      <c r="AD1104" s="35"/>
      <c r="AE1104" s="35"/>
    </row>
    <row r="1105" ht="12.0" customHeight="1">
      <c r="A1105" s="35"/>
      <c r="B1105" s="35"/>
      <c r="C1105" s="35"/>
      <c r="D1105" s="35"/>
      <c r="E1105" s="35"/>
      <c r="F1105" s="35"/>
      <c r="G1105" s="35"/>
      <c r="H1105" s="35"/>
      <c r="I1105" s="35"/>
      <c r="J1105" s="35"/>
      <c r="K1105" s="35"/>
      <c r="L1105" s="35"/>
      <c r="M1105" s="35"/>
      <c r="N1105" s="35"/>
      <c r="O1105" s="35"/>
      <c r="P1105" s="35"/>
      <c r="Q1105" s="35"/>
      <c r="R1105" s="35"/>
      <c r="S1105" s="35"/>
      <c r="T1105" s="35"/>
      <c r="U1105" s="35"/>
      <c r="V1105" s="35"/>
      <c r="W1105" s="35"/>
      <c r="X1105" s="35"/>
      <c r="Y1105" s="35"/>
      <c r="Z1105" s="35"/>
      <c r="AA1105" s="35"/>
      <c r="AB1105" s="35"/>
      <c r="AC1105" s="35"/>
      <c r="AD1105" s="35"/>
      <c r="AE1105" s="35"/>
    </row>
    <row r="1106" ht="12.0" customHeight="1">
      <c r="A1106" s="35"/>
      <c r="B1106" s="35"/>
      <c r="C1106" s="35"/>
      <c r="D1106" s="35"/>
      <c r="E1106" s="35"/>
      <c r="F1106" s="35"/>
      <c r="G1106" s="35"/>
      <c r="H1106" s="35"/>
      <c r="I1106" s="35"/>
      <c r="J1106" s="35"/>
      <c r="K1106" s="35"/>
      <c r="L1106" s="35"/>
      <c r="M1106" s="35"/>
      <c r="N1106" s="35"/>
      <c r="O1106" s="35"/>
      <c r="P1106" s="35"/>
      <c r="Q1106" s="35"/>
      <c r="R1106" s="35"/>
      <c r="S1106" s="35"/>
      <c r="T1106" s="35"/>
      <c r="U1106" s="35"/>
      <c r="V1106" s="35"/>
      <c r="W1106" s="35"/>
      <c r="X1106" s="35"/>
      <c r="Y1106" s="35"/>
      <c r="Z1106" s="35"/>
      <c r="AA1106" s="35"/>
      <c r="AB1106" s="35"/>
      <c r="AC1106" s="35"/>
      <c r="AD1106" s="35"/>
      <c r="AE1106" s="35"/>
    </row>
    <row r="1107" ht="12.0" customHeight="1">
      <c r="A1107" s="35"/>
      <c r="B1107" s="35"/>
      <c r="C1107" s="35"/>
      <c r="D1107" s="35"/>
      <c r="E1107" s="35"/>
      <c r="F1107" s="35"/>
      <c r="G1107" s="35"/>
      <c r="H1107" s="35"/>
      <c r="I1107" s="35"/>
      <c r="J1107" s="35"/>
      <c r="K1107" s="35"/>
      <c r="L1107" s="35"/>
      <c r="M1107" s="35"/>
      <c r="N1107" s="35"/>
      <c r="O1107" s="35"/>
      <c r="P1107" s="35"/>
      <c r="Q1107" s="35"/>
      <c r="R1107" s="35"/>
      <c r="S1107" s="35"/>
      <c r="T1107" s="35"/>
      <c r="U1107" s="35"/>
      <c r="V1107" s="35"/>
      <c r="W1107" s="35"/>
      <c r="X1107" s="35"/>
      <c r="Y1107" s="35"/>
      <c r="Z1107" s="35"/>
      <c r="AA1107" s="35"/>
      <c r="AB1107" s="35"/>
      <c r="AC1107" s="35"/>
      <c r="AD1107" s="35"/>
      <c r="AE1107" s="35"/>
    </row>
    <row r="1108" ht="12.0" customHeight="1">
      <c r="A1108" s="35"/>
      <c r="B1108" s="35"/>
      <c r="C1108" s="35"/>
      <c r="D1108" s="35"/>
      <c r="E1108" s="35"/>
      <c r="F1108" s="35"/>
      <c r="G1108" s="35"/>
      <c r="H1108" s="35"/>
      <c r="I1108" s="35"/>
      <c r="J1108" s="35"/>
      <c r="K1108" s="35"/>
      <c r="L1108" s="35"/>
      <c r="M1108" s="35"/>
      <c r="N1108" s="35"/>
      <c r="O1108" s="35"/>
      <c r="P1108" s="35"/>
      <c r="Q1108" s="35"/>
      <c r="R1108" s="35"/>
      <c r="S1108" s="35"/>
      <c r="T1108" s="35"/>
      <c r="U1108" s="35"/>
      <c r="V1108" s="35"/>
      <c r="W1108" s="35"/>
      <c r="X1108" s="35"/>
      <c r="Y1108" s="35"/>
      <c r="Z1108" s="35"/>
      <c r="AA1108" s="35"/>
      <c r="AB1108" s="35"/>
      <c r="AC1108" s="35"/>
      <c r="AD1108" s="35"/>
      <c r="AE1108" s="35"/>
    </row>
    <row r="1109" ht="12.0" customHeight="1">
      <c r="A1109" s="35"/>
      <c r="B1109" s="35"/>
      <c r="C1109" s="35"/>
      <c r="D1109" s="35"/>
      <c r="E1109" s="35"/>
      <c r="F1109" s="35"/>
      <c r="G1109" s="35"/>
      <c r="H1109" s="35"/>
      <c r="I1109" s="35"/>
      <c r="J1109" s="35"/>
      <c r="K1109" s="35"/>
      <c r="L1109" s="35"/>
      <c r="M1109" s="35"/>
      <c r="N1109" s="35"/>
      <c r="O1109" s="35"/>
      <c r="P1109" s="35"/>
      <c r="Q1109" s="35"/>
      <c r="R1109" s="35"/>
      <c r="S1109" s="35"/>
      <c r="T1109" s="35"/>
      <c r="U1109" s="35"/>
      <c r="V1109" s="35"/>
      <c r="W1109" s="35"/>
      <c r="X1109" s="35"/>
      <c r="Y1109" s="35"/>
      <c r="Z1109" s="35"/>
      <c r="AA1109" s="35"/>
      <c r="AB1109" s="35"/>
      <c r="AC1109" s="35"/>
      <c r="AD1109" s="35"/>
      <c r="AE1109" s="35"/>
    </row>
    <row r="1110" ht="12.0" customHeight="1">
      <c r="A1110" s="35"/>
      <c r="B1110" s="35"/>
      <c r="C1110" s="35"/>
      <c r="D1110" s="35"/>
      <c r="E1110" s="35"/>
      <c r="F1110" s="35"/>
      <c r="G1110" s="35"/>
      <c r="H1110" s="35"/>
      <c r="I1110" s="35"/>
      <c r="J1110" s="35"/>
      <c r="K1110" s="35"/>
      <c r="L1110" s="35"/>
      <c r="M1110" s="35"/>
      <c r="N1110" s="35"/>
      <c r="O1110" s="35"/>
      <c r="P1110" s="35"/>
      <c r="Q1110" s="35"/>
      <c r="R1110" s="35"/>
      <c r="S1110" s="35"/>
      <c r="T1110" s="35"/>
      <c r="U1110" s="35"/>
      <c r="V1110" s="35"/>
      <c r="W1110" s="35"/>
      <c r="X1110" s="35"/>
      <c r="Y1110" s="35"/>
      <c r="Z1110" s="35"/>
      <c r="AA1110" s="35"/>
      <c r="AB1110" s="35"/>
      <c r="AC1110" s="35"/>
      <c r="AD1110" s="35"/>
      <c r="AE1110" s="35"/>
    </row>
    <row r="1111" ht="12.0" customHeight="1">
      <c r="A1111" s="35"/>
      <c r="B1111" s="35"/>
      <c r="C1111" s="35"/>
      <c r="D1111" s="35"/>
      <c r="E1111" s="35"/>
      <c r="F1111" s="35"/>
      <c r="G1111" s="35"/>
      <c r="H1111" s="35"/>
      <c r="I1111" s="35"/>
      <c r="J1111" s="35"/>
      <c r="K1111" s="35"/>
      <c r="L1111" s="35"/>
      <c r="M1111" s="35"/>
      <c r="N1111" s="35"/>
      <c r="O1111" s="35"/>
      <c r="P1111" s="35"/>
      <c r="Q1111" s="35"/>
      <c r="R1111" s="35"/>
      <c r="S1111" s="35"/>
      <c r="T1111" s="35"/>
      <c r="U1111" s="35"/>
      <c r="V1111" s="35"/>
      <c r="W1111" s="35"/>
      <c r="X1111" s="35"/>
      <c r="Y1111" s="35"/>
      <c r="Z1111" s="35"/>
      <c r="AA1111" s="35"/>
      <c r="AB1111" s="35"/>
      <c r="AC1111" s="35"/>
      <c r="AD1111" s="35"/>
      <c r="AE1111" s="35"/>
    </row>
    <row r="1112" ht="12.0" customHeight="1">
      <c r="A1112" s="35"/>
      <c r="B1112" s="35"/>
      <c r="C1112" s="35"/>
      <c r="D1112" s="35"/>
      <c r="E1112" s="35"/>
      <c r="F1112" s="35"/>
      <c r="G1112" s="35"/>
      <c r="H1112" s="35"/>
      <c r="I1112" s="35"/>
      <c r="J1112" s="35"/>
      <c r="K1112" s="35"/>
      <c r="L1112" s="35"/>
      <c r="M1112" s="35"/>
      <c r="N1112" s="35"/>
      <c r="O1112" s="35"/>
      <c r="P1112" s="35"/>
      <c r="Q1112" s="35"/>
      <c r="R1112" s="35"/>
      <c r="S1112" s="35"/>
      <c r="T1112" s="35"/>
      <c r="U1112" s="35"/>
      <c r="V1112" s="35"/>
      <c r="W1112" s="35"/>
      <c r="X1112" s="35"/>
      <c r="Y1112" s="35"/>
      <c r="Z1112" s="35"/>
      <c r="AA1112" s="35"/>
      <c r="AB1112" s="35"/>
      <c r="AC1112" s="35"/>
      <c r="AD1112" s="35"/>
      <c r="AE1112" s="35"/>
    </row>
    <row r="1113" ht="12.0" customHeight="1">
      <c r="A1113" s="35"/>
      <c r="B1113" s="35"/>
      <c r="C1113" s="35"/>
      <c r="D1113" s="35"/>
      <c r="E1113" s="35"/>
      <c r="F1113" s="35"/>
      <c r="G1113" s="35"/>
      <c r="H1113" s="35"/>
      <c r="I1113" s="35"/>
      <c r="J1113" s="35"/>
      <c r="K1113" s="35"/>
      <c r="L1113" s="35"/>
      <c r="M1113" s="35"/>
      <c r="N1113" s="35"/>
      <c r="O1113" s="35"/>
      <c r="P1113" s="35"/>
      <c r="Q1113" s="35"/>
      <c r="R1113" s="35"/>
      <c r="S1113" s="35"/>
      <c r="T1113" s="35"/>
      <c r="U1113" s="35"/>
      <c r="V1113" s="35"/>
      <c r="W1113" s="35"/>
      <c r="X1113" s="35"/>
      <c r="Y1113" s="35"/>
      <c r="Z1113" s="35"/>
      <c r="AA1113" s="35"/>
      <c r="AB1113" s="35"/>
      <c r="AC1113" s="35"/>
      <c r="AD1113" s="35"/>
      <c r="AE1113" s="35"/>
    </row>
    <row r="1114" ht="12.0" customHeight="1">
      <c r="A1114" s="35"/>
      <c r="B1114" s="35"/>
      <c r="C1114" s="35"/>
      <c r="D1114" s="35"/>
      <c r="E1114" s="35"/>
      <c r="F1114" s="35"/>
      <c r="G1114" s="35"/>
      <c r="H1114" s="35"/>
      <c r="I1114" s="35"/>
      <c r="J1114" s="35"/>
      <c r="K1114" s="35"/>
      <c r="L1114" s="35"/>
      <c r="M1114" s="35"/>
      <c r="N1114" s="35"/>
      <c r="O1114" s="35"/>
      <c r="P1114" s="35"/>
      <c r="Q1114" s="35"/>
      <c r="R1114" s="35"/>
      <c r="S1114" s="35"/>
      <c r="T1114" s="35"/>
      <c r="U1114" s="35"/>
      <c r="V1114" s="35"/>
      <c r="W1114" s="35"/>
      <c r="X1114" s="35"/>
      <c r="Y1114" s="35"/>
      <c r="Z1114" s="35"/>
      <c r="AA1114" s="35"/>
      <c r="AB1114" s="35"/>
      <c r="AC1114" s="35"/>
      <c r="AD1114" s="35"/>
      <c r="AE1114" s="35"/>
    </row>
    <row r="1115" ht="12.0" customHeight="1">
      <c r="A1115" s="35"/>
      <c r="B1115" s="35"/>
      <c r="C1115" s="35"/>
      <c r="D1115" s="35"/>
      <c r="E1115" s="35"/>
      <c r="F1115" s="35"/>
      <c r="G1115" s="35"/>
      <c r="H1115" s="35"/>
      <c r="I1115" s="35"/>
      <c r="J1115" s="35"/>
      <c r="K1115" s="35"/>
      <c r="L1115" s="35"/>
      <c r="M1115" s="35"/>
      <c r="N1115" s="35"/>
      <c r="O1115" s="35"/>
      <c r="P1115" s="35"/>
      <c r="Q1115" s="35"/>
      <c r="R1115" s="35"/>
      <c r="S1115" s="35"/>
      <c r="T1115" s="35"/>
      <c r="U1115" s="35"/>
      <c r="V1115" s="35"/>
      <c r="W1115" s="35"/>
      <c r="X1115" s="35"/>
      <c r="Y1115" s="35"/>
      <c r="Z1115" s="35"/>
      <c r="AA1115" s="35"/>
      <c r="AB1115" s="35"/>
      <c r="AC1115" s="35"/>
      <c r="AD1115" s="35"/>
      <c r="AE1115" s="35"/>
    </row>
    <row r="1116" ht="12.0" customHeight="1">
      <c r="A1116" s="35"/>
      <c r="B1116" s="35"/>
      <c r="C1116" s="35"/>
      <c r="D1116" s="35"/>
      <c r="E1116" s="35"/>
      <c r="F1116" s="35"/>
      <c r="G1116" s="35"/>
      <c r="H1116" s="35"/>
      <c r="I1116" s="35"/>
      <c r="J1116" s="35"/>
      <c r="K1116" s="35"/>
      <c r="L1116" s="35"/>
      <c r="M1116" s="35"/>
      <c r="N1116" s="35"/>
      <c r="O1116" s="35"/>
      <c r="P1116" s="35"/>
      <c r="Q1116" s="35"/>
      <c r="R1116" s="35"/>
      <c r="S1116" s="35"/>
      <c r="T1116" s="35"/>
      <c r="U1116" s="35"/>
      <c r="V1116" s="35"/>
      <c r="W1116" s="35"/>
      <c r="X1116" s="35"/>
      <c r="Y1116" s="35"/>
      <c r="Z1116" s="35"/>
      <c r="AA1116" s="35"/>
      <c r="AB1116" s="35"/>
      <c r="AC1116" s="35"/>
      <c r="AD1116" s="35"/>
      <c r="AE1116" s="35"/>
    </row>
    <row r="1117" ht="12.0" customHeight="1">
      <c r="A1117" s="35"/>
      <c r="B1117" s="35"/>
      <c r="C1117" s="35"/>
      <c r="D1117" s="35"/>
      <c r="E1117" s="35"/>
      <c r="F1117" s="35"/>
      <c r="G1117" s="35"/>
      <c r="H1117" s="35"/>
      <c r="I1117" s="35"/>
      <c r="J1117" s="35"/>
      <c r="K1117" s="35"/>
      <c r="L1117" s="35"/>
      <c r="M1117" s="35"/>
      <c r="N1117" s="35"/>
      <c r="O1117" s="35"/>
      <c r="P1117" s="35"/>
      <c r="Q1117" s="35"/>
      <c r="R1117" s="35"/>
      <c r="S1117" s="35"/>
      <c r="T1117" s="35"/>
      <c r="U1117" s="35"/>
      <c r="V1117" s="35"/>
      <c r="W1117" s="35"/>
      <c r="X1117" s="35"/>
      <c r="Y1117" s="35"/>
      <c r="Z1117" s="35"/>
      <c r="AA1117" s="35"/>
      <c r="AB1117" s="35"/>
      <c r="AC1117" s="35"/>
      <c r="AD1117" s="35"/>
      <c r="AE1117" s="35"/>
    </row>
    <row r="1118" ht="12.0" customHeight="1">
      <c r="A1118" s="35"/>
      <c r="B1118" s="35"/>
      <c r="C1118" s="35"/>
      <c r="D1118" s="35"/>
      <c r="E1118" s="35"/>
      <c r="F1118" s="35"/>
      <c r="G1118" s="35"/>
      <c r="H1118" s="35"/>
      <c r="I1118" s="35"/>
      <c r="J1118" s="35"/>
      <c r="K1118" s="35"/>
      <c r="L1118" s="35"/>
      <c r="M1118" s="35"/>
      <c r="N1118" s="35"/>
      <c r="O1118" s="35"/>
      <c r="P1118" s="35"/>
      <c r="Q1118" s="35"/>
      <c r="R1118" s="35"/>
      <c r="S1118" s="35"/>
      <c r="T1118" s="35"/>
      <c r="U1118" s="35"/>
      <c r="V1118" s="35"/>
      <c r="W1118" s="35"/>
      <c r="X1118" s="35"/>
      <c r="Y1118" s="35"/>
      <c r="Z1118" s="35"/>
      <c r="AA1118" s="35"/>
      <c r="AB1118" s="35"/>
      <c r="AC1118" s="35"/>
      <c r="AD1118" s="35"/>
      <c r="AE1118" s="35"/>
    </row>
    <row r="1119" ht="12.0" customHeight="1">
      <c r="A1119" s="35"/>
      <c r="B1119" s="35"/>
      <c r="C1119" s="35"/>
      <c r="D1119" s="35"/>
      <c r="E1119" s="35"/>
      <c r="F1119" s="35"/>
      <c r="G1119" s="35"/>
      <c r="H1119" s="35"/>
      <c r="I1119" s="35"/>
      <c r="J1119" s="35"/>
      <c r="K1119" s="35"/>
      <c r="L1119" s="35"/>
      <c r="M1119" s="35"/>
      <c r="N1119" s="35"/>
      <c r="O1119" s="35"/>
      <c r="P1119" s="35"/>
      <c r="Q1119" s="35"/>
      <c r="R1119" s="35"/>
      <c r="S1119" s="35"/>
      <c r="T1119" s="35"/>
      <c r="U1119" s="35"/>
      <c r="V1119" s="35"/>
      <c r="W1119" s="35"/>
      <c r="X1119" s="35"/>
      <c r="Y1119" s="35"/>
      <c r="Z1119" s="35"/>
      <c r="AA1119" s="35"/>
      <c r="AB1119" s="35"/>
      <c r="AC1119" s="35"/>
      <c r="AD1119" s="35"/>
      <c r="AE1119" s="35"/>
    </row>
    <row r="1120" ht="12.0" customHeight="1">
      <c r="A1120" s="35"/>
      <c r="B1120" s="35"/>
      <c r="C1120" s="35"/>
      <c r="D1120" s="35"/>
      <c r="E1120" s="35"/>
      <c r="F1120" s="35"/>
      <c r="G1120" s="35"/>
      <c r="H1120" s="35"/>
      <c r="I1120" s="35"/>
      <c r="J1120" s="35"/>
      <c r="K1120" s="35"/>
      <c r="L1120" s="35"/>
      <c r="M1120" s="35"/>
      <c r="N1120" s="35"/>
      <c r="O1120" s="35"/>
      <c r="P1120" s="35"/>
      <c r="Q1120" s="35"/>
      <c r="R1120" s="35"/>
      <c r="S1120" s="35"/>
      <c r="T1120" s="35"/>
      <c r="U1120" s="35"/>
      <c r="V1120" s="35"/>
      <c r="W1120" s="35"/>
      <c r="X1120" s="35"/>
      <c r="Y1120" s="35"/>
      <c r="Z1120" s="35"/>
      <c r="AA1120" s="35"/>
      <c r="AB1120" s="35"/>
      <c r="AC1120" s="35"/>
      <c r="AD1120" s="35"/>
      <c r="AE1120" s="35"/>
    </row>
    <row r="1121" ht="12.0" customHeight="1">
      <c r="A1121" s="35"/>
      <c r="B1121" s="35"/>
      <c r="C1121" s="35"/>
      <c r="D1121" s="35"/>
      <c r="E1121" s="35"/>
      <c r="F1121" s="35"/>
      <c r="G1121" s="35"/>
      <c r="H1121" s="35"/>
      <c r="I1121" s="35"/>
      <c r="J1121" s="35"/>
      <c r="K1121" s="35"/>
      <c r="L1121" s="35"/>
      <c r="M1121" s="35"/>
      <c r="N1121" s="35"/>
      <c r="O1121" s="35"/>
      <c r="P1121" s="35"/>
      <c r="Q1121" s="35"/>
      <c r="R1121" s="35"/>
      <c r="S1121" s="35"/>
      <c r="T1121" s="35"/>
      <c r="U1121" s="35"/>
      <c r="V1121" s="35"/>
      <c r="W1121" s="35"/>
      <c r="X1121" s="35"/>
      <c r="Y1121" s="35"/>
      <c r="Z1121" s="35"/>
      <c r="AA1121" s="35"/>
      <c r="AB1121" s="35"/>
      <c r="AC1121" s="35"/>
      <c r="AD1121" s="35"/>
      <c r="AE1121" s="35"/>
    </row>
    <row r="1122" ht="12.0" customHeight="1">
      <c r="A1122" s="35"/>
      <c r="B1122" s="35"/>
      <c r="C1122" s="35"/>
      <c r="D1122" s="35"/>
      <c r="E1122" s="35"/>
      <c r="F1122" s="35"/>
      <c r="G1122" s="35"/>
      <c r="H1122" s="35"/>
      <c r="I1122" s="35"/>
      <c r="J1122" s="35"/>
      <c r="K1122" s="35"/>
      <c r="L1122" s="35"/>
      <c r="M1122" s="35"/>
      <c r="N1122" s="35"/>
      <c r="O1122" s="35"/>
      <c r="P1122" s="35"/>
      <c r="Q1122" s="35"/>
      <c r="R1122" s="35"/>
      <c r="S1122" s="35"/>
      <c r="T1122" s="35"/>
      <c r="U1122" s="35"/>
      <c r="V1122" s="35"/>
      <c r="W1122" s="35"/>
      <c r="X1122" s="35"/>
      <c r="Y1122" s="35"/>
      <c r="Z1122" s="35"/>
      <c r="AA1122" s="35"/>
      <c r="AB1122" s="35"/>
      <c r="AC1122" s="35"/>
      <c r="AD1122" s="35"/>
      <c r="AE1122" s="35"/>
    </row>
    <row r="1123" ht="12.0" customHeight="1">
      <c r="A1123" s="35"/>
      <c r="B1123" s="35"/>
      <c r="C1123" s="35"/>
      <c r="D1123" s="35"/>
      <c r="E1123" s="35"/>
      <c r="F1123" s="35"/>
      <c r="G1123" s="35"/>
      <c r="H1123" s="35"/>
      <c r="I1123" s="35"/>
      <c r="J1123" s="35"/>
      <c r="K1123" s="35"/>
      <c r="L1123" s="35"/>
      <c r="M1123" s="35"/>
      <c r="N1123" s="35"/>
      <c r="O1123" s="35"/>
      <c r="P1123" s="35"/>
      <c r="Q1123" s="35"/>
      <c r="R1123" s="35"/>
      <c r="S1123" s="35"/>
      <c r="T1123" s="35"/>
      <c r="U1123" s="35"/>
      <c r="V1123" s="35"/>
      <c r="W1123" s="35"/>
      <c r="X1123" s="35"/>
      <c r="Y1123" s="35"/>
      <c r="Z1123" s="35"/>
      <c r="AA1123" s="35"/>
      <c r="AB1123" s="35"/>
      <c r="AC1123" s="35"/>
      <c r="AD1123" s="35"/>
      <c r="AE1123" s="35"/>
    </row>
    <row r="1124" ht="12.0" customHeight="1">
      <c r="A1124" s="35"/>
      <c r="B1124" s="35"/>
      <c r="C1124" s="35"/>
      <c r="D1124" s="35"/>
      <c r="E1124" s="35"/>
      <c r="F1124" s="35"/>
      <c r="G1124" s="35"/>
      <c r="H1124" s="35"/>
      <c r="I1124" s="35"/>
      <c r="J1124" s="35"/>
      <c r="K1124" s="35"/>
      <c r="L1124" s="35"/>
      <c r="M1124" s="35"/>
      <c r="N1124" s="35"/>
      <c r="O1124" s="35"/>
      <c r="P1124" s="35"/>
      <c r="Q1124" s="35"/>
      <c r="R1124" s="35"/>
      <c r="S1124" s="35"/>
      <c r="T1124" s="35"/>
      <c r="U1124" s="35"/>
      <c r="V1124" s="35"/>
      <c r="W1124" s="35"/>
      <c r="X1124" s="35"/>
      <c r="Y1124" s="35"/>
      <c r="Z1124" s="35"/>
      <c r="AA1124" s="35"/>
      <c r="AB1124" s="35"/>
      <c r="AC1124" s="35"/>
      <c r="AD1124" s="35"/>
      <c r="AE1124" s="35"/>
    </row>
    <row r="1125" ht="12.0" customHeight="1">
      <c r="A1125" s="35"/>
      <c r="B1125" s="35"/>
      <c r="C1125" s="35"/>
      <c r="D1125" s="35"/>
      <c r="E1125" s="35"/>
      <c r="F1125" s="35"/>
      <c r="G1125" s="35"/>
      <c r="H1125" s="35"/>
      <c r="I1125" s="35"/>
      <c r="J1125" s="35"/>
      <c r="K1125" s="35"/>
      <c r="L1125" s="35"/>
      <c r="M1125" s="35"/>
      <c r="N1125" s="35"/>
      <c r="O1125" s="35"/>
      <c r="P1125" s="35"/>
      <c r="Q1125" s="35"/>
      <c r="R1125" s="35"/>
      <c r="S1125" s="35"/>
      <c r="T1125" s="35"/>
      <c r="U1125" s="35"/>
      <c r="V1125" s="35"/>
      <c r="W1125" s="35"/>
      <c r="X1125" s="35"/>
      <c r="Y1125" s="35"/>
      <c r="Z1125" s="35"/>
      <c r="AA1125" s="35"/>
      <c r="AB1125" s="35"/>
      <c r="AC1125" s="35"/>
      <c r="AD1125" s="35"/>
      <c r="AE1125" s="35"/>
    </row>
    <row r="1126" ht="12.0" customHeight="1">
      <c r="A1126" s="35"/>
      <c r="B1126" s="35"/>
      <c r="C1126" s="35"/>
      <c r="D1126" s="35"/>
      <c r="E1126" s="35"/>
      <c r="F1126" s="35"/>
      <c r="G1126" s="35"/>
      <c r="H1126" s="35"/>
      <c r="I1126" s="35"/>
      <c r="J1126" s="35"/>
      <c r="K1126" s="35"/>
      <c r="L1126" s="35"/>
      <c r="M1126" s="35"/>
      <c r="N1126" s="35"/>
      <c r="O1126" s="35"/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5"/>
      <c r="AA1126" s="35"/>
      <c r="AB1126" s="35"/>
      <c r="AC1126" s="35"/>
      <c r="AD1126" s="35"/>
      <c r="AE1126" s="35"/>
    </row>
    <row r="1127" ht="12.0" customHeight="1">
      <c r="A1127" s="35"/>
      <c r="B1127" s="35"/>
      <c r="C1127" s="35"/>
      <c r="D1127" s="35"/>
      <c r="E1127" s="35"/>
      <c r="F1127" s="35"/>
      <c r="G1127" s="35"/>
      <c r="H1127" s="35"/>
      <c r="I1127" s="35"/>
      <c r="J1127" s="35"/>
      <c r="K1127" s="35"/>
      <c r="L1127" s="35"/>
      <c r="M1127" s="35"/>
      <c r="N1127" s="35"/>
      <c r="O1127" s="35"/>
      <c r="P1127" s="35"/>
      <c r="Q1127" s="35"/>
      <c r="R1127" s="35"/>
      <c r="S1127" s="35"/>
      <c r="T1127" s="35"/>
      <c r="U1127" s="35"/>
      <c r="V1127" s="35"/>
      <c r="W1127" s="35"/>
      <c r="X1127" s="35"/>
      <c r="Y1127" s="35"/>
      <c r="Z1127" s="35"/>
      <c r="AA1127" s="35"/>
      <c r="AB1127" s="35"/>
      <c r="AC1127" s="35"/>
      <c r="AD1127" s="35"/>
      <c r="AE1127" s="35"/>
    </row>
    <row r="1128" ht="12.0" customHeight="1">
      <c r="A1128" s="35"/>
      <c r="B1128" s="35"/>
      <c r="C1128" s="35"/>
      <c r="D1128" s="35"/>
      <c r="E1128" s="35"/>
      <c r="F1128" s="35"/>
      <c r="G1128" s="35"/>
      <c r="H1128" s="35"/>
      <c r="I1128" s="35"/>
      <c r="J1128" s="35"/>
      <c r="K1128" s="35"/>
      <c r="L1128" s="35"/>
      <c r="M1128" s="35"/>
      <c r="N1128" s="35"/>
      <c r="O1128" s="35"/>
      <c r="P1128" s="35"/>
      <c r="Q1128" s="35"/>
      <c r="R1128" s="35"/>
      <c r="S1128" s="35"/>
      <c r="T1128" s="35"/>
      <c r="U1128" s="35"/>
      <c r="V1128" s="35"/>
      <c r="W1128" s="35"/>
      <c r="X1128" s="35"/>
      <c r="Y1128" s="35"/>
      <c r="Z1128" s="35"/>
      <c r="AA1128" s="35"/>
      <c r="AB1128" s="35"/>
      <c r="AC1128" s="35"/>
      <c r="AD1128" s="35"/>
      <c r="AE1128" s="35"/>
    </row>
    <row r="1129" ht="12.0" customHeight="1">
      <c r="A1129" s="35"/>
      <c r="B1129" s="35"/>
      <c r="C1129" s="35"/>
      <c r="D1129" s="35"/>
      <c r="E1129" s="35"/>
      <c r="F1129" s="35"/>
      <c r="G1129" s="35"/>
      <c r="H1129" s="35"/>
      <c r="I1129" s="35"/>
      <c r="J1129" s="35"/>
      <c r="K1129" s="35"/>
      <c r="L1129" s="35"/>
      <c r="M1129" s="35"/>
      <c r="N1129" s="35"/>
      <c r="O1129" s="35"/>
      <c r="P1129" s="35"/>
      <c r="Q1129" s="35"/>
      <c r="R1129" s="35"/>
      <c r="S1129" s="35"/>
      <c r="T1129" s="35"/>
      <c r="U1129" s="35"/>
      <c r="V1129" s="35"/>
      <c r="W1129" s="35"/>
      <c r="X1129" s="35"/>
      <c r="Y1129" s="35"/>
      <c r="Z1129" s="35"/>
      <c r="AA1129" s="35"/>
      <c r="AB1129" s="35"/>
      <c r="AC1129" s="35"/>
      <c r="AD1129" s="35"/>
      <c r="AE1129" s="35"/>
    </row>
    <row r="1130" ht="12.0" customHeight="1">
      <c r="A1130" s="35"/>
      <c r="B1130" s="35"/>
      <c r="C1130" s="35"/>
      <c r="D1130" s="35"/>
      <c r="E1130" s="35"/>
      <c r="F1130" s="35"/>
      <c r="G1130" s="35"/>
      <c r="H1130" s="35"/>
      <c r="I1130" s="35"/>
      <c r="J1130" s="35"/>
      <c r="K1130" s="35"/>
      <c r="L1130" s="35"/>
      <c r="M1130" s="35"/>
      <c r="N1130" s="35"/>
      <c r="O1130" s="35"/>
      <c r="P1130" s="35"/>
      <c r="Q1130" s="35"/>
      <c r="R1130" s="35"/>
      <c r="S1130" s="35"/>
      <c r="T1130" s="35"/>
      <c r="U1130" s="35"/>
      <c r="V1130" s="35"/>
      <c r="W1130" s="35"/>
      <c r="X1130" s="35"/>
      <c r="Y1130" s="35"/>
      <c r="Z1130" s="35"/>
      <c r="AA1130" s="35"/>
      <c r="AB1130" s="35"/>
      <c r="AC1130" s="35"/>
      <c r="AD1130" s="35"/>
      <c r="AE1130" s="35"/>
    </row>
    <row r="1131" ht="12.0" customHeight="1">
      <c r="A1131" s="35"/>
      <c r="B1131" s="35"/>
      <c r="C1131" s="35"/>
      <c r="D1131" s="35"/>
      <c r="E1131" s="35"/>
      <c r="F1131" s="35"/>
      <c r="G1131" s="35"/>
      <c r="H1131" s="35"/>
      <c r="I1131" s="35"/>
      <c r="J1131" s="35"/>
      <c r="K1131" s="35"/>
      <c r="L1131" s="35"/>
      <c r="M1131" s="35"/>
      <c r="N1131" s="35"/>
      <c r="O1131" s="35"/>
      <c r="P1131" s="35"/>
      <c r="Q1131" s="35"/>
      <c r="R1131" s="35"/>
      <c r="S1131" s="35"/>
      <c r="T1131" s="35"/>
      <c r="U1131" s="35"/>
      <c r="V1131" s="35"/>
      <c r="W1131" s="35"/>
      <c r="X1131" s="35"/>
      <c r="Y1131" s="35"/>
      <c r="Z1131" s="35"/>
      <c r="AA1131" s="35"/>
      <c r="AB1131" s="35"/>
      <c r="AC1131" s="35"/>
      <c r="AD1131" s="35"/>
      <c r="AE1131" s="35"/>
    </row>
    <row r="1132" ht="12.0" customHeight="1">
      <c r="A1132" s="35"/>
      <c r="B1132" s="35"/>
      <c r="C1132" s="35"/>
      <c r="D1132" s="35"/>
      <c r="E1132" s="35"/>
      <c r="F1132" s="35"/>
      <c r="G1132" s="35"/>
      <c r="H1132" s="35"/>
      <c r="I1132" s="35"/>
      <c r="J1132" s="35"/>
      <c r="K1132" s="35"/>
      <c r="L1132" s="35"/>
      <c r="M1132" s="35"/>
      <c r="N1132" s="35"/>
      <c r="O1132" s="35"/>
      <c r="P1132" s="35"/>
      <c r="Q1132" s="35"/>
      <c r="R1132" s="35"/>
      <c r="S1132" s="35"/>
      <c r="T1132" s="35"/>
      <c r="U1132" s="35"/>
      <c r="V1132" s="35"/>
      <c r="W1132" s="35"/>
      <c r="X1132" s="35"/>
      <c r="Y1132" s="35"/>
      <c r="Z1132" s="35"/>
      <c r="AA1132" s="35"/>
      <c r="AB1132" s="35"/>
      <c r="AC1132" s="35"/>
      <c r="AD1132" s="35"/>
      <c r="AE1132" s="35"/>
    </row>
    <row r="1133" ht="12.0" customHeight="1">
      <c r="A1133" s="35"/>
      <c r="B1133" s="35"/>
      <c r="C1133" s="35"/>
      <c r="D1133" s="35"/>
      <c r="E1133" s="35"/>
      <c r="F1133" s="35"/>
      <c r="G1133" s="35"/>
      <c r="H1133" s="35"/>
      <c r="I1133" s="35"/>
      <c r="J1133" s="35"/>
      <c r="K1133" s="35"/>
      <c r="L1133" s="35"/>
      <c r="M1133" s="35"/>
      <c r="N1133" s="35"/>
      <c r="O1133" s="35"/>
      <c r="P1133" s="35"/>
      <c r="Q1133" s="35"/>
      <c r="R1133" s="35"/>
      <c r="S1133" s="35"/>
      <c r="T1133" s="35"/>
      <c r="U1133" s="35"/>
      <c r="V1133" s="35"/>
      <c r="W1133" s="35"/>
      <c r="X1133" s="35"/>
      <c r="Y1133" s="35"/>
      <c r="Z1133" s="35"/>
      <c r="AA1133" s="35"/>
      <c r="AB1133" s="35"/>
      <c r="AC1133" s="35"/>
      <c r="AD1133" s="35"/>
      <c r="AE1133" s="35"/>
    </row>
    <row r="1134" ht="12.0" customHeight="1">
      <c r="A1134" s="35"/>
      <c r="B1134" s="35"/>
      <c r="C1134" s="35"/>
      <c r="D1134" s="35"/>
      <c r="E1134" s="35"/>
      <c r="F1134" s="35"/>
      <c r="G1134" s="35"/>
      <c r="H1134" s="35"/>
      <c r="I1134" s="35"/>
      <c r="J1134" s="35"/>
      <c r="K1134" s="35"/>
      <c r="L1134" s="35"/>
      <c r="M1134" s="35"/>
      <c r="N1134" s="35"/>
      <c r="O1134" s="35"/>
      <c r="P1134" s="35"/>
      <c r="Q1134" s="35"/>
      <c r="R1134" s="35"/>
      <c r="S1134" s="35"/>
      <c r="T1134" s="35"/>
      <c r="U1134" s="35"/>
      <c r="V1134" s="35"/>
      <c r="W1134" s="35"/>
      <c r="X1134" s="35"/>
      <c r="Y1134" s="35"/>
      <c r="Z1134" s="35"/>
      <c r="AA1134" s="35"/>
      <c r="AB1134" s="35"/>
      <c r="AC1134" s="35"/>
      <c r="AD1134" s="35"/>
      <c r="AE1134" s="35"/>
    </row>
    <row r="1135" ht="12.0" customHeight="1">
      <c r="A1135" s="35"/>
      <c r="B1135" s="35"/>
      <c r="C1135" s="35"/>
      <c r="D1135" s="35"/>
      <c r="E1135" s="35"/>
      <c r="F1135" s="35"/>
      <c r="G1135" s="35"/>
      <c r="H1135" s="35"/>
      <c r="I1135" s="35"/>
      <c r="J1135" s="35"/>
      <c r="K1135" s="35"/>
      <c r="L1135" s="35"/>
      <c r="M1135" s="35"/>
      <c r="N1135" s="35"/>
      <c r="O1135" s="35"/>
      <c r="P1135" s="35"/>
      <c r="Q1135" s="35"/>
      <c r="R1135" s="35"/>
      <c r="S1135" s="35"/>
      <c r="T1135" s="35"/>
      <c r="U1135" s="35"/>
      <c r="V1135" s="35"/>
      <c r="W1135" s="35"/>
      <c r="X1135" s="35"/>
      <c r="Y1135" s="35"/>
      <c r="Z1135" s="35"/>
      <c r="AA1135" s="35"/>
      <c r="AB1135" s="35"/>
      <c r="AC1135" s="35"/>
      <c r="AD1135" s="35"/>
      <c r="AE1135" s="35"/>
    </row>
    <row r="1136" ht="12.0" customHeight="1">
      <c r="A1136" s="35"/>
      <c r="B1136" s="35"/>
      <c r="C1136" s="35"/>
      <c r="D1136" s="35"/>
      <c r="E1136" s="35"/>
      <c r="F1136" s="35"/>
      <c r="G1136" s="35"/>
      <c r="H1136" s="35"/>
      <c r="I1136" s="35"/>
      <c r="J1136" s="35"/>
      <c r="K1136" s="35"/>
      <c r="L1136" s="35"/>
      <c r="M1136" s="35"/>
      <c r="N1136" s="35"/>
      <c r="O1136" s="35"/>
      <c r="P1136" s="35"/>
      <c r="Q1136" s="35"/>
      <c r="R1136" s="35"/>
      <c r="S1136" s="35"/>
      <c r="T1136" s="35"/>
      <c r="U1136" s="35"/>
      <c r="V1136" s="35"/>
      <c r="W1136" s="35"/>
      <c r="X1136" s="35"/>
      <c r="Y1136" s="35"/>
      <c r="Z1136" s="35"/>
      <c r="AA1136" s="35"/>
      <c r="AB1136" s="35"/>
      <c r="AC1136" s="35"/>
      <c r="AD1136" s="35"/>
      <c r="AE1136" s="35"/>
    </row>
    <row r="1137" ht="12.0" customHeight="1">
      <c r="A1137" s="35"/>
      <c r="B1137" s="35"/>
      <c r="C1137" s="35"/>
      <c r="D1137" s="35"/>
      <c r="E1137" s="35"/>
      <c r="F1137" s="35"/>
      <c r="G1137" s="35"/>
      <c r="H1137" s="35"/>
      <c r="I1137" s="35"/>
      <c r="J1137" s="35"/>
      <c r="K1137" s="35"/>
      <c r="L1137" s="35"/>
      <c r="M1137" s="35"/>
      <c r="N1137" s="35"/>
      <c r="O1137" s="35"/>
      <c r="P1137" s="35"/>
      <c r="Q1137" s="35"/>
      <c r="R1137" s="35"/>
      <c r="S1137" s="35"/>
      <c r="T1137" s="35"/>
      <c r="U1137" s="35"/>
      <c r="V1137" s="35"/>
      <c r="W1137" s="35"/>
      <c r="X1137" s="35"/>
      <c r="Y1137" s="35"/>
      <c r="Z1137" s="35"/>
      <c r="AA1137" s="35"/>
      <c r="AB1137" s="35"/>
      <c r="AC1137" s="35"/>
      <c r="AD1137" s="35"/>
      <c r="AE1137" s="35"/>
    </row>
    <row r="1138" ht="12.0" customHeight="1">
      <c r="A1138" s="35"/>
      <c r="B1138" s="35"/>
      <c r="C1138" s="35"/>
      <c r="D1138" s="35"/>
      <c r="E1138" s="35"/>
      <c r="F1138" s="35"/>
      <c r="G1138" s="35"/>
      <c r="H1138" s="35"/>
      <c r="I1138" s="35"/>
      <c r="J1138" s="35"/>
      <c r="K1138" s="35"/>
      <c r="L1138" s="35"/>
      <c r="M1138" s="35"/>
      <c r="N1138" s="35"/>
      <c r="O1138" s="35"/>
      <c r="P1138" s="35"/>
      <c r="Q1138" s="35"/>
      <c r="R1138" s="35"/>
      <c r="S1138" s="35"/>
      <c r="T1138" s="35"/>
      <c r="U1138" s="35"/>
      <c r="V1138" s="35"/>
      <c r="W1138" s="35"/>
      <c r="X1138" s="35"/>
      <c r="Y1138" s="35"/>
      <c r="Z1138" s="35"/>
      <c r="AA1138" s="35"/>
      <c r="AB1138" s="35"/>
      <c r="AC1138" s="35"/>
      <c r="AD1138" s="35"/>
      <c r="AE1138" s="35"/>
    </row>
    <row r="1139" ht="12.0" customHeight="1">
      <c r="A1139" s="35"/>
      <c r="B1139" s="35"/>
      <c r="C1139" s="35"/>
      <c r="D1139" s="35"/>
      <c r="E1139" s="35"/>
      <c r="F1139" s="35"/>
      <c r="G1139" s="35"/>
      <c r="H1139" s="35"/>
      <c r="I1139" s="35"/>
      <c r="J1139" s="35"/>
      <c r="K1139" s="35"/>
      <c r="L1139" s="35"/>
      <c r="M1139" s="35"/>
      <c r="N1139" s="35"/>
      <c r="O1139" s="35"/>
      <c r="P1139" s="35"/>
      <c r="Q1139" s="35"/>
      <c r="R1139" s="35"/>
      <c r="S1139" s="35"/>
      <c r="T1139" s="35"/>
      <c r="U1139" s="35"/>
      <c r="V1139" s="35"/>
      <c r="W1139" s="35"/>
      <c r="X1139" s="35"/>
      <c r="Y1139" s="35"/>
      <c r="Z1139" s="35"/>
      <c r="AA1139" s="35"/>
      <c r="AB1139" s="35"/>
      <c r="AC1139" s="35"/>
      <c r="AD1139" s="35"/>
      <c r="AE1139" s="35"/>
    </row>
    <row r="1140" ht="12.0" customHeight="1">
      <c r="A1140" s="35"/>
      <c r="B1140" s="35"/>
      <c r="C1140" s="35"/>
      <c r="D1140" s="35"/>
      <c r="E1140" s="35"/>
      <c r="F1140" s="35"/>
      <c r="G1140" s="35"/>
      <c r="H1140" s="35"/>
      <c r="I1140" s="35"/>
      <c r="J1140" s="35"/>
      <c r="K1140" s="35"/>
      <c r="L1140" s="35"/>
      <c r="M1140" s="35"/>
      <c r="N1140" s="35"/>
      <c r="O1140" s="35"/>
      <c r="P1140" s="35"/>
      <c r="Q1140" s="35"/>
      <c r="R1140" s="35"/>
      <c r="S1140" s="35"/>
      <c r="T1140" s="35"/>
      <c r="U1140" s="35"/>
      <c r="V1140" s="35"/>
      <c r="W1140" s="35"/>
      <c r="X1140" s="35"/>
      <c r="Y1140" s="35"/>
      <c r="Z1140" s="35"/>
      <c r="AA1140" s="35"/>
      <c r="AB1140" s="35"/>
      <c r="AC1140" s="35"/>
      <c r="AD1140" s="35"/>
      <c r="AE1140" s="35"/>
    </row>
    <row r="1141" ht="12.0" customHeight="1">
      <c r="A1141" s="35"/>
      <c r="B1141" s="35"/>
      <c r="C1141" s="35"/>
      <c r="D1141" s="35"/>
      <c r="E1141" s="35"/>
      <c r="F1141" s="35"/>
      <c r="G1141" s="35"/>
      <c r="H1141" s="35"/>
      <c r="I1141" s="35"/>
      <c r="J1141" s="35"/>
      <c r="K1141" s="35"/>
      <c r="L1141" s="35"/>
      <c r="M1141" s="35"/>
      <c r="N1141" s="35"/>
      <c r="O1141" s="35"/>
      <c r="P1141" s="35"/>
      <c r="Q1141" s="35"/>
      <c r="R1141" s="35"/>
      <c r="S1141" s="35"/>
      <c r="T1141" s="35"/>
      <c r="U1141" s="35"/>
      <c r="V1141" s="35"/>
      <c r="W1141" s="35"/>
      <c r="X1141" s="35"/>
      <c r="Y1141" s="35"/>
      <c r="Z1141" s="35"/>
      <c r="AA1141" s="35"/>
      <c r="AB1141" s="35"/>
      <c r="AC1141" s="35"/>
      <c r="AD1141" s="35"/>
      <c r="AE1141" s="35"/>
    </row>
    <row r="1142" ht="12.0" customHeight="1">
      <c r="A1142" s="35"/>
      <c r="B1142" s="35"/>
      <c r="C1142" s="35"/>
      <c r="D1142" s="35"/>
      <c r="E1142" s="35"/>
      <c r="F1142" s="35"/>
      <c r="G1142" s="35"/>
      <c r="H1142" s="35"/>
      <c r="I1142" s="35"/>
      <c r="J1142" s="35"/>
      <c r="K1142" s="35"/>
      <c r="L1142" s="35"/>
      <c r="M1142" s="35"/>
      <c r="N1142" s="35"/>
      <c r="O1142" s="35"/>
      <c r="P1142" s="35"/>
      <c r="Q1142" s="35"/>
      <c r="R1142" s="35"/>
      <c r="S1142" s="35"/>
      <c r="T1142" s="35"/>
      <c r="U1142" s="35"/>
      <c r="V1142" s="35"/>
      <c r="W1142" s="35"/>
      <c r="X1142" s="35"/>
      <c r="Y1142" s="35"/>
      <c r="Z1142" s="35"/>
      <c r="AA1142" s="35"/>
      <c r="AB1142" s="35"/>
      <c r="AC1142" s="35"/>
      <c r="AD1142" s="35"/>
      <c r="AE1142" s="35"/>
    </row>
    <row r="1143" ht="12.0" customHeight="1">
      <c r="A1143" s="35"/>
      <c r="B1143" s="35"/>
      <c r="C1143" s="35"/>
      <c r="D1143" s="35"/>
      <c r="E1143" s="35"/>
      <c r="F1143" s="35"/>
      <c r="G1143" s="35"/>
      <c r="H1143" s="35"/>
      <c r="I1143" s="35"/>
      <c r="J1143" s="35"/>
      <c r="K1143" s="35"/>
      <c r="L1143" s="35"/>
      <c r="M1143" s="35"/>
      <c r="N1143" s="35"/>
      <c r="O1143" s="35"/>
      <c r="P1143" s="35"/>
      <c r="Q1143" s="35"/>
      <c r="R1143" s="35"/>
      <c r="S1143" s="35"/>
      <c r="T1143" s="35"/>
      <c r="U1143" s="35"/>
      <c r="V1143" s="35"/>
      <c r="W1143" s="35"/>
      <c r="X1143" s="35"/>
      <c r="Y1143" s="35"/>
      <c r="Z1143" s="35"/>
      <c r="AA1143" s="35"/>
      <c r="AB1143" s="35"/>
      <c r="AC1143" s="35"/>
      <c r="AD1143" s="35"/>
      <c r="AE1143" s="35"/>
    </row>
    <row r="1144" ht="12.0" customHeight="1">
      <c r="A1144" s="35"/>
      <c r="B1144" s="35"/>
      <c r="C1144" s="35"/>
      <c r="D1144" s="35"/>
      <c r="E1144" s="35"/>
      <c r="F1144" s="35"/>
      <c r="G1144" s="35"/>
      <c r="H1144" s="35"/>
      <c r="I1144" s="35"/>
      <c r="J1144" s="35"/>
      <c r="K1144" s="35"/>
      <c r="L1144" s="35"/>
      <c r="M1144" s="35"/>
      <c r="N1144" s="35"/>
      <c r="O1144" s="35"/>
      <c r="P1144" s="35"/>
      <c r="Q1144" s="35"/>
      <c r="R1144" s="35"/>
      <c r="S1144" s="35"/>
      <c r="T1144" s="35"/>
      <c r="U1144" s="35"/>
      <c r="V1144" s="35"/>
      <c r="W1144" s="35"/>
      <c r="X1144" s="35"/>
      <c r="Y1144" s="35"/>
      <c r="Z1144" s="35"/>
      <c r="AA1144" s="35"/>
      <c r="AB1144" s="35"/>
      <c r="AC1144" s="35"/>
      <c r="AD1144" s="35"/>
      <c r="AE1144" s="35"/>
    </row>
    <row r="1145" ht="12.0" customHeight="1">
      <c r="A1145" s="35"/>
      <c r="B1145" s="35"/>
      <c r="C1145" s="35"/>
      <c r="D1145" s="35"/>
      <c r="E1145" s="35"/>
      <c r="F1145" s="35"/>
      <c r="G1145" s="35"/>
      <c r="H1145" s="35"/>
      <c r="I1145" s="35"/>
      <c r="J1145" s="35"/>
      <c r="K1145" s="35"/>
      <c r="L1145" s="35"/>
      <c r="M1145" s="35"/>
      <c r="N1145" s="35"/>
      <c r="O1145" s="35"/>
      <c r="P1145" s="35"/>
      <c r="Q1145" s="35"/>
      <c r="R1145" s="35"/>
      <c r="S1145" s="35"/>
      <c r="T1145" s="35"/>
      <c r="U1145" s="35"/>
      <c r="V1145" s="35"/>
      <c r="W1145" s="35"/>
      <c r="X1145" s="35"/>
      <c r="Y1145" s="35"/>
      <c r="Z1145" s="35"/>
      <c r="AA1145" s="35"/>
      <c r="AB1145" s="35"/>
      <c r="AC1145" s="35"/>
      <c r="AD1145" s="35"/>
      <c r="AE1145" s="35"/>
    </row>
    <row r="1146" ht="12.0" customHeight="1">
      <c r="A1146" s="35"/>
      <c r="B1146" s="35"/>
      <c r="C1146" s="35"/>
      <c r="D1146" s="35"/>
      <c r="E1146" s="35"/>
      <c r="F1146" s="35"/>
      <c r="G1146" s="35"/>
      <c r="H1146" s="35"/>
      <c r="I1146" s="35"/>
      <c r="J1146" s="35"/>
      <c r="K1146" s="35"/>
      <c r="L1146" s="35"/>
      <c r="M1146" s="35"/>
      <c r="N1146" s="35"/>
      <c r="O1146" s="35"/>
      <c r="P1146" s="35"/>
      <c r="Q1146" s="35"/>
      <c r="R1146" s="35"/>
      <c r="S1146" s="35"/>
      <c r="T1146" s="35"/>
      <c r="U1146" s="35"/>
      <c r="V1146" s="35"/>
      <c r="W1146" s="35"/>
      <c r="X1146" s="35"/>
      <c r="Y1146" s="35"/>
      <c r="Z1146" s="35"/>
      <c r="AA1146" s="35"/>
      <c r="AB1146" s="35"/>
      <c r="AC1146" s="35"/>
      <c r="AD1146" s="35"/>
      <c r="AE1146" s="35"/>
    </row>
    <row r="1147" ht="12.0" customHeight="1">
      <c r="A1147" s="35"/>
      <c r="B1147" s="35"/>
      <c r="C1147" s="35"/>
      <c r="D1147" s="35"/>
      <c r="E1147" s="35"/>
      <c r="F1147" s="35"/>
      <c r="G1147" s="35"/>
      <c r="H1147" s="35"/>
      <c r="I1147" s="35"/>
      <c r="J1147" s="35"/>
      <c r="K1147" s="35"/>
      <c r="L1147" s="35"/>
      <c r="M1147" s="35"/>
      <c r="N1147" s="35"/>
      <c r="O1147" s="35"/>
      <c r="P1147" s="35"/>
      <c r="Q1147" s="35"/>
      <c r="R1147" s="35"/>
      <c r="S1147" s="35"/>
      <c r="T1147" s="35"/>
      <c r="U1147" s="35"/>
      <c r="V1147" s="35"/>
      <c r="W1147" s="35"/>
      <c r="X1147" s="35"/>
      <c r="Y1147" s="35"/>
      <c r="Z1147" s="35"/>
      <c r="AA1147" s="35"/>
      <c r="AB1147" s="35"/>
      <c r="AC1147" s="35"/>
      <c r="AD1147" s="35"/>
      <c r="AE1147" s="35"/>
    </row>
    <row r="1148" ht="12.0" customHeight="1">
      <c r="A1148" s="35"/>
      <c r="B1148" s="35"/>
      <c r="C1148" s="35"/>
      <c r="D1148" s="35"/>
      <c r="E1148" s="35"/>
      <c r="F1148" s="35"/>
      <c r="G1148" s="35"/>
      <c r="H1148" s="35"/>
      <c r="I1148" s="35"/>
      <c r="J1148" s="35"/>
      <c r="K1148" s="35"/>
      <c r="L1148" s="35"/>
      <c r="M1148" s="35"/>
      <c r="N1148" s="35"/>
      <c r="O1148" s="35"/>
      <c r="P1148" s="35"/>
      <c r="Q1148" s="35"/>
      <c r="R1148" s="35"/>
      <c r="S1148" s="35"/>
      <c r="T1148" s="35"/>
      <c r="U1148" s="35"/>
      <c r="V1148" s="35"/>
      <c r="W1148" s="35"/>
      <c r="X1148" s="35"/>
      <c r="Y1148" s="35"/>
      <c r="Z1148" s="35"/>
      <c r="AA1148" s="35"/>
      <c r="AB1148" s="35"/>
      <c r="AC1148" s="35"/>
      <c r="AD1148" s="35"/>
      <c r="AE1148" s="35"/>
    </row>
    <row r="1149" ht="12.0" customHeight="1">
      <c r="A1149" s="35"/>
      <c r="B1149" s="35"/>
      <c r="C1149" s="35"/>
      <c r="D1149" s="35"/>
      <c r="E1149" s="35"/>
      <c r="F1149" s="35"/>
      <c r="G1149" s="35"/>
      <c r="H1149" s="35"/>
      <c r="I1149" s="35"/>
      <c r="J1149" s="35"/>
      <c r="K1149" s="35"/>
      <c r="L1149" s="35"/>
      <c r="M1149" s="35"/>
      <c r="N1149" s="35"/>
      <c r="O1149" s="35"/>
      <c r="P1149" s="35"/>
      <c r="Q1149" s="35"/>
      <c r="R1149" s="35"/>
      <c r="S1149" s="35"/>
      <c r="T1149" s="35"/>
      <c r="U1149" s="35"/>
      <c r="V1149" s="35"/>
      <c r="W1149" s="35"/>
      <c r="X1149" s="35"/>
      <c r="Y1149" s="35"/>
      <c r="Z1149" s="35"/>
      <c r="AA1149" s="35"/>
      <c r="AB1149" s="35"/>
      <c r="AC1149" s="35"/>
      <c r="AD1149" s="35"/>
      <c r="AE1149" s="35"/>
    </row>
    <row r="1150" ht="12.0" customHeight="1">
      <c r="A1150" s="35"/>
      <c r="B1150" s="35"/>
      <c r="C1150" s="35"/>
      <c r="D1150" s="35"/>
      <c r="E1150" s="35"/>
      <c r="F1150" s="35"/>
      <c r="G1150" s="35"/>
      <c r="H1150" s="35"/>
      <c r="I1150" s="35"/>
      <c r="J1150" s="35"/>
      <c r="K1150" s="35"/>
      <c r="L1150" s="35"/>
      <c r="M1150" s="35"/>
      <c r="N1150" s="35"/>
      <c r="O1150" s="35"/>
      <c r="P1150" s="35"/>
      <c r="Q1150" s="35"/>
      <c r="R1150" s="35"/>
      <c r="S1150" s="35"/>
      <c r="T1150" s="35"/>
      <c r="U1150" s="35"/>
      <c r="V1150" s="35"/>
      <c r="W1150" s="35"/>
      <c r="X1150" s="35"/>
      <c r="Y1150" s="35"/>
      <c r="Z1150" s="35"/>
      <c r="AA1150" s="35"/>
      <c r="AB1150" s="35"/>
      <c r="AC1150" s="35"/>
      <c r="AD1150" s="35"/>
      <c r="AE1150" s="35"/>
    </row>
    <row r="1151" ht="12.0" customHeight="1">
      <c r="A1151" s="35"/>
      <c r="B1151" s="35"/>
      <c r="C1151" s="35"/>
      <c r="D1151" s="35"/>
      <c r="E1151" s="35"/>
      <c r="F1151" s="35"/>
      <c r="G1151" s="35"/>
      <c r="H1151" s="35"/>
      <c r="I1151" s="35"/>
      <c r="J1151" s="35"/>
      <c r="K1151" s="35"/>
      <c r="L1151" s="35"/>
      <c r="M1151" s="35"/>
      <c r="N1151" s="35"/>
      <c r="O1151" s="35"/>
      <c r="P1151" s="35"/>
      <c r="Q1151" s="35"/>
      <c r="R1151" s="35"/>
      <c r="S1151" s="35"/>
      <c r="T1151" s="35"/>
      <c r="U1151" s="35"/>
      <c r="V1151" s="35"/>
      <c r="W1151" s="35"/>
      <c r="X1151" s="35"/>
      <c r="Y1151" s="35"/>
      <c r="Z1151" s="35"/>
      <c r="AA1151" s="35"/>
      <c r="AB1151" s="35"/>
      <c r="AC1151" s="35"/>
      <c r="AD1151" s="35"/>
      <c r="AE1151" s="35"/>
    </row>
    <row r="1152" ht="12.0" customHeight="1">
      <c r="A1152" s="35"/>
      <c r="B1152" s="35"/>
      <c r="C1152" s="35"/>
      <c r="D1152" s="35"/>
      <c r="E1152" s="35"/>
      <c r="F1152" s="35"/>
      <c r="G1152" s="35"/>
      <c r="H1152" s="35"/>
      <c r="I1152" s="35"/>
      <c r="J1152" s="35"/>
      <c r="K1152" s="35"/>
      <c r="L1152" s="35"/>
      <c r="M1152" s="35"/>
      <c r="N1152" s="35"/>
      <c r="O1152" s="35"/>
      <c r="P1152" s="35"/>
      <c r="Q1152" s="35"/>
      <c r="R1152" s="35"/>
      <c r="S1152" s="35"/>
      <c r="T1152" s="35"/>
      <c r="U1152" s="35"/>
      <c r="V1152" s="35"/>
      <c r="W1152" s="35"/>
      <c r="X1152" s="35"/>
      <c r="Y1152" s="35"/>
      <c r="Z1152" s="35"/>
      <c r="AA1152" s="35"/>
      <c r="AB1152" s="35"/>
      <c r="AC1152" s="35"/>
      <c r="AD1152" s="35"/>
      <c r="AE1152" s="35"/>
    </row>
    <row r="1153" ht="12.0" customHeight="1">
      <c r="A1153" s="35"/>
      <c r="B1153" s="35"/>
      <c r="C1153" s="35"/>
      <c r="D1153" s="35"/>
      <c r="E1153" s="35"/>
      <c r="F1153" s="35"/>
      <c r="G1153" s="35"/>
      <c r="H1153" s="35"/>
      <c r="I1153" s="35"/>
      <c r="J1153" s="35"/>
      <c r="K1153" s="35"/>
      <c r="L1153" s="35"/>
      <c r="M1153" s="35"/>
      <c r="N1153" s="35"/>
      <c r="O1153" s="35"/>
      <c r="P1153" s="35"/>
      <c r="Q1153" s="35"/>
      <c r="R1153" s="35"/>
      <c r="S1153" s="35"/>
      <c r="T1153" s="35"/>
      <c r="U1153" s="35"/>
      <c r="V1153" s="35"/>
      <c r="W1153" s="35"/>
      <c r="X1153" s="35"/>
      <c r="Y1153" s="35"/>
      <c r="Z1153" s="35"/>
      <c r="AA1153" s="35"/>
      <c r="AB1153" s="35"/>
      <c r="AC1153" s="35"/>
      <c r="AD1153" s="35"/>
      <c r="AE1153" s="35"/>
    </row>
    <row r="1154" ht="12.0" customHeight="1">
      <c r="A1154" s="35"/>
      <c r="B1154" s="35"/>
      <c r="C1154" s="35"/>
      <c r="D1154" s="35"/>
      <c r="E1154" s="35"/>
      <c r="F1154" s="35"/>
      <c r="G1154" s="35"/>
      <c r="H1154" s="35"/>
      <c r="I1154" s="35"/>
      <c r="J1154" s="35"/>
      <c r="K1154" s="35"/>
      <c r="L1154" s="35"/>
      <c r="M1154" s="35"/>
      <c r="N1154" s="35"/>
      <c r="O1154" s="35"/>
      <c r="P1154" s="35"/>
      <c r="Q1154" s="35"/>
      <c r="R1154" s="35"/>
      <c r="S1154" s="35"/>
      <c r="T1154" s="35"/>
      <c r="U1154" s="35"/>
      <c r="V1154" s="35"/>
      <c r="W1154" s="35"/>
      <c r="X1154" s="35"/>
      <c r="Y1154" s="35"/>
      <c r="Z1154" s="35"/>
      <c r="AA1154" s="35"/>
      <c r="AB1154" s="35"/>
      <c r="AC1154" s="35"/>
      <c r="AD1154" s="35"/>
      <c r="AE1154" s="35"/>
    </row>
    <row r="1155" ht="12.0" customHeight="1">
      <c r="A1155" s="35"/>
      <c r="B1155" s="35"/>
      <c r="C1155" s="35"/>
      <c r="D1155" s="35"/>
      <c r="E1155" s="35"/>
      <c r="F1155" s="35"/>
      <c r="G1155" s="35"/>
      <c r="H1155" s="35"/>
      <c r="I1155" s="35"/>
      <c r="J1155" s="35"/>
      <c r="K1155" s="35"/>
      <c r="L1155" s="35"/>
      <c r="M1155" s="35"/>
      <c r="N1155" s="35"/>
      <c r="O1155" s="35"/>
      <c r="P1155" s="35"/>
      <c r="Q1155" s="35"/>
      <c r="R1155" s="35"/>
      <c r="S1155" s="35"/>
      <c r="T1155" s="35"/>
      <c r="U1155" s="35"/>
      <c r="V1155" s="35"/>
      <c r="W1155" s="35"/>
      <c r="X1155" s="35"/>
      <c r="Y1155" s="35"/>
      <c r="Z1155" s="35"/>
      <c r="AA1155" s="35"/>
      <c r="AB1155" s="35"/>
      <c r="AC1155" s="35"/>
      <c r="AD1155" s="35"/>
      <c r="AE1155" s="3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0.43"/>
    <col customWidth="1" min="2" max="2" width="13.71"/>
    <col customWidth="1" min="3" max="4" width="5.57"/>
    <col customWidth="1" min="5" max="7" width="4.43"/>
    <col customWidth="1" min="8" max="8" width="5.57"/>
    <col customWidth="1" min="9" max="9" width="7.86"/>
    <col customWidth="1" min="10" max="11" width="5.57"/>
    <col customWidth="1" min="12" max="13" width="4.43"/>
    <col customWidth="1" min="14" max="14" width="5.57"/>
    <col customWidth="1" min="15" max="15" width="4.43"/>
    <col customWidth="1" min="16" max="16" width="12.86"/>
    <col customWidth="1" min="17" max="17" width="14.71"/>
    <col customWidth="1" min="18" max="18" width="5.57"/>
    <col customWidth="1" min="19" max="19" width="5.0"/>
    <col customWidth="1" min="20" max="20" width="4.71"/>
    <col customWidth="1" min="21" max="21" width="4.43"/>
    <col customWidth="1" min="22" max="22" width="5.43"/>
    <col customWidth="1" min="23" max="23" width="8.0"/>
    <col customWidth="1" min="24" max="24" width="7.71"/>
    <col customWidth="1" min="25" max="25" width="7.86"/>
    <col customWidth="1" min="26" max="26" width="7.29"/>
    <col customWidth="1" min="27" max="27" width="6.71"/>
    <col customWidth="1" min="28" max="28" width="16.86"/>
    <col customWidth="1" min="29" max="29" width="8.29"/>
    <col customWidth="1" min="30" max="30" width="14.29"/>
    <col customWidth="1" min="31" max="31" width="11.57"/>
  </cols>
  <sheetData>
    <row r="1" ht="12.0" customHeight="1">
      <c r="A1" s="36" t="s">
        <v>418</v>
      </c>
      <c r="B1" s="21" t="s">
        <v>1</v>
      </c>
      <c r="C1" s="22" t="s">
        <v>58</v>
      </c>
      <c r="D1" s="22" t="s">
        <v>10</v>
      </c>
      <c r="E1" s="22" t="s">
        <v>12</v>
      </c>
      <c r="F1" s="23" t="s">
        <v>14</v>
      </c>
      <c r="G1" s="23" t="s">
        <v>16</v>
      </c>
      <c r="H1" s="23" t="s">
        <v>18</v>
      </c>
      <c r="I1" s="22" t="s">
        <v>20</v>
      </c>
      <c r="J1" s="23" t="s">
        <v>22</v>
      </c>
      <c r="K1" s="23" t="s">
        <v>23</v>
      </c>
      <c r="L1" s="23" t="s">
        <v>25</v>
      </c>
      <c r="M1" s="23" t="s">
        <v>27</v>
      </c>
      <c r="N1" s="23" t="s">
        <v>29</v>
      </c>
      <c r="O1" s="23" t="s">
        <v>31</v>
      </c>
      <c r="P1" s="22" t="s">
        <v>32</v>
      </c>
      <c r="Q1" s="22" t="s">
        <v>34</v>
      </c>
      <c r="R1" s="23" t="s">
        <v>37</v>
      </c>
      <c r="S1" s="23" t="s">
        <v>39</v>
      </c>
      <c r="T1" s="23" t="s">
        <v>41</v>
      </c>
      <c r="U1" s="23" t="s">
        <v>43</v>
      </c>
      <c r="V1" s="22" t="s">
        <v>45</v>
      </c>
      <c r="W1" s="22" t="s">
        <v>59</v>
      </c>
      <c r="X1" s="22" t="s">
        <v>60</v>
      </c>
      <c r="Y1" s="23" t="s">
        <v>61</v>
      </c>
      <c r="Z1" s="22" t="s">
        <v>62</v>
      </c>
      <c r="AA1" s="22" t="s">
        <v>63</v>
      </c>
      <c r="AB1" s="22" t="s">
        <v>64</v>
      </c>
      <c r="AC1" s="22" t="s">
        <v>65</v>
      </c>
      <c r="AD1" s="22" t="s">
        <v>66</v>
      </c>
      <c r="AE1" s="22" t="s">
        <v>2</v>
      </c>
    </row>
    <row r="2" ht="12.0" customHeight="1">
      <c r="A2" s="24" t="s">
        <v>9</v>
      </c>
      <c r="B2" s="24" t="str">
        <f>IFERROR(__xludf.DUMMYFUNCTION("IFERROR(IF(REGEXMATCH(REGEXEXTRACT(A2,""\bCRV\s*\d+(?:-\d+)+(?:-(?:A?BI|AI|BI))?\b""),""-(?:A?BI|AI|BI)$""),REGEXREPLACE(REGEXEXTRACT(A2,""\bCRV\s*\d+(?:-\d+)+(?:-(?:A?BI|AI|BI))?\b""),""-(A?BI|AI|BI)$"",""C$1""),REGEXEXTRACT(A2,""\bCRV\s*\d+(?:-\d+)+(?:-"&amp;"(?:A?BI|AI|BI))?\b"")&amp;""C""),"""")"),"CRV 10-1C")</f>
        <v>CRV 10-1C</v>
      </c>
      <c r="C2" s="24">
        <v>1650.0</v>
      </c>
      <c r="D2" s="24">
        <f t="array" ref="D2">IFERROR(XLOOKUP($B2,CRV!$A:$A,CRV!$BA:$BA)+XLOOKUP($B2,CRV!$A:$A,CRV!$BB:$BB)+$O2,"")
</f>
        <v>613</v>
      </c>
      <c r="E2" s="24">
        <v>180.0</v>
      </c>
      <c r="F2" s="24">
        <v>565.0</v>
      </c>
      <c r="G2" s="24">
        <v>520.0</v>
      </c>
      <c r="H2" s="24">
        <v>1549.0</v>
      </c>
      <c r="I2" s="24">
        <v>1085.0</v>
      </c>
      <c r="J2" s="24">
        <v>1760.0</v>
      </c>
      <c r="K2" s="24">
        <v>427.0</v>
      </c>
      <c r="L2" s="24"/>
      <c r="M2" s="24"/>
      <c r="N2" s="24">
        <v>385.0</v>
      </c>
      <c r="O2" s="24">
        <v>100.0</v>
      </c>
      <c r="P2" s="24"/>
      <c r="Q2" s="25" t="s">
        <v>35</v>
      </c>
      <c r="R2" s="24">
        <v>1000.0</v>
      </c>
      <c r="S2" s="24">
        <v>800.0</v>
      </c>
      <c r="T2" s="24">
        <v>860.0</v>
      </c>
      <c r="U2" s="24">
        <v>450.0</v>
      </c>
      <c r="V2" s="24"/>
      <c r="W2" s="24">
        <f t="shared" ref="W2:W14" si="1">IF(OR(X2="", Y2=""), "", X2+Y2)</f>
        <v>2</v>
      </c>
      <c r="X2" s="24">
        <f>IFERROR(__xludf.DUMMYFUNCTION("IFERROR(VALUE(REGEXEXTRACT(A2,""\b(\d+)/\d+\b"")),"""")"),1.0)</f>
        <v>1</v>
      </c>
      <c r="Y2" s="24">
        <f>IFERROR(__xludf.DUMMYFUNCTION("IFERROR(VALUE(REGEXEXTRACT(A2,""\b\d+/(\d+)\b"")),"""")
"),1.0)</f>
        <v>1</v>
      </c>
      <c r="Z2" s="24">
        <f t="array" ref="Z2">IFERROR(INDEX(CRV!BU:BU, MATCH(B2, CRV!A:A, 0)), "")</f>
        <v>0.37</v>
      </c>
      <c r="AA2" s="24">
        <f t="array" ref="AA2">IFERROR(INDEX(CRV!BV:BV, MATCH(B2, CRV!A:A, 0))*X2+4.5*2+7, "")</f>
        <v>17.6</v>
      </c>
      <c r="AB2" s="24" t="str">
        <f t="array" ref="AB2">IFERROR(IF(VALUE(XLOOKUP($B2,CRV!$A:$A,CRV!$BU:$BU))&lt;=5.5,"прямой пуск (DOL)","звезда-треугольник (SD)"),"")</f>
        <v>прямой пуск (DOL)</v>
      </c>
      <c r="AC2" s="25" t="str">
        <f t="array" ref="AC2">IFERROR(INDEX(CRV!CA:CA, MATCH(B2, CRV!A:A, 0)), "")</f>
        <v>HQQE</v>
      </c>
      <c r="AD2" s="25">
        <v>239.0</v>
      </c>
      <c r="AE2" s="24">
        <v>7.5211384E7</v>
      </c>
    </row>
    <row r="3" ht="12.0" customHeight="1">
      <c r="A3" s="24" t="s">
        <v>67</v>
      </c>
      <c r="B3" s="24" t="str">
        <f>IFERROR(__xludf.DUMMYFUNCTION("IFERROR(IF(REGEXMATCH(REGEXEXTRACT(A3,""\bCRV\s*\d+(?:-\d+)+(?:-(?:A?BI|AI|BI))?\b""),""-(?:A?BI|AI|BI)$""),REGEXREPLACE(REGEXEXTRACT(A3,""\bCRV\s*\d+(?:-\d+)+(?:-(?:A?BI|AI|BI))?\b""),""-(A?BI|AI|BI)$"",""C$1""),REGEXEXTRACT(A3,""\bCRV\s*\d+(?:-\d+)+(?:-"&amp;"(?:A?BI|AI|BI))?\b"")&amp;""C""),"""")"),"CRV 10-2C")</f>
        <v>CRV 10-2C</v>
      </c>
      <c r="C3" s="24">
        <v>1650.0</v>
      </c>
      <c r="D3" s="24">
        <f t="array" ref="D3">IFERROR(XLOOKUP($B3,CRV!$A:$A,CRV!$BA:$BA)+XLOOKUP($B3,CRV!$A:$A,CRV!$BB:$BB)+$O3,"")
</f>
        <v>643</v>
      </c>
      <c r="E3" s="24">
        <v>180.0</v>
      </c>
      <c r="F3" s="24">
        <v>565.0</v>
      </c>
      <c r="G3" s="24">
        <v>520.0</v>
      </c>
      <c r="H3" s="24">
        <v>1549.0</v>
      </c>
      <c r="I3" s="24">
        <v>1085.0</v>
      </c>
      <c r="J3" s="24">
        <v>1760.0</v>
      </c>
      <c r="K3" s="24">
        <v>427.0</v>
      </c>
      <c r="L3" s="24"/>
      <c r="M3" s="24"/>
      <c r="N3" s="24">
        <v>385.0</v>
      </c>
      <c r="O3" s="24">
        <v>100.0</v>
      </c>
      <c r="P3" s="24"/>
      <c r="Q3" s="25" t="s">
        <v>35</v>
      </c>
      <c r="R3" s="24">
        <v>1000.0</v>
      </c>
      <c r="S3" s="24">
        <v>800.0</v>
      </c>
      <c r="T3" s="24">
        <v>860.0</v>
      </c>
      <c r="U3" s="24">
        <v>450.0</v>
      </c>
      <c r="V3" s="24"/>
      <c r="W3" s="24">
        <f t="shared" si="1"/>
        <v>2</v>
      </c>
      <c r="X3" s="24">
        <f>IFERROR(__xludf.DUMMYFUNCTION("IFERROR(VALUE(REGEXEXTRACT(A3,""\b(\d+)/\d+\b"")),"""")"),1.0)</f>
        <v>1</v>
      </c>
      <c r="Y3" s="24">
        <f>IFERROR(__xludf.DUMMYFUNCTION("IFERROR(VALUE(REGEXEXTRACT(A3,""\b\d+/(\d+)\b"")),"""")
"),1.0)</f>
        <v>1</v>
      </c>
      <c r="Z3" s="24">
        <f t="array" ref="Z3">IFERROR(INDEX(CRV!BU:BU, MATCH(B3, CRV!A:A, 0)), "")</f>
        <v>0.75</v>
      </c>
      <c r="AA3" s="24">
        <f t="array" ref="AA3">IFERROR(INDEX(CRV!BV:BV, MATCH(B3, CRV!A:A, 0))*X3+4.5*2+7, "")</f>
        <v>19</v>
      </c>
      <c r="AB3" s="24" t="str">
        <f t="array" ref="AB3">IFERROR(IF(VALUE(XLOOKUP($B3,CRV!$A:$A,CRV!$BU:$BU))&lt;=5.5,"прямой пуск (DOL)","звезда-треугольник (SD)"),"")</f>
        <v>прямой пуск (DOL)</v>
      </c>
      <c r="AC3" s="25" t="str">
        <f t="array" ref="AC3">IFERROR(INDEX(CRV!CA:CA, MATCH(B3, CRV!A:A, 0)), "")</f>
        <v>HQQE</v>
      </c>
      <c r="AD3" s="25">
        <v>243.0</v>
      </c>
      <c r="AE3" s="24">
        <v>7.5211387E7</v>
      </c>
    </row>
    <row r="4" ht="12.0" customHeight="1">
      <c r="A4" s="24" t="s">
        <v>68</v>
      </c>
      <c r="B4" s="24" t="str">
        <f>IFERROR(__xludf.DUMMYFUNCTION("IFERROR(IF(REGEXMATCH(REGEXEXTRACT(A4,""\bCRV\s*\d+(?:-\d+)+(?:-(?:A?BI|AI|BI))?\b""),""-(?:A?BI|AI|BI)$""),REGEXREPLACE(REGEXEXTRACT(A4,""\bCRV\s*\d+(?:-\d+)+(?:-(?:A?BI|AI|BI))?\b""),""-(A?BI|AI|BI)$"",""C$1""),REGEXEXTRACT(A4,""\bCRV\s*\d+(?:-\d+)+(?:-"&amp;"(?:A?BI|AI|BI))?\b"")&amp;""C""),"""")"),"CRV 10-3C")</f>
        <v>CRV 10-3C</v>
      </c>
      <c r="C4" s="24">
        <v>1650.0</v>
      </c>
      <c r="D4" s="24">
        <f t="array" ref="D4">IFERROR(XLOOKUP($B4,CRV!$A:$A,CRV!$BA:$BA)+XLOOKUP($B4,CRV!$A:$A,CRV!$BB:$BB)+$O4,"")
</f>
        <v>710</v>
      </c>
      <c r="E4" s="24">
        <v>180.0</v>
      </c>
      <c r="F4" s="24">
        <v>565.0</v>
      </c>
      <c r="G4" s="24">
        <v>520.0</v>
      </c>
      <c r="H4" s="24">
        <v>1549.0</v>
      </c>
      <c r="I4" s="24">
        <v>1085.0</v>
      </c>
      <c r="J4" s="24">
        <v>1760.0</v>
      </c>
      <c r="K4" s="24">
        <v>427.0</v>
      </c>
      <c r="L4" s="24"/>
      <c r="M4" s="24"/>
      <c r="N4" s="24">
        <v>385.0</v>
      </c>
      <c r="O4" s="24">
        <v>100.0</v>
      </c>
      <c r="P4" s="24"/>
      <c r="Q4" s="25" t="s">
        <v>35</v>
      </c>
      <c r="R4" s="24">
        <v>1000.0</v>
      </c>
      <c r="S4" s="24">
        <v>800.0</v>
      </c>
      <c r="T4" s="24">
        <v>860.0</v>
      </c>
      <c r="U4" s="24">
        <v>450.0</v>
      </c>
      <c r="V4" s="24"/>
      <c r="W4" s="24">
        <f t="shared" si="1"/>
        <v>2</v>
      </c>
      <c r="X4" s="24">
        <f>IFERROR(__xludf.DUMMYFUNCTION("IFERROR(VALUE(REGEXEXTRACT(A4,""\b(\d+)/\d+\b"")),"""")"),1.0)</f>
        <v>1</v>
      </c>
      <c r="Y4" s="24">
        <f>IFERROR(__xludf.DUMMYFUNCTION("IFERROR(VALUE(REGEXEXTRACT(A4,""\b\d+/(\d+)\b"")),"""")
"),1.0)</f>
        <v>1</v>
      </c>
      <c r="Z4" s="24">
        <f t="array" ref="Z4">IFERROR(INDEX(CRV!BU:BU, MATCH(B4, CRV!A:A, 0)), "")</f>
        <v>1.1</v>
      </c>
      <c r="AA4" s="24">
        <f t="array" ref="AA4">IFERROR(INDEX(CRV!BV:BV, MATCH(B4, CRV!A:A, 0))*X4+4.5*2+7, "")</f>
        <v>20.2</v>
      </c>
      <c r="AB4" s="24" t="str">
        <f t="array" ref="AB4">IFERROR(IF(VALUE(XLOOKUP($B4,CRV!$A:$A,CRV!$BU:$BU))&lt;=5.5,"прямой пуск (DOL)","звезда-треугольник (SD)"),"")</f>
        <v>прямой пуск (DOL)</v>
      </c>
      <c r="AC4" s="25" t="str">
        <f t="array" ref="AC4">IFERROR(INDEX(CRV!CA:CA, MATCH(B4, CRV!A:A, 0)), "")</f>
        <v>HQQE</v>
      </c>
      <c r="AD4" s="25">
        <v>251.0</v>
      </c>
      <c r="AE4" s="24">
        <v>7.5211388E7</v>
      </c>
    </row>
    <row r="5" ht="12.0" customHeight="1">
      <c r="A5" s="24" t="s">
        <v>69</v>
      </c>
      <c r="B5" s="24" t="str">
        <f>IFERROR(__xludf.DUMMYFUNCTION("IFERROR(IF(REGEXMATCH(REGEXEXTRACT(A5,""\bCRV\s*\d+(?:-\d+)+(?:-(?:A?BI|AI|BI))?\b""),""-(?:A?BI|AI|BI)$""),REGEXREPLACE(REGEXEXTRACT(A5,""\bCRV\s*\d+(?:-\d+)+(?:-(?:A?BI|AI|BI))?\b""),""-(A?BI|AI|BI)$"",""C$1""),REGEXEXTRACT(A5,""\bCRV\s*\d+(?:-\d+)+(?:-"&amp;"(?:A?BI|AI|BI))?\b"")&amp;""C""),"""")"),"CRV 10-4C")</f>
        <v>CRV 10-4C</v>
      </c>
      <c r="C5" s="24">
        <v>1650.0</v>
      </c>
      <c r="D5" s="24">
        <f t="array" ref="D5">IFERROR(XLOOKUP($B5,CRV!$A:$A,CRV!$BA:$BA)+XLOOKUP($B5,CRV!$A:$A,CRV!$BB:$BB)+$O5,"")
</f>
        <v>740</v>
      </c>
      <c r="E5" s="24">
        <v>180.0</v>
      </c>
      <c r="F5" s="24">
        <v>565.0</v>
      </c>
      <c r="G5" s="24">
        <v>520.0</v>
      </c>
      <c r="H5" s="24">
        <v>1549.0</v>
      </c>
      <c r="I5" s="24">
        <v>1085.0</v>
      </c>
      <c r="J5" s="24">
        <v>1760.0</v>
      </c>
      <c r="K5" s="24">
        <v>427.0</v>
      </c>
      <c r="L5" s="24"/>
      <c r="M5" s="24"/>
      <c r="N5" s="24">
        <v>385.0</v>
      </c>
      <c r="O5" s="24">
        <v>100.0</v>
      </c>
      <c r="P5" s="24"/>
      <c r="Q5" s="25" t="s">
        <v>35</v>
      </c>
      <c r="R5" s="24">
        <v>1000.0</v>
      </c>
      <c r="S5" s="24">
        <v>800.0</v>
      </c>
      <c r="T5" s="24">
        <v>860.0</v>
      </c>
      <c r="U5" s="24">
        <v>450.0</v>
      </c>
      <c r="V5" s="24"/>
      <c r="W5" s="24">
        <f t="shared" si="1"/>
        <v>2</v>
      </c>
      <c r="X5" s="24">
        <f>IFERROR(__xludf.DUMMYFUNCTION("IFERROR(VALUE(REGEXEXTRACT(A5,""\b(\d+)/\d+\b"")),"""")"),1.0)</f>
        <v>1</v>
      </c>
      <c r="Y5" s="24">
        <f>IFERROR(__xludf.DUMMYFUNCTION("IFERROR(VALUE(REGEXEXTRACT(A5,""\b\d+/(\d+)\b"")),"""")
"),1.0)</f>
        <v>1</v>
      </c>
      <c r="Z5" s="24">
        <f t="array" ref="Z5">IFERROR(INDEX(CRV!BU:BU, MATCH(B5, CRV!A:A, 0)), "")</f>
        <v>1.5</v>
      </c>
      <c r="AA5" s="24">
        <f t="array" ref="AA5">IFERROR(INDEX(CRV!BV:BV, MATCH(B5, CRV!A:A, 0))*X5+4.5*2+7, "")</f>
        <v>21.6</v>
      </c>
      <c r="AB5" s="24" t="str">
        <f t="array" ref="AB5">IFERROR(IF(VALUE(XLOOKUP($B5,CRV!$A:$A,CRV!$BU:$BU))&lt;=5.5,"прямой пуск (DOL)","звезда-треугольник (SD)"),"")</f>
        <v>прямой пуск (DOL)</v>
      </c>
      <c r="AC5" s="25" t="str">
        <f t="array" ref="AC5">IFERROR(INDEX(CRV!CA:CA, MATCH(B5, CRV!A:A, 0)), "")</f>
        <v>HQQE</v>
      </c>
      <c r="AD5" s="25">
        <v>267.0</v>
      </c>
      <c r="AE5" s="24">
        <v>7.5211385E7</v>
      </c>
    </row>
    <row r="6" ht="12.0" customHeight="1">
      <c r="A6" s="24" t="s">
        <v>70</v>
      </c>
      <c r="B6" s="24" t="str">
        <f>IFERROR(__xludf.DUMMYFUNCTION("IFERROR(IF(REGEXMATCH(REGEXEXTRACT(A6,""\bCRV\s*\d+(?:-\d+)+(?:-(?:A?BI|AI|BI))?\b""),""-(?:A?BI|AI|BI)$""),REGEXREPLACE(REGEXEXTRACT(A6,""\bCRV\s*\d+(?:-\d+)+(?:-(?:A?BI|AI|BI))?\b""),""-(A?BI|AI|BI)$"",""C$1""),REGEXEXTRACT(A6,""\bCRV\s*\d+(?:-\d+)+(?:-"&amp;"(?:A?BI|AI|BI))?\b"")&amp;""C""),"""")"),"CRV 10-5C")</f>
        <v>CRV 10-5C</v>
      </c>
      <c r="C6" s="24">
        <v>1650.0</v>
      </c>
      <c r="D6" s="24">
        <f t="array" ref="D6">IFERROR(XLOOKUP($B6,CRV!$A:$A,CRV!$BA:$BA)+XLOOKUP($B6,CRV!$A:$A,CRV!$BB:$BB)+$O6,"")
</f>
        <v>822</v>
      </c>
      <c r="E6" s="24">
        <v>180.0</v>
      </c>
      <c r="F6" s="24">
        <v>565.0</v>
      </c>
      <c r="G6" s="24">
        <v>520.0</v>
      </c>
      <c r="H6" s="24">
        <v>1549.0</v>
      </c>
      <c r="I6" s="24">
        <v>1085.0</v>
      </c>
      <c r="J6" s="24">
        <v>1760.0</v>
      </c>
      <c r="K6" s="24">
        <v>427.0</v>
      </c>
      <c r="L6" s="24"/>
      <c r="M6" s="24"/>
      <c r="N6" s="24">
        <v>385.0</v>
      </c>
      <c r="O6" s="24">
        <v>100.0</v>
      </c>
      <c r="P6" s="24"/>
      <c r="Q6" s="25" t="s">
        <v>35</v>
      </c>
      <c r="R6" s="24">
        <v>1000.0</v>
      </c>
      <c r="S6" s="24">
        <v>800.0</v>
      </c>
      <c r="T6" s="24">
        <v>860.0</v>
      </c>
      <c r="U6" s="24">
        <v>450.0</v>
      </c>
      <c r="V6" s="24"/>
      <c r="W6" s="24">
        <f t="shared" si="1"/>
        <v>2</v>
      </c>
      <c r="X6" s="24">
        <f>IFERROR(__xludf.DUMMYFUNCTION("IFERROR(VALUE(REGEXEXTRACT(A6,""\b(\d+)/\d+\b"")),"""")"),1.0)</f>
        <v>1</v>
      </c>
      <c r="Y6" s="24">
        <f>IFERROR(__xludf.DUMMYFUNCTION("IFERROR(VALUE(REGEXEXTRACT(A6,""\b\d+/(\d+)\b"")),"""")
"),1.0)</f>
        <v>1</v>
      </c>
      <c r="Z6" s="24">
        <f t="array" ref="Z6">IFERROR(INDEX(CRV!BU:BU, MATCH(B6, CRV!A:A, 0)), "")</f>
        <v>2.2</v>
      </c>
      <c r="AA6" s="24">
        <f t="array" ref="AA6">IFERROR(INDEX(CRV!BV:BV, MATCH(B6, CRV!A:A, 0))*X6+4.5*2+7, "")</f>
        <v>23.9</v>
      </c>
      <c r="AB6" s="24" t="str">
        <f t="array" ref="AB6">IFERROR(IF(VALUE(XLOOKUP($B6,CRV!$A:$A,CRV!$BU:$BU))&lt;=5.5,"прямой пуск (DOL)","звезда-треугольник (SD)"),"")</f>
        <v>прямой пуск (DOL)</v>
      </c>
      <c r="AC6" s="25" t="str">
        <f t="array" ref="AC6">IFERROR(INDEX(CRV!CA:CA, MATCH(B6, CRV!A:A, 0)), "")</f>
        <v>HQQE</v>
      </c>
      <c r="AD6" s="25">
        <v>269.0</v>
      </c>
      <c r="AE6" s="24">
        <v>7.5211371E7</v>
      </c>
    </row>
    <row r="7" ht="12.0" customHeight="1">
      <c r="A7" s="24" t="s">
        <v>71</v>
      </c>
      <c r="B7" s="24" t="str">
        <f>IFERROR(__xludf.DUMMYFUNCTION("IFERROR(IF(REGEXMATCH(REGEXEXTRACT(A7,""\bCRV\s*\d+(?:-\d+)+(?:-(?:A?BI|AI|BI))?\b""),""-(?:A?BI|AI|BI)$""),REGEXREPLACE(REGEXEXTRACT(A7,""\bCRV\s*\d+(?:-\d+)+(?:-(?:A?BI|AI|BI))?\b""),""-(A?BI|AI|BI)$"",""C$1""),REGEXEXTRACT(A7,""\bCRV\s*\d+(?:-\d+)+(?:-"&amp;"(?:A?BI|AI|BI))?\b"")&amp;""C""),"""")"),"CRV 10-6C")</f>
        <v>CRV 10-6C</v>
      </c>
      <c r="C7" s="24">
        <v>1650.0</v>
      </c>
      <c r="D7" s="24">
        <f t="array" ref="D7">IFERROR(XLOOKUP($B7,CRV!$A:$A,CRV!$BA:$BA)+XLOOKUP($B7,CRV!$A:$A,CRV!$BB:$BB)+$O7,"")
</f>
        <v>852</v>
      </c>
      <c r="E7" s="24">
        <v>180.0</v>
      </c>
      <c r="F7" s="24">
        <v>565.0</v>
      </c>
      <c r="G7" s="24">
        <v>520.0</v>
      </c>
      <c r="H7" s="24">
        <v>1549.0</v>
      </c>
      <c r="I7" s="24">
        <v>1085.0</v>
      </c>
      <c r="J7" s="24">
        <v>1760.0</v>
      </c>
      <c r="K7" s="24">
        <v>427.0</v>
      </c>
      <c r="L7" s="24"/>
      <c r="M7" s="24"/>
      <c r="N7" s="24">
        <v>385.0</v>
      </c>
      <c r="O7" s="24">
        <v>100.0</v>
      </c>
      <c r="P7" s="24"/>
      <c r="Q7" s="25" t="s">
        <v>35</v>
      </c>
      <c r="R7" s="24">
        <v>1000.0</v>
      </c>
      <c r="S7" s="24">
        <v>800.0</v>
      </c>
      <c r="T7" s="24">
        <v>860.0</v>
      </c>
      <c r="U7" s="24">
        <v>450.0</v>
      </c>
      <c r="V7" s="24"/>
      <c r="W7" s="24">
        <f t="shared" si="1"/>
        <v>2</v>
      </c>
      <c r="X7" s="24">
        <f>IFERROR(__xludf.DUMMYFUNCTION("IFERROR(VALUE(REGEXEXTRACT(A7,""\b(\d+)/\d+\b"")),"""")"),1.0)</f>
        <v>1</v>
      </c>
      <c r="Y7" s="24">
        <f>IFERROR(__xludf.DUMMYFUNCTION("IFERROR(VALUE(REGEXEXTRACT(A7,""\b\d+/(\d+)\b"")),"""")
"),1.0)</f>
        <v>1</v>
      </c>
      <c r="Z7" s="24">
        <f t="array" ref="Z7">IFERROR(INDEX(CRV!BU:BU, MATCH(B7, CRV!A:A, 0)), "")</f>
        <v>2.2</v>
      </c>
      <c r="AA7" s="24">
        <f t="array" ref="AA7">IFERROR(INDEX(CRV!BV:BV, MATCH(B7, CRV!A:A, 0))*X7+4.5*2+7, "")</f>
        <v>23.9</v>
      </c>
      <c r="AB7" s="24" t="str">
        <f t="array" ref="AB7">IFERROR(IF(VALUE(XLOOKUP($B7,CRV!$A:$A,CRV!$BU:$BU))&lt;=5.5,"прямой пуск (DOL)","звезда-треугольник (SD)"),"")</f>
        <v>прямой пуск (DOL)</v>
      </c>
      <c r="AC7" s="25" t="str">
        <f t="array" ref="AC7">IFERROR(INDEX(CRV!CA:CA, MATCH(B7, CRV!A:A, 0)), "")</f>
        <v>HQQE</v>
      </c>
      <c r="AD7" s="25">
        <v>271.0</v>
      </c>
      <c r="AE7" s="24">
        <v>7.5211389E7</v>
      </c>
    </row>
    <row r="8" ht="12.0" customHeight="1">
      <c r="A8" s="24" t="s">
        <v>72</v>
      </c>
      <c r="B8" s="24" t="str">
        <f>IFERROR(__xludf.DUMMYFUNCTION("IFERROR(IF(REGEXMATCH(REGEXEXTRACT(A8,""\bCRV\s*\d+(?:-\d+)+(?:-(?:A?BI|AI|BI))?\b""),""-(?:A?BI|AI|BI)$""),REGEXREPLACE(REGEXEXTRACT(A8,""\bCRV\s*\d+(?:-\d+)+(?:-(?:A?BI|AI|BI))?\b""),""-(A?BI|AI|BI)$"",""C$1""),REGEXEXTRACT(A8,""\bCRV\s*\d+(?:-\d+)+(?:-"&amp;"(?:A?BI|AI|BI))?\b"")&amp;""C""),"""")"),"CRV 10-9C")</f>
        <v>CRV 10-9C</v>
      </c>
      <c r="C8" s="24">
        <v>1650.0</v>
      </c>
      <c r="D8" s="24">
        <f t="array" ref="D8">IFERROR(XLOOKUP($B8,CRV!$A:$A,CRV!$BA:$BA)+XLOOKUP($B8,CRV!$A:$A,CRV!$BB:$BB)+$O8,"")
</f>
        <v>962</v>
      </c>
      <c r="E8" s="24">
        <v>180.0</v>
      </c>
      <c r="F8" s="24">
        <v>565.0</v>
      </c>
      <c r="G8" s="24">
        <v>520.0</v>
      </c>
      <c r="H8" s="24">
        <v>1549.0</v>
      </c>
      <c r="I8" s="24">
        <v>1085.0</v>
      </c>
      <c r="J8" s="24">
        <v>1760.0</v>
      </c>
      <c r="K8" s="24">
        <v>427.0</v>
      </c>
      <c r="L8" s="24"/>
      <c r="M8" s="24"/>
      <c r="N8" s="24">
        <v>385.0</v>
      </c>
      <c r="O8" s="24">
        <v>100.0</v>
      </c>
      <c r="P8" s="24"/>
      <c r="Q8" s="25" t="s">
        <v>35</v>
      </c>
      <c r="R8" s="24">
        <v>1000.0</v>
      </c>
      <c r="S8" s="24">
        <v>800.0</v>
      </c>
      <c r="T8" s="24">
        <v>860.0</v>
      </c>
      <c r="U8" s="24">
        <v>450.0</v>
      </c>
      <c r="V8" s="24"/>
      <c r="W8" s="24">
        <f t="shared" si="1"/>
        <v>2</v>
      </c>
      <c r="X8" s="24">
        <f>IFERROR(__xludf.DUMMYFUNCTION("IFERROR(VALUE(REGEXEXTRACT(A8,""\b(\d+)/\d+\b"")),"""")"),1.0)</f>
        <v>1</v>
      </c>
      <c r="Y8" s="24">
        <f>IFERROR(__xludf.DUMMYFUNCTION("IFERROR(VALUE(REGEXEXTRACT(A8,""\b\d+/(\d+)\b"")),"""")
"),1.0)</f>
        <v>1</v>
      </c>
      <c r="Z8" s="24">
        <f t="array" ref="Z8">IFERROR(INDEX(CRV!BU:BU, MATCH(B8, CRV!A:A, 0)), "")</f>
        <v>3</v>
      </c>
      <c r="AA8" s="24">
        <f t="array" ref="AA8">IFERROR(INDEX(CRV!BV:BV, MATCH(B8, CRV!A:A, 0))*X8+4.5*2+7, "")</f>
        <v>26.4</v>
      </c>
      <c r="AB8" s="24" t="str">
        <f t="array" ref="AB8">IFERROR(IF(VALUE(XLOOKUP($B8,CRV!$A:$A,CRV!$BU:$BU))&lt;=5.5,"прямой пуск (DOL)","звезда-треугольник (SD)"),"")</f>
        <v>прямой пуск (DOL)</v>
      </c>
      <c r="AC8" s="25" t="str">
        <f t="array" ref="AC8">IFERROR(INDEX(CRV!CA:CA, MATCH(B8, CRV!A:A, 0)), "")</f>
        <v>HQQE</v>
      </c>
      <c r="AD8" s="25">
        <v>287.0</v>
      </c>
      <c r="AE8" s="24">
        <v>7.5211376E7</v>
      </c>
    </row>
    <row r="9" ht="12.0" customHeight="1">
      <c r="A9" s="24" t="s">
        <v>73</v>
      </c>
      <c r="B9" s="24" t="str">
        <f>IFERROR(__xludf.DUMMYFUNCTION("IFERROR(IF(REGEXMATCH(REGEXEXTRACT(A9,""\bCRV\s*\d+(?:-\d+)+(?:-(?:A?BI|AI|BI))?\b""),""-(?:A?BI|AI|BI)$""),REGEXREPLACE(REGEXEXTRACT(A9,""\bCRV\s*\d+(?:-\d+)+(?:-(?:A?BI|AI|BI))?\b""),""-(A?BI|AI|BI)$"",""C$1""),REGEXEXTRACT(A9,""\bCRV\s*\d+(?:-\d+)+(?:-"&amp;"(?:A?BI|AI|BI))?\b"")&amp;""C""),"""")"),"CRV 10-12C")</f>
        <v>CRV 10-12C</v>
      </c>
      <c r="C9" s="24">
        <v>1650.0</v>
      </c>
      <c r="D9" s="24">
        <f t="array" ref="D9">IFERROR(XLOOKUP($B9,CRV!$A:$A,CRV!$BA:$BA)+XLOOKUP($B9,CRV!$A:$A,CRV!$BB:$BB)+$O9,"")
</f>
        <v>1085</v>
      </c>
      <c r="E9" s="24">
        <v>180.0</v>
      </c>
      <c r="F9" s="24">
        <v>565.0</v>
      </c>
      <c r="G9" s="24">
        <v>520.0</v>
      </c>
      <c r="H9" s="24">
        <v>1549.0</v>
      </c>
      <c r="I9" s="24">
        <v>1085.0</v>
      </c>
      <c r="J9" s="24">
        <v>1760.0</v>
      </c>
      <c r="K9" s="24">
        <v>427.0</v>
      </c>
      <c r="L9" s="24"/>
      <c r="M9" s="24"/>
      <c r="N9" s="24">
        <v>385.0</v>
      </c>
      <c r="O9" s="24">
        <v>100.0</v>
      </c>
      <c r="P9" s="24"/>
      <c r="Q9" s="25" t="s">
        <v>35</v>
      </c>
      <c r="R9" s="24">
        <v>1000.0</v>
      </c>
      <c r="S9" s="24">
        <v>800.0</v>
      </c>
      <c r="T9" s="24">
        <v>860.0</v>
      </c>
      <c r="U9" s="24">
        <v>450.0</v>
      </c>
      <c r="V9" s="24"/>
      <c r="W9" s="24">
        <f t="shared" si="1"/>
        <v>2</v>
      </c>
      <c r="X9" s="24">
        <f>IFERROR(__xludf.DUMMYFUNCTION("IFERROR(VALUE(REGEXEXTRACT(A9,""\b(\d+)/\d+\b"")),"""")"),1.0)</f>
        <v>1</v>
      </c>
      <c r="Y9" s="24">
        <f>IFERROR(__xludf.DUMMYFUNCTION("IFERROR(VALUE(REGEXEXTRACT(A9,""\b\d+/(\d+)\b"")),"""")
"),1.0)</f>
        <v>1</v>
      </c>
      <c r="Z9" s="24">
        <f t="array" ref="Z9">IFERROR(INDEX(CRV!BU:BU, MATCH(B9, CRV!A:A, 0)), "")</f>
        <v>4</v>
      </c>
      <c r="AA9" s="24">
        <f t="array" ref="AA9">IFERROR(INDEX(CRV!BV:BV, MATCH(B9, CRV!A:A, 0))*X9+4.5*2+7, "")</f>
        <v>23.8</v>
      </c>
      <c r="AB9" s="24" t="str">
        <f t="array" ref="AB9">IFERROR(IF(VALUE(XLOOKUP($B9,CRV!$A:$A,CRV!$BU:$BU))&lt;=5.5,"прямой пуск (DOL)","звезда-треугольник (SD)"),"")</f>
        <v>прямой пуск (DOL)</v>
      </c>
      <c r="AC9" s="25" t="str">
        <f t="array" ref="AC9">IFERROR(INDEX(CRV!CA:CA, MATCH(B9, CRV!A:A, 0)), "")</f>
        <v>HQQE</v>
      </c>
      <c r="AD9" s="25">
        <v>315.0</v>
      </c>
      <c r="AE9" s="24">
        <v>7.521139E7</v>
      </c>
    </row>
    <row r="10" ht="12.0" customHeight="1">
      <c r="A10" s="24" t="s">
        <v>74</v>
      </c>
      <c r="B10" s="24" t="str">
        <f>IFERROR(__xludf.DUMMYFUNCTION("IFERROR(IF(REGEXMATCH(REGEXEXTRACT(A10,""\bCRV\s*\d+(?:-\d+)+(?:-(?:A?BI|AI|BI))?\b""),""-(?:A?BI|AI|BI)$""),REGEXREPLACE(REGEXEXTRACT(A10,""\bCRV\s*\d+(?:-\d+)+(?:-(?:A?BI|AI|BI))?\b""),""-(A?BI|AI|BI)$"",""C$1""),REGEXEXTRACT(A10,""\bCRV\s*\d+(?:-\d+)+("&amp;"?:-(?:A?BI|AI|BI))?\b"")&amp;""C""),"""")"),"CRV 10-14C")</f>
        <v>CRV 10-14C</v>
      </c>
      <c r="C10" s="24">
        <v>1650.0</v>
      </c>
      <c r="D10" s="24">
        <f t="array" ref="D10">IFERROR(XLOOKUP($B10,CRV!$A:$A,CRV!$BA:$BA)+XLOOKUP($B10,CRV!$A:$A,CRV!$BB:$BB)+$O10,"")
</f>
        <v>1226</v>
      </c>
      <c r="E10" s="24">
        <v>180.0</v>
      </c>
      <c r="F10" s="24">
        <v>565.0</v>
      </c>
      <c r="G10" s="24">
        <v>520.0</v>
      </c>
      <c r="H10" s="24">
        <v>1549.0</v>
      </c>
      <c r="I10" s="24">
        <v>1085.0</v>
      </c>
      <c r="J10" s="24">
        <v>1760.0</v>
      </c>
      <c r="K10" s="24">
        <v>427.0</v>
      </c>
      <c r="L10" s="24"/>
      <c r="M10" s="24"/>
      <c r="N10" s="24">
        <v>385.0</v>
      </c>
      <c r="O10" s="24">
        <v>100.0</v>
      </c>
      <c r="P10" s="24"/>
      <c r="Q10" s="25" t="s">
        <v>35</v>
      </c>
      <c r="R10" s="24">
        <v>1000.0</v>
      </c>
      <c r="S10" s="24">
        <v>800.0</v>
      </c>
      <c r="T10" s="24">
        <v>860.0</v>
      </c>
      <c r="U10" s="24">
        <v>450.0</v>
      </c>
      <c r="V10" s="24"/>
      <c r="W10" s="24">
        <f t="shared" si="1"/>
        <v>2</v>
      </c>
      <c r="X10" s="24">
        <f>IFERROR(__xludf.DUMMYFUNCTION("IFERROR(VALUE(REGEXEXTRACT(A10,""\b(\d+)/\d+\b"")),"""")"),1.0)</f>
        <v>1</v>
      </c>
      <c r="Y10" s="24">
        <f>IFERROR(__xludf.DUMMYFUNCTION("IFERROR(VALUE(REGEXEXTRACT(A10,""\b\d+/(\d+)\b"")),"""")
"),1.0)</f>
        <v>1</v>
      </c>
      <c r="Z10" s="24">
        <f t="array" ref="Z10">IFERROR(INDEX(CRV!BU:BU, MATCH(B10, CRV!A:A, 0)), "")</f>
        <v>5.5</v>
      </c>
      <c r="AA10" s="24">
        <f t="array" ref="AA10">IFERROR(INDEX(CRV!BV:BV, MATCH(B10, CRV!A:A, 0))*X10+4.5*2+7, "")</f>
        <v>26.6</v>
      </c>
      <c r="AB10" s="24" t="str">
        <f t="array" ref="AB10">IFERROR(IF(VALUE(XLOOKUP($B10,CRV!$A:$A,CRV!$BU:$BU))&lt;=5.5,"прямой пуск (DOL)","звезда-треугольник (SD)"),"")</f>
        <v>прямой пуск (DOL)</v>
      </c>
      <c r="AC10" s="25" t="str">
        <f t="array" ref="AC10">IFERROR(INDEX(CRV!CA:CA, MATCH(B10, CRV!A:A, 0)), "")</f>
        <v>HQQE</v>
      </c>
      <c r="AD10" s="25">
        <v>359.0</v>
      </c>
      <c r="AE10" s="24">
        <v>7.5211391E7</v>
      </c>
    </row>
    <row r="11" ht="12.0" customHeight="1">
      <c r="A11" s="25" t="s">
        <v>75</v>
      </c>
      <c r="B11" s="24" t="str">
        <f>IFERROR(__xludf.DUMMYFUNCTION("IFERROR(IF(REGEXMATCH(REGEXEXTRACT(A11,""\bCRV\s*\d+(?:-\d+)+(?:-(?:A?BI|AI|BI))?\b""),""-(?:A?BI|AI|BI)$""),REGEXREPLACE(REGEXEXTRACT(A11,""\bCRV\s*\d+(?:-\d+)+(?:-(?:A?BI|AI|BI))?\b""),""-(A?BI|AI|BI)$"",""C$1""),REGEXEXTRACT(A11,""\bCRV\s*\d+(?:-\d+)+("&amp;"?:-(?:A?BI|AI|BI))?\b"")&amp;""C""),"""")"),"CRV 10-16C")</f>
        <v>CRV 10-16C</v>
      </c>
      <c r="C11" s="24">
        <v>1650.0</v>
      </c>
      <c r="D11" s="24">
        <f t="array" ref="D11">IFERROR(XLOOKUP($B11,CRV!$A:$A,CRV!$BA:$BA)+XLOOKUP($B11,CRV!$A:$A,CRV!$BB:$BB)+$O11,"")
</f>
        <v>1286</v>
      </c>
      <c r="E11" s="24">
        <v>180.0</v>
      </c>
      <c r="F11" s="24">
        <v>565.0</v>
      </c>
      <c r="G11" s="24">
        <v>520.0</v>
      </c>
      <c r="H11" s="24">
        <v>1549.0</v>
      </c>
      <c r="I11" s="24">
        <v>1085.0</v>
      </c>
      <c r="J11" s="24">
        <v>1760.0</v>
      </c>
      <c r="K11" s="24">
        <v>427.0</v>
      </c>
      <c r="L11" s="24"/>
      <c r="M11" s="24"/>
      <c r="N11" s="24">
        <v>385.0</v>
      </c>
      <c r="O11" s="24">
        <v>100.0</v>
      </c>
      <c r="P11" s="24"/>
      <c r="Q11" s="25" t="s">
        <v>35</v>
      </c>
      <c r="R11" s="24">
        <v>1000.0</v>
      </c>
      <c r="S11" s="24">
        <v>800.0</v>
      </c>
      <c r="T11" s="24">
        <v>860.0</v>
      </c>
      <c r="U11" s="24">
        <v>450.0</v>
      </c>
      <c r="V11" s="24"/>
      <c r="W11" s="24">
        <f t="shared" si="1"/>
        <v>2</v>
      </c>
      <c r="X11" s="24">
        <f>IFERROR(__xludf.DUMMYFUNCTION("IFERROR(VALUE(REGEXEXTRACT(A11,""\b(\d+)/\d+\b"")),"""")"),1.0)</f>
        <v>1</v>
      </c>
      <c r="Y11" s="24">
        <f>IFERROR(__xludf.DUMMYFUNCTION("IFERROR(VALUE(REGEXEXTRACT(A11,""\b\d+/(\d+)\b"")),"""")
"),1.0)</f>
        <v>1</v>
      </c>
      <c r="Z11" s="24">
        <f t="array" ref="Z11">IFERROR(INDEX(CRV!BU:BU, MATCH(B11, CRV!A:A, 0)), "")</f>
        <v>5.5</v>
      </c>
      <c r="AA11" s="24">
        <f t="array" ref="AA11">IFERROR(INDEX(CRV!BV:BV, MATCH(B11, CRV!A:A, 0))*X11+4.5*2+7, "")</f>
        <v>26.6</v>
      </c>
      <c r="AB11" s="24" t="str">
        <f t="array" ref="AB11">IFERROR(IF(VALUE(XLOOKUP($B11,CRV!$A:$A,CRV!$BU:$BU))&lt;=5.5,"прямой пуск (DOL)","звезда-треугольник (SD)"),"")</f>
        <v>прямой пуск (DOL)</v>
      </c>
      <c r="AC11" s="25" t="str">
        <f t="array" ref="AC11">IFERROR(INDEX(CRV!CA:CA, MATCH(B11, CRV!A:A, 0)), "")</f>
        <v>HQQE</v>
      </c>
      <c r="AD11" s="25">
        <f t="array" ref="AD11">IFERROR(AD10-W11*XLOOKUP($B10,CRV!$A:$A,CRV!$BY:$BY)+W11*XLOOKUP($B11,CRV!$A:$A,CRV!$BY:$BY),"ошибка")</f>
        <v>363</v>
      </c>
      <c r="AE11" s="25" t="s">
        <v>76</v>
      </c>
    </row>
    <row r="12" ht="12.0" customHeight="1">
      <c r="A12" s="25" t="s">
        <v>77</v>
      </c>
      <c r="B12" s="24" t="str">
        <f>IFERROR(__xludf.DUMMYFUNCTION("IFERROR(IF(REGEXMATCH(REGEXEXTRACT(A12,""\bCRV\s*\d+(?:-\d+)+(?:-(?:A?BI|AI|BI))?\b""),""-(?:A?BI|AI|BI)$""),REGEXREPLACE(REGEXEXTRACT(A12,""\bCRV\s*\d+(?:-\d+)+(?:-(?:A?BI|AI|BI))?\b""),""-(A?BI|AI|BI)$"",""C$1""),REGEXEXTRACT(A12,""\bCRV\s*\d+(?:-\d+)+("&amp;"?:-(?:A?BI|AI|BI))?\b"")&amp;""C""),"""")"),"CRV 10-18C")</f>
        <v>CRV 10-18C</v>
      </c>
      <c r="C12" s="24">
        <v>1650.0</v>
      </c>
      <c r="D12" s="24">
        <f t="array" ref="D12">IFERROR(XLOOKUP($B12,CRV!$A:$A,CRV!$BA:$BA)+XLOOKUP($B12,CRV!$A:$A,CRV!$BB:$BB)+$O12,"")
</f>
        <v>1384</v>
      </c>
      <c r="E12" s="24">
        <v>180.0</v>
      </c>
      <c r="F12" s="24">
        <v>565.0</v>
      </c>
      <c r="G12" s="24">
        <v>520.0</v>
      </c>
      <c r="H12" s="24">
        <v>1549.0</v>
      </c>
      <c r="I12" s="24">
        <v>1085.0</v>
      </c>
      <c r="J12" s="24">
        <v>1760.0</v>
      </c>
      <c r="K12" s="24">
        <v>427.0</v>
      </c>
      <c r="L12" s="24"/>
      <c r="M12" s="24"/>
      <c r="N12" s="24">
        <v>385.0</v>
      </c>
      <c r="O12" s="24">
        <v>100.0</v>
      </c>
      <c r="P12" s="24"/>
      <c r="Q12" s="25" t="s">
        <v>35</v>
      </c>
      <c r="R12" s="24">
        <v>1000.0</v>
      </c>
      <c r="S12" s="24">
        <v>800.0</v>
      </c>
      <c r="T12" s="24">
        <v>860.0</v>
      </c>
      <c r="U12" s="24">
        <v>450.0</v>
      </c>
      <c r="V12" s="24"/>
      <c r="W12" s="24">
        <f t="shared" si="1"/>
        <v>2</v>
      </c>
      <c r="X12" s="24">
        <f>IFERROR(__xludf.DUMMYFUNCTION("IFERROR(VALUE(REGEXEXTRACT(A12,""\b(\d+)/\d+\b"")),"""")"),1.0)</f>
        <v>1</v>
      </c>
      <c r="Y12" s="24">
        <f>IFERROR(__xludf.DUMMYFUNCTION("IFERROR(VALUE(REGEXEXTRACT(A12,""\b\d+/(\d+)\b"")),"""")
"),1.0)</f>
        <v>1</v>
      </c>
      <c r="Z12" s="24">
        <f t="array" ref="Z12">IFERROR(INDEX(CRV!BU:BU, MATCH(B12, CRV!A:A, 0)), "")</f>
        <v>7.5</v>
      </c>
      <c r="AA12" s="24">
        <f t="array" ref="AA12">IFERROR(INDEX(CRV!BV:BV, MATCH(B12, CRV!A:A, 0))*X12+4.5*2+7, "")</f>
        <v>30.4</v>
      </c>
      <c r="AB12" s="24" t="str">
        <f t="array" ref="AB12">IFERROR(IF(VALUE(XLOOKUP($B12,CRV!$A:$A,CRV!$BU:$BU))&lt;=5.5,"прямой пуск (DOL)","звезда-треугольник (SD)"),"")</f>
        <v>звезда-треугольник (SD)</v>
      </c>
      <c r="AC12" s="25" t="str">
        <f t="array" ref="AC12">IFERROR(INDEX(CRV!CA:CA, MATCH(B12, CRV!A:A, 0)), "")</f>
        <v>HQQE</v>
      </c>
      <c r="AD12" s="25">
        <f t="array" ref="AD12">IFERROR(AD11-W12*XLOOKUP($B11,CRV!$A:$A,CRV!$BY:$BY)+W12*XLOOKUP($B12,CRV!$A:$A,CRV!$BY:$BY),"ошибка")</f>
        <v>373</v>
      </c>
      <c r="AE12" s="25" t="s">
        <v>76</v>
      </c>
    </row>
    <row r="13" ht="12.0" customHeight="1">
      <c r="A13" s="25" t="s">
        <v>78</v>
      </c>
      <c r="B13" s="24" t="str">
        <f>IFERROR(__xludf.DUMMYFUNCTION("IFERROR(IF(REGEXMATCH(REGEXEXTRACT(A13,""\bCRV\s*\d+(?:-\d+)+(?:-(?:A?BI|AI|BI))?\b""),""-(?:A?BI|AI|BI)$""),REGEXREPLACE(REGEXEXTRACT(A13,""\bCRV\s*\d+(?:-\d+)+(?:-(?:A?BI|AI|BI))?\b""),""-(A?BI|AI|BI)$"",""C$1""),REGEXEXTRACT(A13,""\bCRV\s*\d+(?:-\d+)+("&amp;"?:-(?:A?BI|AI|BI))?\b"")&amp;""C""),"""")"),"CRV 10-20C")</f>
        <v>CRV 10-20C</v>
      </c>
      <c r="C13" s="24">
        <v>1650.0</v>
      </c>
      <c r="D13" s="24">
        <f t="array" ref="D13">IFERROR(XLOOKUP($B13,CRV!$A:$A,CRV!$BA:$BA)+XLOOKUP($B13,CRV!$A:$A,CRV!$BB:$BB)+$O13,"")
</f>
        <v>1444</v>
      </c>
      <c r="E13" s="24">
        <v>180.0</v>
      </c>
      <c r="F13" s="24">
        <v>565.0</v>
      </c>
      <c r="G13" s="24">
        <v>520.0</v>
      </c>
      <c r="H13" s="24">
        <v>1549.0</v>
      </c>
      <c r="I13" s="24">
        <v>1085.0</v>
      </c>
      <c r="J13" s="24">
        <v>1760.0</v>
      </c>
      <c r="K13" s="24">
        <v>427.0</v>
      </c>
      <c r="L13" s="24"/>
      <c r="M13" s="24"/>
      <c r="N13" s="24">
        <v>385.0</v>
      </c>
      <c r="O13" s="24">
        <v>100.0</v>
      </c>
      <c r="P13" s="24"/>
      <c r="Q13" s="25" t="s">
        <v>35</v>
      </c>
      <c r="R13" s="24">
        <v>1000.0</v>
      </c>
      <c r="S13" s="24">
        <v>800.0</v>
      </c>
      <c r="T13" s="24">
        <v>860.0</v>
      </c>
      <c r="U13" s="24">
        <v>450.0</v>
      </c>
      <c r="V13" s="24"/>
      <c r="W13" s="24">
        <f t="shared" si="1"/>
        <v>2</v>
      </c>
      <c r="X13" s="24">
        <f>IFERROR(__xludf.DUMMYFUNCTION("IFERROR(VALUE(REGEXEXTRACT(A13,""\b(\d+)/\d+\b"")),"""")"),1.0)</f>
        <v>1</v>
      </c>
      <c r="Y13" s="24">
        <f>IFERROR(__xludf.DUMMYFUNCTION("IFERROR(VALUE(REGEXEXTRACT(A13,""\b\d+/(\d+)\b"")),"""")
"),1.0)</f>
        <v>1</v>
      </c>
      <c r="Z13" s="24">
        <f t="array" ref="Z13">IFERROR(INDEX(CRV!BU:BU, MATCH(B13, CRV!A:A, 0)), "")</f>
        <v>7.5</v>
      </c>
      <c r="AA13" s="24">
        <f t="array" ref="AA13">IFERROR(INDEX(CRV!BV:BV, MATCH(B13, CRV!A:A, 0))*X13+4.5*2+7, "")</f>
        <v>30.4</v>
      </c>
      <c r="AB13" s="24" t="str">
        <f t="array" ref="AB13">IFERROR(IF(VALUE(XLOOKUP($B13,CRV!$A:$A,CRV!$BU:$BU))&lt;=5.5,"прямой пуск (DOL)","звезда-треугольник (SD)"),"")</f>
        <v>звезда-треугольник (SD)</v>
      </c>
      <c r="AC13" s="25" t="str">
        <f t="array" ref="AC13">IFERROR(INDEX(CRV!CA:CA, MATCH(B13, CRV!A:A, 0)), "")</f>
        <v>HQQE</v>
      </c>
      <c r="AD13" s="25">
        <f t="array" ref="AD13">IFERROR(AD12-W13*XLOOKUP($B12,CRV!$A:$A,CRV!$BY:$BY)+W13*XLOOKUP($B13,CRV!$A:$A,CRV!$BY:$BY),"ошибка")</f>
        <v>377</v>
      </c>
      <c r="AE13" s="25" t="s">
        <v>76</v>
      </c>
    </row>
    <row r="14" ht="12.0" customHeight="1">
      <c r="A14" s="26" t="s">
        <v>79</v>
      </c>
      <c r="B14" s="24" t="str">
        <f>IFERROR(__xludf.DUMMYFUNCTION("IFERROR(IF(REGEXMATCH(REGEXEXTRACT(A14,""\bCRV\s*\d+(?:-\d+)+(?:-(?:A?BI|AI|BI))?\b""),""-(?:A?BI|AI|BI)$""),REGEXREPLACE(REGEXEXTRACT(A14,""\bCRV\s*\d+(?:-\d+)+(?:-(?:A?BI|AI|BI))?\b""),""-(A?BI|AI|BI)$"",""C$1""),REGEXEXTRACT(A14,""\bCRV\s*\d+(?:-\d+)+("&amp;"?:-(?:A?BI|AI|BI))?\b"")&amp;""C""),"""")"),"CRV 10-22C")</f>
        <v>CRV 10-22C</v>
      </c>
      <c r="C14" s="27">
        <v>1650.0</v>
      </c>
      <c r="D14" s="24">
        <f t="array" ref="D14">IFERROR(XLOOKUP($B14,CRV!$A:$A,CRV!$BA:$BA)+XLOOKUP($B14,CRV!$A:$A,CRV!$BB:$BB)+$O14,"")
</f>
        <v>1504</v>
      </c>
      <c r="E14" s="27">
        <v>180.0</v>
      </c>
      <c r="F14" s="27">
        <v>565.0</v>
      </c>
      <c r="G14" s="27">
        <v>520.0</v>
      </c>
      <c r="H14" s="27">
        <v>1549.0</v>
      </c>
      <c r="I14" s="27">
        <v>1085.0</v>
      </c>
      <c r="J14" s="27">
        <v>1760.0</v>
      </c>
      <c r="K14" s="27">
        <v>427.0</v>
      </c>
      <c r="L14" s="27"/>
      <c r="M14" s="27"/>
      <c r="N14" s="27">
        <v>385.0</v>
      </c>
      <c r="O14" s="27">
        <v>100.0</v>
      </c>
      <c r="P14" s="27"/>
      <c r="Q14" s="26" t="s">
        <v>35</v>
      </c>
      <c r="R14" s="27">
        <v>1000.0</v>
      </c>
      <c r="S14" s="27">
        <v>800.0</v>
      </c>
      <c r="T14" s="27">
        <v>860.0</v>
      </c>
      <c r="U14" s="27">
        <v>450.0</v>
      </c>
      <c r="V14" s="24"/>
      <c r="W14" s="24">
        <f t="shared" si="1"/>
        <v>2</v>
      </c>
      <c r="X14" s="24">
        <f>IFERROR(__xludf.DUMMYFUNCTION("IFERROR(VALUE(REGEXEXTRACT(A14,""\b(\d+)/\d+\b"")),"""")"),1.0)</f>
        <v>1</v>
      </c>
      <c r="Y14" s="24">
        <f>IFERROR(__xludf.DUMMYFUNCTION("IFERROR(VALUE(REGEXEXTRACT(A14,""\b\d+/(\d+)\b"")),"""")
"),1.0)</f>
        <v>1</v>
      </c>
      <c r="Z14" s="24">
        <f t="array" ref="Z14">IFERROR(INDEX(CRV!BU:BU, MATCH(B14, CRV!A:A, 0)), "")</f>
        <v>7.5</v>
      </c>
      <c r="AA14" s="24">
        <f t="array" ref="AA14">IFERROR(INDEX(CRV!BV:BV, MATCH(B14, CRV!A:A, 0))*X14+4.5*2+7, "")</f>
        <v>30.4</v>
      </c>
      <c r="AB14" s="24" t="str">
        <f t="array" ref="AB14">IFERROR(IF(VALUE(XLOOKUP($B14,CRV!$A:$A,CRV!$BU:$BU))&lt;=5.5,"прямой пуск (DOL)","звезда-треугольник (SD)"),"")</f>
        <v>звезда-треугольник (SD)</v>
      </c>
      <c r="AC14" s="25" t="str">
        <f t="array" ref="AC14">IFERROR(INDEX(CRV!CA:CA, MATCH(B14, CRV!A:A, 0)), "")</f>
        <v>HQQE</v>
      </c>
      <c r="AD14" s="26">
        <f t="array" ref="AD14">IFERROR(AD13-W14*XLOOKUP($B13,CRV!$A:$A,CRV!$BY:$BY)+W14*XLOOKUP($B14,CRV!$A:$A,CRV!$BY:$BY),"ошибка")</f>
        <v>383</v>
      </c>
      <c r="AE14" s="26" t="s">
        <v>76</v>
      </c>
    </row>
    <row r="15" ht="12.0" customHeight="1">
      <c r="A15" s="28"/>
      <c r="B15" s="24"/>
      <c r="C15" s="28"/>
      <c r="D15" s="24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4"/>
      <c r="W15" s="24"/>
      <c r="X15" s="24"/>
      <c r="Y15" s="24"/>
      <c r="Z15" s="24"/>
      <c r="AA15" s="24"/>
      <c r="AB15" s="24"/>
      <c r="AC15" s="25"/>
      <c r="AD15" s="29"/>
      <c r="AE15" s="28"/>
    </row>
    <row r="16" ht="12.0" customHeight="1">
      <c r="A16" s="28"/>
      <c r="B16" s="24"/>
      <c r="C16" s="28"/>
      <c r="D16" s="24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4"/>
      <c r="W16" s="24"/>
      <c r="X16" s="24"/>
      <c r="Y16" s="24"/>
      <c r="Z16" s="24"/>
      <c r="AA16" s="24"/>
      <c r="AB16" s="24"/>
      <c r="AC16" s="25"/>
      <c r="AD16" s="29"/>
      <c r="AE16" s="28"/>
    </row>
    <row r="17" ht="12.0" customHeight="1">
      <c r="A17" s="28"/>
      <c r="B17" s="24"/>
      <c r="C17" s="28"/>
      <c r="D17" s="24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9"/>
      <c r="R17" s="28"/>
      <c r="S17" s="28"/>
      <c r="T17" s="28"/>
      <c r="U17" s="28"/>
      <c r="V17" s="24"/>
      <c r="W17" s="24"/>
      <c r="X17" s="24"/>
      <c r="Y17" s="24"/>
      <c r="Z17" s="24"/>
      <c r="AA17" s="24"/>
      <c r="AB17" s="24"/>
      <c r="AC17" s="25"/>
      <c r="AD17" s="29"/>
      <c r="AE17" s="28"/>
    </row>
    <row r="18" ht="12.0" customHeight="1">
      <c r="A18" s="28"/>
      <c r="B18" s="24"/>
      <c r="C18" s="28"/>
      <c r="D18" s="24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9"/>
      <c r="R18" s="28"/>
      <c r="S18" s="28"/>
      <c r="T18" s="28"/>
      <c r="U18" s="28"/>
      <c r="V18" s="24"/>
      <c r="W18" s="24"/>
      <c r="X18" s="24"/>
      <c r="Y18" s="24"/>
      <c r="Z18" s="24"/>
      <c r="AA18" s="24"/>
      <c r="AB18" s="24"/>
      <c r="AC18" s="25"/>
      <c r="AD18" s="29"/>
      <c r="AE18" s="28"/>
    </row>
    <row r="19" ht="12.0" customHeight="1">
      <c r="A19" s="28"/>
      <c r="B19" s="24"/>
      <c r="C19" s="28"/>
      <c r="D19" s="24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9"/>
      <c r="R19" s="28"/>
      <c r="S19" s="28"/>
      <c r="T19" s="28"/>
      <c r="U19" s="28"/>
      <c r="V19" s="24"/>
      <c r="W19" s="24"/>
      <c r="X19" s="24"/>
      <c r="Y19" s="24"/>
      <c r="Z19" s="24"/>
      <c r="AA19" s="24"/>
      <c r="AB19" s="24"/>
      <c r="AC19" s="25"/>
      <c r="AD19" s="29"/>
      <c r="AE19" s="28"/>
    </row>
    <row r="20" ht="12.0" customHeight="1">
      <c r="A20" s="28"/>
      <c r="B20" s="24"/>
      <c r="C20" s="28"/>
      <c r="D20" s="24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9"/>
      <c r="R20" s="28"/>
      <c r="S20" s="28"/>
      <c r="T20" s="28"/>
      <c r="U20" s="28"/>
      <c r="V20" s="24"/>
      <c r="W20" s="24"/>
      <c r="X20" s="24"/>
      <c r="Y20" s="24"/>
      <c r="Z20" s="24"/>
      <c r="AA20" s="24"/>
      <c r="AB20" s="24"/>
      <c r="AC20" s="25"/>
      <c r="AD20" s="29"/>
      <c r="AE20" s="28"/>
    </row>
    <row r="21" ht="12.0" customHeight="1">
      <c r="A21" s="28"/>
      <c r="B21" s="24"/>
      <c r="C21" s="28"/>
      <c r="D21" s="24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9"/>
      <c r="R21" s="28"/>
      <c r="S21" s="28"/>
      <c r="T21" s="28"/>
      <c r="U21" s="28"/>
      <c r="V21" s="24"/>
      <c r="W21" s="24"/>
      <c r="X21" s="24"/>
      <c r="Y21" s="24"/>
      <c r="Z21" s="24"/>
      <c r="AA21" s="24"/>
      <c r="AB21" s="24"/>
      <c r="AC21" s="25"/>
      <c r="AD21" s="29"/>
      <c r="AE21" s="28"/>
    </row>
    <row r="22" ht="12.0" customHeight="1">
      <c r="A22" s="28"/>
      <c r="B22" s="24"/>
      <c r="C22" s="28"/>
      <c r="D22" s="24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9"/>
      <c r="R22" s="28"/>
      <c r="S22" s="28"/>
      <c r="T22" s="28"/>
      <c r="U22" s="28"/>
      <c r="V22" s="24"/>
      <c r="W22" s="24"/>
      <c r="X22" s="24"/>
      <c r="Y22" s="24"/>
      <c r="Z22" s="24"/>
      <c r="AA22" s="24"/>
      <c r="AB22" s="24"/>
      <c r="AC22" s="25"/>
      <c r="AD22" s="29"/>
      <c r="AE22" s="28"/>
    </row>
    <row r="23" ht="12.0" customHeight="1">
      <c r="A23" s="28"/>
      <c r="B23" s="24"/>
      <c r="C23" s="28"/>
      <c r="D23" s="24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9"/>
      <c r="R23" s="28"/>
      <c r="S23" s="28"/>
      <c r="T23" s="28"/>
      <c r="U23" s="28"/>
      <c r="V23" s="24"/>
      <c r="W23" s="24"/>
      <c r="X23" s="24"/>
      <c r="Y23" s="24"/>
      <c r="Z23" s="24"/>
      <c r="AA23" s="24"/>
      <c r="AB23" s="24"/>
      <c r="AC23" s="25"/>
      <c r="AD23" s="29"/>
      <c r="AE23" s="28"/>
    </row>
    <row r="24" ht="12.0" customHeight="1">
      <c r="A24" s="28"/>
      <c r="B24" s="24"/>
      <c r="C24" s="28"/>
      <c r="D24" s="24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9"/>
      <c r="R24" s="28"/>
      <c r="S24" s="28"/>
      <c r="T24" s="28"/>
      <c r="U24" s="28"/>
      <c r="V24" s="24"/>
      <c r="W24" s="24"/>
      <c r="X24" s="24"/>
      <c r="Y24" s="24"/>
      <c r="Z24" s="24"/>
      <c r="AA24" s="24"/>
      <c r="AB24" s="24"/>
      <c r="AC24" s="25"/>
      <c r="AD24" s="29"/>
      <c r="AE24" s="28"/>
    </row>
    <row r="25" ht="12.0" customHeight="1">
      <c r="A25" s="28"/>
      <c r="B25" s="24"/>
      <c r="C25" s="28"/>
      <c r="D25" s="24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9"/>
      <c r="R25" s="28"/>
      <c r="S25" s="28"/>
      <c r="T25" s="28"/>
      <c r="U25" s="28"/>
      <c r="V25" s="24"/>
      <c r="W25" s="24"/>
      <c r="X25" s="24"/>
      <c r="Y25" s="24"/>
      <c r="Z25" s="24"/>
      <c r="AA25" s="24"/>
      <c r="AB25" s="24"/>
      <c r="AC25" s="25"/>
      <c r="AD25" s="29"/>
      <c r="AE25" s="28"/>
    </row>
    <row r="26" ht="12.0" customHeight="1">
      <c r="A26" s="29"/>
      <c r="B26" s="24"/>
      <c r="C26" s="28"/>
      <c r="D26" s="24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9"/>
      <c r="R26" s="28"/>
      <c r="S26" s="28"/>
      <c r="T26" s="28"/>
      <c r="U26" s="28"/>
      <c r="V26" s="24"/>
      <c r="W26" s="24"/>
      <c r="X26" s="24"/>
      <c r="Y26" s="24"/>
      <c r="Z26" s="24"/>
      <c r="AA26" s="24"/>
      <c r="AB26" s="24"/>
      <c r="AC26" s="25"/>
      <c r="AD26" s="25"/>
      <c r="AE26" s="25"/>
    </row>
    <row r="27" ht="12.0" customHeight="1">
      <c r="A27" s="29"/>
      <c r="B27" s="24"/>
      <c r="C27" s="28"/>
      <c r="D27" s="24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9"/>
      <c r="R27" s="28"/>
      <c r="S27" s="28"/>
      <c r="T27" s="28"/>
      <c r="U27" s="28"/>
      <c r="V27" s="24"/>
      <c r="W27" s="24"/>
      <c r="X27" s="24"/>
      <c r="Y27" s="24"/>
      <c r="Z27" s="24"/>
      <c r="AA27" s="24"/>
      <c r="AB27" s="24"/>
      <c r="AC27" s="25"/>
      <c r="AD27" s="25"/>
      <c r="AE27" s="25"/>
    </row>
    <row r="28" ht="12.0" customHeight="1">
      <c r="A28" s="29"/>
      <c r="B28" s="24"/>
      <c r="C28" s="28"/>
      <c r="D28" s="24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9"/>
      <c r="R28" s="28"/>
      <c r="S28" s="28"/>
      <c r="T28" s="28"/>
      <c r="U28" s="28"/>
      <c r="V28" s="24"/>
      <c r="W28" s="24"/>
      <c r="X28" s="24"/>
      <c r="Y28" s="24"/>
      <c r="Z28" s="24"/>
      <c r="AA28" s="24"/>
      <c r="AB28" s="24"/>
      <c r="AC28" s="25"/>
      <c r="AD28" s="25"/>
      <c r="AE28" s="25"/>
    </row>
    <row r="29" ht="12.0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5"/>
      <c r="AD29" s="25"/>
      <c r="AE29" s="24"/>
    </row>
    <row r="30" ht="12.0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5"/>
      <c r="AD30" s="25"/>
      <c r="AE30" s="24"/>
    </row>
    <row r="31" ht="12.0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5"/>
      <c r="AD31" s="25"/>
      <c r="AE31" s="24"/>
    </row>
    <row r="32" ht="12.0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5"/>
      <c r="AD32" s="25"/>
      <c r="AE32" s="24"/>
    </row>
    <row r="33" ht="12.0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5"/>
      <c r="AD33" s="25"/>
      <c r="AE33" s="24"/>
    </row>
    <row r="34" ht="12.0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5"/>
      <c r="AD34" s="25"/>
      <c r="AE34" s="24"/>
    </row>
    <row r="35" ht="12.0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5"/>
      <c r="AD35" s="25"/>
      <c r="AE35" s="24"/>
    </row>
    <row r="36" ht="12.0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5"/>
      <c r="AD36" s="25"/>
      <c r="AE36" s="24"/>
    </row>
    <row r="37" ht="12.0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5"/>
      <c r="AD37" s="25"/>
      <c r="AE37" s="24"/>
    </row>
    <row r="38" ht="12.0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5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5"/>
      <c r="AD38" s="25"/>
      <c r="AE38" s="24"/>
    </row>
    <row r="39" ht="12.0" customHeight="1">
      <c r="A39" s="25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5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5"/>
      <c r="AD39" s="25"/>
      <c r="AE39" s="25"/>
    </row>
    <row r="40" ht="12.0" customHeight="1">
      <c r="A40" s="25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5"/>
      <c r="AD40" s="25"/>
      <c r="AE40" s="25"/>
    </row>
    <row r="41" ht="12.0" customHeight="1">
      <c r="A41" s="25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5"/>
      <c r="AD41" s="25"/>
      <c r="AE41" s="25"/>
    </row>
    <row r="42" ht="12.0" customHeight="1">
      <c r="A42" s="28"/>
      <c r="B42" s="24"/>
      <c r="C42" s="28"/>
      <c r="D42" s="24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4"/>
      <c r="W42" s="24"/>
      <c r="X42" s="24"/>
      <c r="Y42" s="24"/>
      <c r="Z42" s="24"/>
      <c r="AA42" s="24"/>
      <c r="AB42" s="24"/>
      <c r="AC42" s="25"/>
      <c r="AD42" s="29"/>
      <c r="AE42" s="28"/>
    </row>
    <row r="43" ht="12.0" customHeight="1">
      <c r="A43" s="28"/>
      <c r="B43" s="24"/>
      <c r="C43" s="28"/>
      <c r="D43" s="24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9"/>
      <c r="R43" s="28"/>
      <c r="S43" s="28"/>
      <c r="T43" s="28"/>
      <c r="U43" s="28"/>
      <c r="V43" s="24"/>
      <c r="W43" s="24"/>
      <c r="X43" s="24"/>
      <c r="Y43" s="24"/>
      <c r="Z43" s="24"/>
      <c r="AA43" s="24"/>
      <c r="AB43" s="24"/>
      <c r="AC43" s="25"/>
      <c r="AD43" s="29"/>
      <c r="AE43" s="28"/>
    </row>
    <row r="44" ht="12.0" customHeight="1">
      <c r="A44" s="28"/>
      <c r="B44" s="24"/>
      <c r="C44" s="28"/>
      <c r="D44" s="24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9"/>
      <c r="R44" s="28"/>
      <c r="S44" s="28"/>
      <c r="T44" s="28"/>
      <c r="U44" s="28"/>
      <c r="V44" s="24"/>
      <c r="W44" s="24"/>
      <c r="X44" s="24"/>
      <c r="Y44" s="24"/>
      <c r="Z44" s="24"/>
      <c r="AA44" s="24"/>
      <c r="AB44" s="24"/>
      <c r="AC44" s="25"/>
      <c r="AD44" s="29"/>
      <c r="AE44" s="28"/>
    </row>
    <row r="45" ht="12.0" customHeight="1">
      <c r="A45" s="28"/>
      <c r="B45" s="24"/>
      <c r="C45" s="28"/>
      <c r="D45" s="24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9"/>
      <c r="R45" s="28"/>
      <c r="S45" s="28"/>
      <c r="T45" s="28"/>
      <c r="U45" s="28"/>
      <c r="V45" s="24"/>
      <c r="W45" s="24"/>
      <c r="X45" s="24"/>
      <c r="Y45" s="24"/>
      <c r="Z45" s="24"/>
      <c r="AA45" s="24"/>
      <c r="AB45" s="24"/>
      <c r="AC45" s="25"/>
      <c r="AD45" s="29"/>
      <c r="AE45" s="28"/>
    </row>
    <row r="46" ht="12.0" customHeight="1">
      <c r="A46" s="28"/>
      <c r="B46" s="24"/>
      <c r="C46" s="28"/>
      <c r="D46" s="24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9"/>
      <c r="R46" s="28"/>
      <c r="S46" s="28"/>
      <c r="T46" s="28"/>
      <c r="U46" s="28"/>
      <c r="V46" s="24"/>
      <c r="W46" s="24"/>
      <c r="X46" s="24"/>
      <c r="Y46" s="24"/>
      <c r="Z46" s="24"/>
      <c r="AA46" s="24"/>
      <c r="AB46" s="24"/>
      <c r="AC46" s="25"/>
      <c r="AD46" s="29"/>
      <c r="AE46" s="28"/>
    </row>
    <row r="47" ht="12.0" customHeight="1">
      <c r="A47" s="28"/>
      <c r="B47" s="24"/>
      <c r="C47" s="28"/>
      <c r="D47" s="24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9"/>
      <c r="R47" s="28"/>
      <c r="S47" s="28"/>
      <c r="T47" s="28"/>
      <c r="U47" s="28"/>
      <c r="V47" s="24"/>
      <c r="W47" s="24"/>
      <c r="X47" s="24"/>
      <c r="Y47" s="24"/>
      <c r="Z47" s="24"/>
      <c r="AA47" s="24"/>
      <c r="AB47" s="24"/>
      <c r="AC47" s="25"/>
      <c r="AD47" s="29"/>
      <c r="AE47" s="28"/>
    </row>
    <row r="48" ht="12.0" customHeight="1">
      <c r="A48" s="28"/>
      <c r="B48" s="24"/>
      <c r="C48" s="28"/>
      <c r="D48" s="24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9"/>
      <c r="R48" s="28"/>
      <c r="S48" s="28"/>
      <c r="T48" s="28"/>
      <c r="U48" s="28"/>
      <c r="V48" s="24"/>
      <c r="W48" s="24"/>
      <c r="X48" s="24"/>
      <c r="Y48" s="24"/>
      <c r="Z48" s="24"/>
      <c r="AA48" s="24"/>
      <c r="AB48" s="24"/>
      <c r="AC48" s="25"/>
      <c r="AD48" s="29"/>
      <c r="AE48" s="28"/>
    </row>
    <row r="49" ht="12.0" customHeight="1">
      <c r="A49" s="28"/>
      <c r="B49" s="24"/>
      <c r="C49" s="28"/>
      <c r="D49" s="24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9"/>
      <c r="R49" s="28"/>
      <c r="S49" s="28"/>
      <c r="T49" s="28"/>
      <c r="U49" s="28"/>
      <c r="V49" s="24"/>
      <c r="W49" s="24"/>
      <c r="X49" s="24"/>
      <c r="Y49" s="24"/>
      <c r="Z49" s="24"/>
      <c r="AA49" s="24"/>
      <c r="AB49" s="24"/>
      <c r="AC49" s="25"/>
      <c r="AD49" s="29"/>
      <c r="AE49" s="28"/>
    </row>
    <row r="50" ht="12.0" customHeight="1">
      <c r="A50" s="28"/>
      <c r="B50" s="24"/>
      <c r="C50" s="28"/>
      <c r="D50" s="24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9"/>
      <c r="R50" s="28"/>
      <c r="S50" s="28"/>
      <c r="T50" s="28"/>
      <c r="U50" s="28"/>
      <c r="V50" s="24"/>
      <c r="W50" s="24"/>
      <c r="X50" s="24"/>
      <c r="Y50" s="24"/>
      <c r="Z50" s="24"/>
      <c r="AA50" s="24"/>
      <c r="AB50" s="24"/>
      <c r="AC50" s="25"/>
      <c r="AD50" s="29"/>
      <c r="AE50" s="28"/>
    </row>
    <row r="51" ht="12.0" customHeight="1">
      <c r="A51" s="28"/>
      <c r="B51" s="24"/>
      <c r="C51" s="28"/>
      <c r="D51" s="24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9"/>
      <c r="R51" s="28"/>
      <c r="S51" s="28"/>
      <c r="T51" s="28"/>
      <c r="U51" s="28"/>
      <c r="V51" s="24"/>
      <c r="W51" s="24"/>
      <c r="X51" s="24"/>
      <c r="Y51" s="24"/>
      <c r="Z51" s="24"/>
      <c r="AA51" s="24"/>
      <c r="AB51" s="24"/>
      <c r="AC51" s="25"/>
      <c r="AD51" s="29"/>
      <c r="AE51" s="28"/>
    </row>
    <row r="52" ht="12.0" customHeight="1">
      <c r="A52" s="30"/>
      <c r="B52" s="24"/>
      <c r="C52" s="28"/>
      <c r="D52" s="24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9"/>
      <c r="R52" s="28"/>
      <c r="S52" s="28"/>
      <c r="T52" s="28"/>
      <c r="U52" s="28"/>
      <c r="V52" s="24"/>
      <c r="W52" s="24"/>
      <c r="X52" s="24"/>
      <c r="Y52" s="24"/>
      <c r="Z52" s="24"/>
      <c r="AA52" s="24"/>
      <c r="AB52" s="24"/>
      <c r="AC52" s="25"/>
      <c r="AD52" s="25"/>
      <c r="AE52" s="25"/>
    </row>
    <row r="53" ht="12.0" customHeight="1">
      <c r="A53" s="30"/>
      <c r="B53" s="24"/>
      <c r="C53" s="28"/>
      <c r="D53" s="24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9"/>
      <c r="R53" s="28"/>
      <c r="S53" s="28"/>
      <c r="T53" s="28"/>
      <c r="U53" s="28"/>
      <c r="V53" s="24"/>
      <c r="W53" s="24"/>
      <c r="X53" s="24"/>
      <c r="Y53" s="24"/>
      <c r="Z53" s="24"/>
      <c r="AA53" s="24"/>
      <c r="AB53" s="24"/>
      <c r="AC53" s="25"/>
      <c r="AD53" s="25"/>
      <c r="AE53" s="25"/>
    </row>
    <row r="54" ht="12.0" customHeight="1">
      <c r="A54" s="30"/>
      <c r="B54" s="24"/>
      <c r="C54" s="28"/>
      <c r="D54" s="24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9"/>
      <c r="R54" s="28"/>
      <c r="S54" s="28"/>
      <c r="T54" s="28"/>
      <c r="U54" s="28"/>
      <c r="V54" s="24"/>
      <c r="W54" s="24"/>
      <c r="X54" s="24"/>
      <c r="Y54" s="24"/>
      <c r="Z54" s="24"/>
      <c r="AA54" s="24"/>
      <c r="AB54" s="24"/>
      <c r="AC54" s="25"/>
      <c r="AD54" s="25"/>
      <c r="AE54" s="25"/>
    </row>
    <row r="55" ht="12.0" customHeight="1">
      <c r="A55" s="30"/>
      <c r="B55" s="24"/>
      <c r="C55" s="28"/>
      <c r="D55" s="24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9"/>
      <c r="R55" s="28"/>
      <c r="S55" s="28"/>
      <c r="T55" s="28"/>
      <c r="U55" s="28"/>
      <c r="V55" s="24"/>
      <c r="W55" s="24"/>
      <c r="X55" s="24"/>
      <c r="Y55" s="24"/>
      <c r="Z55" s="24"/>
      <c r="AA55" s="24"/>
      <c r="AB55" s="24"/>
      <c r="AC55" s="25"/>
      <c r="AD55" s="25"/>
      <c r="AE55" s="25"/>
    </row>
    <row r="56" ht="12.0" customHeight="1">
      <c r="A56" s="30"/>
      <c r="B56" s="24"/>
      <c r="C56" s="28"/>
      <c r="D56" s="24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9"/>
      <c r="R56" s="28"/>
      <c r="S56" s="28"/>
      <c r="T56" s="28"/>
      <c r="U56" s="28"/>
      <c r="V56" s="24"/>
      <c r="W56" s="24"/>
      <c r="X56" s="24"/>
      <c r="Y56" s="24"/>
      <c r="Z56" s="24"/>
      <c r="AA56" s="24"/>
      <c r="AB56" s="24"/>
      <c r="AC56" s="25"/>
      <c r="AD56" s="25"/>
      <c r="AE56" s="25"/>
    </row>
    <row r="57" ht="12.0" customHeight="1">
      <c r="A57" s="30"/>
      <c r="B57" s="24"/>
      <c r="C57" s="28"/>
      <c r="D57" s="24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9"/>
      <c r="R57" s="28"/>
      <c r="S57" s="28"/>
      <c r="T57" s="28"/>
      <c r="U57" s="28"/>
      <c r="V57" s="24"/>
      <c r="W57" s="24"/>
      <c r="X57" s="24"/>
      <c r="Y57" s="24"/>
      <c r="Z57" s="24"/>
      <c r="AA57" s="24"/>
      <c r="AB57" s="24"/>
      <c r="AC57" s="25"/>
      <c r="AD57" s="25"/>
      <c r="AE57" s="25"/>
    </row>
    <row r="58" ht="12.0" customHeight="1">
      <c r="A58" s="30"/>
      <c r="B58" s="24"/>
      <c r="C58" s="28"/>
      <c r="D58" s="24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9"/>
      <c r="R58" s="28"/>
      <c r="S58" s="28"/>
      <c r="T58" s="28"/>
      <c r="U58" s="28"/>
      <c r="V58" s="24"/>
      <c r="W58" s="24"/>
      <c r="X58" s="24"/>
      <c r="Y58" s="24"/>
      <c r="Z58" s="24"/>
      <c r="AA58" s="24"/>
      <c r="AB58" s="24"/>
      <c r="AC58" s="25"/>
      <c r="AD58" s="25"/>
      <c r="AE58" s="25"/>
    </row>
    <row r="59" ht="12.0" customHeight="1">
      <c r="A59" s="30"/>
      <c r="B59" s="24"/>
      <c r="C59" s="28"/>
      <c r="D59" s="24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9"/>
      <c r="R59" s="28"/>
      <c r="S59" s="28"/>
      <c r="T59" s="28"/>
      <c r="U59" s="28"/>
      <c r="V59" s="24"/>
      <c r="W59" s="24"/>
      <c r="X59" s="24"/>
      <c r="Y59" s="24"/>
      <c r="Z59" s="24"/>
      <c r="AA59" s="24"/>
      <c r="AB59" s="24"/>
      <c r="AC59" s="25"/>
      <c r="AD59" s="25"/>
      <c r="AE59" s="25"/>
    </row>
    <row r="60" ht="12.0" customHeight="1">
      <c r="A60" s="30"/>
      <c r="B60" s="24"/>
      <c r="C60" s="28"/>
      <c r="D60" s="24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9"/>
      <c r="R60" s="28"/>
      <c r="S60" s="28"/>
      <c r="T60" s="28"/>
      <c r="U60" s="28"/>
      <c r="V60" s="24"/>
      <c r="W60" s="24"/>
      <c r="X60" s="24"/>
      <c r="Y60" s="24"/>
      <c r="Z60" s="24"/>
      <c r="AA60" s="24"/>
      <c r="AB60" s="24"/>
      <c r="AC60" s="25"/>
      <c r="AD60" s="25"/>
      <c r="AE60" s="25"/>
    </row>
    <row r="61" ht="12.0" customHeight="1">
      <c r="A61" s="30"/>
      <c r="B61" s="24"/>
      <c r="C61" s="28"/>
      <c r="D61" s="24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9"/>
      <c r="R61" s="28"/>
      <c r="S61" s="28"/>
      <c r="T61" s="28"/>
      <c r="U61" s="28"/>
      <c r="V61" s="24"/>
      <c r="W61" s="24"/>
      <c r="X61" s="24"/>
      <c r="Y61" s="24"/>
      <c r="Z61" s="24"/>
      <c r="AA61" s="24"/>
      <c r="AB61" s="24"/>
      <c r="AC61" s="25"/>
      <c r="AD61" s="25"/>
      <c r="AE61" s="25"/>
    </row>
    <row r="62" ht="12.0" customHeight="1">
      <c r="A62" s="30"/>
      <c r="B62" s="24"/>
      <c r="C62" s="28"/>
      <c r="D62" s="24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9"/>
      <c r="R62" s="28"/>
      <c r="S62" s="28"/>
      <c r="T62" s="28"/>
      <c r="U62" s="28"/>
      <c r="V62" s="24"/>
      <c r="W62" s="24"/>
      <c r="X62" s="24"/>
      <c r="Y62" s="24"/>
      <c r="Z62" s="24"/>
      <c r="AA62" s="24"/>
      <c r="AB62" s="24"/>
      <c r="AC62" s="25"/>
      <c r="AD62" s="25"/>
      <c r="AE62" s="25"/>
    </row>
    <row r="63" ht="12.0" customHeight="1">
      <c r="A63" s="30"/>
      <c r="B63" s="24"/>
      <c r="C63" s="28"/>
      <c r="D63" s="24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9"/>
      <c r="R63" s="28"/>
      <c r="S63" s="28"/>
      <c r="T63" s="28"/>
      <c r="U63" s="28"/>
      <c r="V63" s="24"/>
      <c r="W63" s="24"/>
      <c r="X63" s="24"/>
      <c r="Y63" s="24"/>
      <c r="Z63" s="24"/>
      <c r="AA63" s="24"/>
      <c r="AB63" s="24"/>
      <c r="AC63" s="25"/>
      <c r="AD63" s="25"/>
      <c r="AE63" s="25"/>
    </row>
    <row r="64" ht="12.0" customHeight="1">
      <c r="A64" s="30"/>
      <c r="B64" s="24"/>
      <c r="C64" s="28"/>
      <c r="D64" s="24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9"/>
      <c r="R64" s="28"/>
      <c r="S64" s="28"/>
      <c r="T64" s="28"/>
      <c r="U64" s="28"/>
      <c r="V64" s="24"/>
      <c r="W64" s="24"/>
      <c r="X64" s="24"/>
      <c r="Y64" s="24"/>
      <c r="Z64" s="24"/>
      <c r="AA64" s="24"/>
      <c r="AB64" s="24"/>
      <c r="AC64" s="25"/>
      <c r="AD64" s="25"/>
      <c r="AE64" s="25"/>
    </row>
    <row r="65" ht="12.0" customHeight="1">
      <c r="A65" s="30"/>
      <c r="B65" s="24"/>
      <c r="C65" s="28"/>
      <c r="D65" s="24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9"/>
      <c r="R65" s="28"/>
      <c r="S65" s="28"/>
      <c r="T65" s="28"/>
      <c r="U65" s="28"/>
      <c r="V65" s="24"/>
      <c r="W65" s="24"/>
      <c r="X65" s="24"/>
      <c r="Y65" s="24"/>
      <c r="Z65" s="24"/>
      <c r="AA65" s="24"/>
      <c r="AB65" s="24"/>
      <c r="AC65" s="25"/>
      <c r="AD65" s="25"/>
      <c r="AE65" s="25"/>
    </row>
    <row r="66" ht="12.0" customHeight="1">
      <c r="A66" s="31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4"/>
      <c r="X66" s="24"/>
      <c r="Y66" s="27"/>
      <c r="Z66" s="24"/>
      <c r="AA66" s="24"/>
      <c r="AB66" s="27"/>
      <c r="AC66" s="25"/>
      <c r="AD66" s="26"/>
      <c r="AE66" s="27"/>
    </row>
    <row r="67" ht="12.0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5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5"/>
      <c r="AD67" s="25"/>
      <c r="AE67" s="24"/>
    </row>
    <row r="68" ht="12.0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5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5"/>
      <c r="AD68" s="25"/>
      <c r="AE68" s="24"/>
    </row>
    <row r="69" ht="12.0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5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5"/>
      <c r="AD69" s="25"/>
      <c r="AE69" s="24"/>
    </row>
    <row r="70" ht="12.0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5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5"/>
      <c r="AD70" s="25"/>
      <c r="AE70" s="24"/>
    </row>
    <row r="71" ht="12.0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5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5"/>
      <c r="AD71" s="25"/>
      <c r="AE71" s="24"/>
    </row>
    <row r="72" ht="12.0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5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5"/>
      <c r="AD72" s="25"/>
      <c r="AE72" s="24"/>
    </row>
    <row r="73" ht="12.0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5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5"/>
      <c r="AD73" s="25"/>
      <c r="AE73" s="24"/>
    </row>
    <row r="74" ht="12.0" customHeight="1">
      <c r="A74" s="30"/>
      <c r="B74" s="24"/>
      <c r="C74" s="24"/>
      <c r="D74" s="28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5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5"/>
      <c r="AD74" s="25"/>
      <c r="AE74" s="25"/>
    </row>
    <row r="75" ht="12.0" customHeight="1">
      <c r="A75" s="32"/>
      <c r="B75" s="24"/>
      <c r="C75" s="24"/>
      <c r="D75" s="28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5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5"/>
      <c r="AD75" s="25"/>
      <c r="AE75" s="25"/>
    </row>
    <row r="76" ht="12.0" customHeight="1">
      <c r="A76" s="30"/>
      <c r="B76" s="24"/>
      <c r="C76" s="24"/>
      <c r="D76" s="28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5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5"/>
      <c r="AD76" s="25"/>
      <c r="AE76" s="25"/>
    </row>
    <row r="77" ht="12.0" customHeight="1">
      <c r="A77" s="30"/>
      <c r="B77" s="24"/>
      <c r="C77" s="24"/>
      <c r="D77" s="28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5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5"/>
      <c r="AD77" s="25"/>
      <c r="AE77" s="25"/>
    </row>
    <row r="78" ht="12.0" customHeight="1">
      <c r="A78" s="30"/>
      <c r="B78" s="24"/>
      <c r="C78" s="24"/>
      <c r="D78" s="28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5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5"/>
      <c r="AD78" s="25"/>
      <c r="AE78" s="25"/>
    </row>
    <row r="79" ht="12.0" customHeight="1">
      <c r="A79" s="30"/>
      <c r="B79" s="24"/>
      <c r="C79" s="24"/>
      <c r="D79" s="28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5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5"/>
      <c r="AD79" s="25"/>
      <c r="AE79" s="25"/>
    </row>
    <row r="80" ht="12.0" customHeight="1">
      <c r="A80" s="30"/>
      <c r="B80" s="24"/>
      <c r="C80" s="24"/>
      <c r="D80" s="28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5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5"/>
      <c r="AD80" s="25"/>
      <c r="AE80" s="25"/>
    </row>
    <row r="81" ht="12.0" customHeight="1">
      <c r="A81" s="30"/>
      <c r="B81" s="24"/>
      <c r="C81" s="24"/>
      <c r="D81" s="28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5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5"/>
      <c r="AD81" s="25"/>
      <c r="AE81" s="25"/>
    </row>
    <row r="82" ht="12.0" customHeight="1">
      <c r="A82" s="30"/>
      <c r="B82" s="24"/>
      <c r="C82" s="24"/>
      <c r="D82" s="28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5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5"/>
      <c r="AD82" s="25"/>
      <c r="AE82" s="25"/>
    </row>
    <row r="83" ht="12.0" customHeight="1">
      <c r="A83" s="30"/>
      <c r="B83" s="24"/>
      <c r="C83" s="24"/>
      <c r="D83" s="28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5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5"/>
      <c r="AD83" s="25"/>
      <c r="AE83" s="25"/>
    </row>
    <row r="84" ht="12.0" customHeight="1">
      <c r="A84" s="30"/>
      <c r="B84" s="24"/>
      <c r="C84" s="24"/>
      <c r="D84" s="28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5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5"/>
      <c r="AD84" s="25"/>
      <c r="AE84" s="25"/>
    </row>
    <row r="85" ht="12.0" customHeight="1">
      <c r="A85" s="30"/>
      <c r="B85" s="24"/>
      <c r="C85" s="24"/>
      <c r="D85" s="28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5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5"/>
      <c r="AD85" s="25"/>
      <c r="AE85" s="25"/>
    </row>
    <row r="86" ht="12.0" customHeight="1">
      <c r="A86" s="30"/>
      <c r="B86" s="24"/>
      <c r="C86" s="24"/>
      <c r="D86" s="28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5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5"/>
      <c r="AD86" s="25"/>
      <c r="AE86" s="25"/>
    </row>
    <row r="87" ht="12.0" customHeight="1">
      <c r="A87" s="30"/>
      <c r="B87" s="24"/>
      <c r="C87" s="24"/>
      <c r="D87" s="28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5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5"/>
      <c r="AD87" s="25"/>
      <c r="AE87" s="25"/>
    </row>
    <row r="88" ht="12.0" customHeight="1">
      <c r="A88" s="30"/>
      <c r="B88" s="24"/>
      <c r="C88" s="24"/>
      <c r="D88" s="28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5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5"/>
      <c r="AD88" s="25"/>
      <c r="AE88" s="25"/>
    </row>
    <row r="89" ht="12.0" customHeight="1">
      <c r="A89" s="28"/>
      <c r="B89" s="24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4"/>
      <c r="W89" s="24"/>
      <c r="X89" s="24"/>
      <c r="Y89" s="24"/>
      <c r="Z89" s="24"/>
      <c r="AA89" s="24"/>
      <c r="AB89" s="24"/>
      <c r="AC89" s="25"/>
      <c r="AD89" s="29"/>
      <c r="AE89" s="28"/>
    </row>
    <row r="90" ht="12.0" customHeight="1">
      <c r="A90" s="28"/>
      <c r="B90" s="24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9"/>
      <c r="R90" s="28"/>
      <c r="S90" s="28"/>
      <c r="T90" s="28"/>
      <c r="U90" s="28"/>
      <c r="V90" s="24"/>
      <c r="W90" s="24"/>
      <c r="X90" s="24"/>
      <c r="Y90" s="24"/>
      <c r="Z90" s="24"/>
      <c r="AA90" s="24"/>
      <c r="AB90" s="24"/>
      <c r="AC90" s="25"/>
      <c r="AD90" s="29"/>
      <c r="AE90" s="28"/>
    </row>
    <row r="91" ht="12.0" customHeight="1">
      <c r="A91" s="28"/>
      <c r="B91" s="24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9"/>
      <c r="R91" s="28"/>
      <c r="S91" s="28"/>
      <c r="T91" s="28"/>
      <c r="U91" s="28"/>
      <c r="V91" s="24"/>
      <c r="W91" s="24"/>
      <c r="X91" s="24"/>
      <c r="Y91" s="24"/>
      <c r="Z91" s="24"/>
      <c r="AA91" s="24"/>
      <c r="AB91" s="24"/>
      <c r="AC91" s="25"/>
      <c r="AD91" s="29"/>
      <c r="AE91" s="28"/>
    </row>
    <row r="92" ht="12.0" customHeight="1">
      <c r="A92" s="28"/>
      <c r="B92" s="24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9"/>
      <c r="R92" s="28"/>
      <c r="S92" s="28"/>
      <c r="T92" s="28"/>
      <c r="U92" s="28"/>
      <c r="V92" s="24"/>
      <c r="W92" s="24"/>
      <c r="X92" s="24"/>
      <c r="Y92" s="24"/>
      <c r="Z92" s="24"/>
      <c r="AA92" s="24"/>
      <c r="AB92" s="24"/>
      <c r="AC92" s="25"/>
      <c r="AD92" s="29"/>
      <c r="AE92" s="28"/>
    </row>
    <row r="93" ht="12.0" customHeight="1">
      <c r="A93" s="28"/>
      <c r="B93" s="24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9"/>
      <c r="R93" s="28"/>
      <c r="S93" s="28"/>
      <c r="T93" s="28"/>
      <c r="U93" s="28"/>
      <c r="V93" s="24"/>
      <c r="W93" s="24"/>
      <c r="X93" s="24"/>
      <c r="Y93" s="24"/>
      <c r="Z93" s="24"/>
      <c r="AA93" s="24"/>
      <c r="AB93" s="24"/>
      <c r="AC93" s="25"/>
      <c r="AD93" s="29"/>
      <c r="AE93" s="28"/>
    </row>
    <row r="94" ht="12.0" customHeight="1">
      <c r="A94" s="28"/>
      <c r="B94" s="24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9"/>
      <c r="R94" s="28"/>
      <c r="S94" s="28"/>
      <c r="T94" s="28"/>
      <c r="U94" s="28"/>
      <c r="V94" s="24"/>
      <c r="W94" s="24"/>
      <c r="X94" s="24"/>
      <c r="Y94" s="24"/>
      <c r="Z94" s="24"/>
      <c r="AA94" s="24"/>
      <c r="AB94" s="24"/>
      <c r="AC94" s="25"/>
      <c r="AD94" s="29"/>
      <c r="AE94" s="28"/>
    </row>
    <row r="95" ht="12.0" customHeight="1">
      <c r="A95" s="30"/>
      <c r="B95" s="24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9"/>
      <c r="R95" s="28"/>
      <c r="S95" s="28"/>
      <c r="T95" s="28"/>
      <c r="U95" s="28"/>
      <c r="V95" s="24"/>
      <c r="W95" s="24"/>
      <c r="X95" s="24"/>
      <c r="Y95" s="24"/>
      <c r="Z95" s="24"/>
      <c r="AA95" s="24"/>
      <c r="AB95" s="24"/>
      <c r="AC95" s="25"/>
      <c r="AD95" s="25"/>
      <c r="AE95" s="25"/>
    </row>
    <row r="96" ht="12.0" customHeight="1">
      <c r="A96" s="30"/>
      <c r="B96" s="24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9"/>
      <c r="R96" s="28"/>
      <c r="S96" s="28"/>
      <c r="T96" s="28"/>
      <c r="U96" s="28"/>
      <c r="V96" s="24"/>
      <c r="W96" s="24"/>
      <c r="X96" s="24"/>
      <c r="Y96" s="24"/>
      <c r="Z96" s="24"/>
      <c r="AA96" s="24"/>
      <c r="AB96" s="24"/>
      <c r="AC96" s="25"/>
      <c r="AD96" s="25"/>
      <c r="AE96" s="25"/>
    </row>
    <row r="97" ht="12.0" customHeight="1">
      <c r="A97" s="30"/>
      <c r="B97" s="24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9"/>
      <c r="R97" s="28"/>
      <c r="S97" s="28"/>
      <c r="T97" s="28"/>
      <c r="U97" s="28"/>
      <c r="V97" s="24"/>
      <c r="W97" s="24"/>
      <c r="X97" s="24"/>
      <c r="Y97" s="24"/>
      <c r="Z97" s="24"/>
      <c r="AA97" s="24"/>
      <c r="AB97" s="24"/>
      <c r="AC97" s="25"/>
      <c r="AD97" s="25"/>
      <c r="AE97" s="25"/>
    </row>
    <row r="98" ht="12.0" customHeight="1">
      <c r="A98" s="30"/>
      <c r="B98" s="24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9"/>
      <c r="R98" s="28"/>
      <c r="S98" s="28"/>
      <c r="T98" s="28"/>
      <c r="U98" s="28"/>
      <c r="V98" s="24"/>
      <c r="W98" s="24"/>
      <c r="X98" s="24"/>
      <c r="Y98" s="24"/>
      <c r="Z98" s="24"/>
      <c r="AA98" s="24"/>
      <c r="AB98" s="24"/>
      <c r="AC98" s="25"/>
      <c r="AD98" s="25"/>
      <c r="AE98" s="25"/>
    </row>
    <row r="99" ht="12.0" customHeight="1">
      <c r="A99" s="30"/>
      <c r="B99" s="24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9"/>
      <c r="R99" s="28"/>
      <c r="S99" s="28"/>
      <c r="T99" s="28"/>
      <c r="U99" s="28"/>
      <c r="V99" s="24"/>
      <c r="W99" s="24"/>
      <c r="X99" s="24"/>
      <c r="Y99" s="24"/>
      <c r="Z99" s="24"/>
      <c r="AA99" s="24"/>
      <c r="AB99" s="24"/>
      <c r="AC99" s="25"/>
      <c r="AD99" s="25"/>
      <c r="AE99" s="25"/>
    </row>
    <row r="100" ht="12.0" customHeight="1">
      <c r="A100" s="30"/>
      <c r="B100" s="24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9"/>
      <c r="R100" s="28"/>
      <c r="S100" s="28"/>
      <c r="T100" s="28"/>
      <c r="U100" s="28"/>
      <c r="V100" s="24"/>
      <c r="W100" s="24"/>
      <c r="X100" s="24"/>
      <c r="Y100" s="24"/>
      <c r="Z100" s="24"/>
      <c r="AA100" s="24"/>
      <c r="AB100" s="24"/>
      <c r="AC100" s="25"/>
      <c r="AD100" s="25"/>
      <c r="AE100" s="25"/>
    </row>
    <row r="101" ht="12.0" customHeight="1">
      <c r="A101" s="30"/>
      <c r="B101" s="24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9"/>
      <c r="R101" s="28"/>
      <c r="S101" s="28"/>
      <c r="T101" s="28"/>
      <c r="U101" s="28"/>
      <c r="V101" s="24"/>
      <c r="W101" s="24"/>
      <c r="X101" s="24"/>
      <c r="Y101" s="24"/>
      <c r="Z101" s="24"/>
      <c r="AA101" s="24"/>
      <c r="AB101" s="24"/>
      <c r="AC101" s="25"/>
      <c r="AD101" s="25"/>
      <c r="AE101" s="25"/>
    </row>
    <row r="102" ht="12.0" customHeight="1">
      <c r="A102" s="30"/>
      <c r="B102" s="24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9"/>
      <c r="R102" s="28"/>
      <c r="S102" s="28"/>
      <c r="T102" s="28"/>
      <c r="U102" s="28"/>
      <c r="V102" s="24"/>
      <c r="W102" s="24"/>
      <c r="X102" s="24"/>
      <c r="Y102" s="24"/>
      <c r="Z102" s="24"/>
      <c r="AA102" s="24"/>
      <c r="AB102" s="24"/>
      <c r="AC102" s="25"/>
      <c r="AD102" s="25"/>
      <c r="AE102" s="25"/>
    </row>
    <row r="103" ht="12.0" customHeight="1">
      <c r="A103" s="30"/>
      <c r="B103" s="24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9"/>
      <c r="R103" s="28"/>
      <c r="S103" s="28"/>
      <c r="T103" s="28"/>
      <c r="U103" s="28"/>
      <c r="V103" s="24"/>
      <c r="W103" s="24"/>
      <c r="X103" s="24"/>
      <c r="Y103" s="24"/>
      <c r="Z103" s="24"/>
      <c r="AA103" s="24"/>
      <c r="AB103" s="24"/>
      <c r="AC103" s="25"/>
      <c r="AD103" s="25"/>
      <c r="AE103" s="25"/>
    </row>
    <row r="104" ht="12.0" customHeight="1">
      <c r="A104" s="30"/>
      <c r="B104" s="24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9"/>
      <c r="R104" s="28"/>
      <c r="S104" s="28"/>
      <c r="T104" s="28"/>
      <c r="U104" s="28"/>
      <c r="V104" s="24"/>
      <c r="W104" s="24"/>
      <c r="X104" s="24"/>
      <c r="Y104" s="24"/>
      <c r="Z104" s="24"/>
      <c r="AA104" s="24"/>
      <c r="AB104" s="24"/>
      <c r="AC104" s="25"/>
      <c r="AD104" s="25"/>
      <c r="AE104" s="25"/>
    </row>
    <row r="105" ht="12.0" customHeight="1">
      <c r="A105" s="30"/>
      <c r="B105" s="24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9"/>
      <c r="R105" s="28"/>
      <c r="S105" s="28"/>
      <c r="T105" s="28"/>
      <c r="U105" s="28"/>
      <c r="V105" s="24"/>
      <c r="W105" s="24"/>
      <c r="X105" s="24"/>
      <c r="Y105" s="24"/>
      <c r="Z105" s="24"/>
      <c r="AA105" s="24"/>
      <c r="AB105" s="24"/>
      <c r="AC105" s="25"/>
      <c r="AD105" s="25"/>
      <c r="AE105" s="25"/>
    </row>
    <row r="106" ht="12.0" customHeight="1">
      <c r="A106" s="30"/>
      <c r="B106" s="24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9"/>
      <c r="R106" s="28"/>
      <c r="S106" s="28"/>
      <c r="T106" s="28"/>
      <c r="U106" s="28"/>
      <c r="V106" s="24"/>
      <c r="W106" s="24"/>
      <c r="X106" s="24"/>
      <c r="Y106" s="24"/>
      <c r="Z106" s="24"/>
      <c r="AA106" s="24"/>
      <c r="AB106" s="24"/>
      <c r="AC106" s="25"/>
      <c r="AD106" s="25"/>
      <c r="AE106" s="25"/>
    </row>
    <row r="107" ht="12.0" customHeight="1">
      <c r="A107" s="30"/>
      <c r="B107" s="24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9"/>
      <c r="R107" s="28"/>
      <c r="S107" s="28"/>
      <c r="T107" s="28"/>
      <c r="U107" s="28"/>
      <c r="V107" s="24"/>
      <c r="W107" s="24"/>
      <c r="X107" s="24"/>
      <c r="Y107" s="24"/>
      <c r="Z107" s="24"/>
      <c r="AA107" s="24"/>
      <c r="AB107" s="24"/>
      <c r="AC107" s="25"/>
      <c r="AD107" s="25"/>
      <c r="AE107" s="25"/>
    </row>
    <row r="108" ht="12.0" customHeight="1">
      <c r="A108" s="28"/>
      <c r="B108" s="24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4"/>
      <c r="W108" s="24"/>
      <c r="X108" s="24"/>
      <c r="Y108" s="24"/>
      <c r="Z108" s="24"/>
      <c r="AA108" s="24"/>
      <c r="AB108" s="24"/>
      <c r="AC108" s="25"/>
      <c r="AD108" s="28"/>
      <c r="AE108" s="28"/>
    </row>
    <row r="109" ht="12.0" customHeight="1">
      <c r="A109" s="32"/>
      <c r="B109" s="27"/>
      <c r="C109" s="27"/>
      <c r="D109" s="26"/>
      <c r="E109" s="26"/>
      <c r="F109" s="26"/>
      <c r="G109" s="26"/>
      <c r="H109" s="26"/>
      <c r="I109" s="27"/>
      <c r="J109" s="26"/>
      <c r="K109" s="26"/>
      <c r="L109" s="27"/>
      <c r="M109" s="27"/>
      <c r="N109" s="26"/>
      <c r="O109" s="26"/>
      <c r="P109" s="26"/>
      <c r="Q109" s="26"/>
      <c r="R109" s="27"/>
      <c r="S109" s="27"/>
      <c r="T109" s="27"/>
      <c r="U109" s="26"/>
      <c r="V109" s="27"/>
      <c r="W109" s="24"/>
      <c r="X109" s="24"/>
      <c r="Y109" s="27"/>
      <c r="Z109" s="24"/>
      <c r="AA109" s="24"/>
      <c r="AB109" s="27"/>
      <c r="AC109" s="25"/>
      <c r="AD109" s="26"/>
      <c r="AE109" s="26"/>
    </row>
    <row r="110" ht="12.0" customHeight="1">
      <c r="A110" s="30"/>
      <c r="B110" s="24"/>
      <c r="C110" s="28"/>
      <c r="D110" s="28"/>
      <c r="E110" s="29"/>
      <c r="F110" s="29"/>
      <c r="G110" s="29"/>
      <c r="H110" s="29"/>
      <c r="I110" s="28"/>
      <c r="J110" s="29"/>
      <c r="K110" s="29"/>
      <c r="L110" s="28"/>
      <c r="M110" s="28"/>
      <c r="N110" s="29"/>
      <c r="O110" s="29"/>
      <c r="P110" s="29"/>
      <c r="Q110" s="29"/>
      <c r="R110" s="28"/>
      <c r="S110" s="28"/>
      <c r="T110" s="28"/>
      <c r="U110" s="29"/>
      <c r="V110" s="24"/>
      <c r="W110" s="24"/>
      <c r="X110" s="24"/>
      <c r="Y110" s="24"/>
      <c r="Z110" s="24"/>
      <c r="AA110" s="24"/>
      <c r="AB110" s="24"/>
      <c r="AC110" s="25"/>
      <c r="AD110" s="25"/>
      <c r="AE110" s="25"/>
    </row>
    <row r="111" ht="12.0" customHeight="1">
      <c r="A111" s="30"/>
      <c r="B111" s="24"/>
      <c r="C111" s="28"/>
      <c r="D111" s="28"/>
      <c r="E111" s="29"/>
      <c r="F111" s="29"/>
      <c r="G111" s="29"/>
      <c r="H111" s="29"/>
      <c r="I111" s="28"/>
      <c r="J111" s="29"/>
      <c r="K111" s="29"/>
      <c r="L111" s="28"/>
      <c r="M111" s="28"/>
      <c r="N111" s="29"/>
      <c r="O111" s="29"/>
      <c r="P111" s="29"/>
      <c r="Q111" s="29"/>
      <c r="R111" s="28"/>
      <c r="S111" s="28"/>
      <c r="T111" s="28"/>
      <c r="U111" s="29"/>
      <c r="V111" s="24"/>
      <c r="W111" s="24"/>
      <c r="X111" s="24"/>
      <c r="Y111" s="24"/>
      <c r="Z111" s="24"/>
      <c r="AA111" s="24"/>
      <c r="AB111" s="24"/>
      <c r="AC111" s="25"/>
      <c r="AD111" s="25"/>
      <c r="AE111" s="25"/>
    </row>
    <row r="112" ht="12.0" customHeight="1">
      <c r="A112" s="30"/>
      <c r="B112" s="24"/>
      <c r="C112" s="28"/>
      <c r="D112" s="28"/>
      <c r="E112" s="29"/>
      <c r="F112" s="29"/>
      <c r="G112" s="29"/>
      <c r="H112" s="29"/>
      <c r="I112" s="28"/>
      <c r="J112" s="29"/>
      <c r="K112" s="29"/>
      <c r="L112" s="28"/>
      <c r="M112" s="28"/>
      <c r="N112" s="29"/>
      <c r="O112" s="29"/>
      <c r="P112" s="29"/>
      <c r="Q112" s="29"/>
      <c r="R112" s="28"/>
      <c r="S112" s="28"/>
      <c r="T112" s="28"/>
      <c r="U112" s="29"/>
      <c r="V112" s="24"/>
      <c r="W112" s="24"/>
      <c r="X112" s="24"/>
      <c r="Y112" s="24"/>
      <c r="Z112" s="24"/>
      <c r="AA112" s="24"/>
      <c r="AB112" s="24"/>
      <c r="AC112" s="25"/>
      <c r="AD112" s="25"/>
      <c r="AE112" s="25"/>
    </row>
    <row r="113" ht="12.0" customHeight="1">
      <c r="A113" s="30"/>
      <c r="B113" s="24"/>
      <c r="C113" s="28"/>
      <c r="D113" s="28"/>
      <c r="E113" s="29"/>
      <c r="F113" s="29"/>
      <c r="G113" s="29"/>
      <c r="H113" s="29"/>
      <c r="I113" s="28"/>
      <c r="J113" s="29"/>
      <c r="K113" s="29"/>
      <c r="L113" s="28"/>
      <c r="M113" s="28"/>
      <c r="N113" s="29"/>
      <c r="O113" s="29"/>
      <c r="P113" s="29"/>
      <c r="Q113" s="29"/>
      <c r="R113" s="28"/>
      <c r="S113" s="28"/>
      <c r="T113" s="28"/>
      <c r="U113" s="29"/>
      <c r="V113" s="24"/>
      <c r="W113" s="24"/>
      <c r="X113" s="24"/>
      <c r="Y113" s="24"/>
      <c r="Z113" s="24"/>
      <c r="AA113" s="24"/>
      <c r="AB113" s="24"/>
      <c r="AC113" s="25"/>
      <c r="AD113" s="25"/>
      <c r="AE113" s="25"/>
    </row>
    <row r="114" ht="12.0" customHeight="1">
      <c r="A114" s="30"/>
      <c r="B114" s="24"/>
      <c r="C114" s="28"/>
      <c r="D114" s="28"/>
      <c r="E114" s="29"/>
      <c r="F114" s="29"/>
      <c r="G114" s="29"/>
      <c r="H114" s="29"/>
      <c r="I114" s="28"/>
      <c r="J114" s="29"/>
      <c r="K114" s="29"/>
      <c r="L114" s="28"/>
      <c r="M114" s="28"/>
      <c r="N114" s="29"/>
      <c r="O114" s="29"/>
      <c r="P114" s="29"/>
      <c r="Q114" s="29"/>
      <c r="R114" s="28"/>
      <c r="S114" s="28"/>
      <c r="T114" s="28"/>
      <c r="U114" s="29"/>
      <c r="V114" s="24"/>
      <c r="W114" s="24"/>
      <c r="X114" s="24"/>
      <c r="Y114" s="24"/>
      <c r="Z114" s="24"/>
      <c r="AA114" s="24"/>
      <c r="AB114" s="24"/>
      <c r="AC114" s="25"/>
      <c r="AD114" s="25"/>
      <c r="AE114" s="25"/>
    </row>
    <row r="115" ht="12.0" customHeight="1">
      <c r="A115" s="30"/>
      <c r="B115" s="24"/>
      <c r="C115" s="28"/>
      <c r="D115" s="28"/>
      <c r="E115" s="29"/>
      <c r="F115" s="29"/>
      <c r="G115" s="29"/>
      <c r="H115" s="29"/>
      <c r="I115" s="28"/>
      <c r="J115" s="29"/>
      <c r="K115" s="29"/>
      <c r="L115" s="28"/>
      <c r="M115" s="28"/>
      <c r="N115" s="29"/>
      <c r="O115" s="29"/>
      <c r="P115" s="29"/>
      <c r="Q115" s="29"/>
      <c r="R115" s="28"/>
      <c r="S115" s="28"/>
      <c r="T115" s="28"/>
      <c r="U115" s="29"/>
      <c r="V115" s="24"/>
      <c r="W115" s="24"/>
      <c r="X115" s="24"/>
      <c r="Y115" s="24"/>
      <c r="Z115" s="24"/>
      <c r="AA115" s="24"/>
      <c r="AB115" s="24"/>
      <c r="AC115" s="25"/>
      <c r="AD115" s="25"/>
      <c r="AE115" s="25"/>
    </row>
    <row r="116" ht="12.0" customHeight="1">
      <c r="A116" s="30"/>
      <c r="B116" s="24"/>
      <c r="C116" s="28"/>
      <c r="D116" s="28"/>
      <c r="E116" s="29"/>
      <c r="F116" s="29"/>
      <c r="G116" s="29"/>
      <c r="H116" s="29"/>
      <c r="I116" s="28"/>
      <c r="J116" s="29"/>
      <c r="K116" s="29"/>
      <c r="L116" s="28"/>
      <c r="M116" s="28"/>
      <c r="N116" s="29"/>
      <c r="O116" s="29"/>
      <c r="P116" s="29"/>
      <c r="Q116" s="29"/>
      <c r="R116" s="28"/>
      <c r="S116" s="28"/>
      <c r="T116" s="28"/>
      <c r="U116" s="29"/>
      <c r="V116" s="24"/>
      <c r="W116" s="24"/>
      <c r="X116" s="24"/>
      <c r="Y116" s="24"/>
      <c r="Z116" s="24"/>
      <c r="AA116" s="24"/>
      <c r="AB116" s="24"/>
      <c r="AC116" s="25"/>
      <c r="AD116" s="25"/>
      <c r="AE116" s="25"/>
    </row>
    <row r="117" ht="12.0" customHeight="1">
      <c r="A117" s="30"/>
      <c r="B117" s="24"/>
      <c r="C117" s="28"/>
      <c r="D117" s="28"/>
      <c r="E117" s="29"/>
      <c r="F117" s="29"/>
      <c r="G117" s="29"/>
      <c r="H117" s="29"/>
      <c r="I117" s="28"/>
      <c r="J117" s="29"/>
      <c r="K117" s="29"/>
      <c r="L117" s="28"/>
      <c r="M117" s="28"/>
      <c r="N117" s="29"/>
      <c r="O117" s="29"/>
      <c r="P117" s="29"/>
      <c r="Q117" s="29"/>
      <c r="R117" s="28"/>
      <c r="S117" s="28"/>
      <c r="T117" s="28"/>
      <c r="U117" s="29"/>
      <c r="V117" s="24"/>
      <c r="W117" s="24"/>
      <c r="X117" s="24"/>
      <c r="Y117" s="24"/>
      <c r="Z117" s="24"/>
      <c r="AA117" s="24"/>
      <c r="AB117" s="24"/>
      <c r="AC117" s="25"/>
      <c r="AD117" s="25"/>
      <c r="AE117" s="25"/>
    </row>
    <row r="118" ht="12.0" customHeight="1">
      <c r="A118" s="32"/>
      <c r="B118" s="27"/>
      <c r="C118" s="27"/>
      <c r="D118" s="27"/>
      <c r="E118" s="26"/>
      <c r="F118" s="26"/>
      <c r="G118" s="26"/>
      <c r="H118" s="26"/>
      <c r="I118" s="27"/>
      <c r="J118" s="26"/>
      <c r="K118" s="26"/>
      <c r="L118" s="27"/>
      <c r="M118" s="27"/>
      <c r="N118" s="26"/>
      <c r="O118" s="26"/>
      <c r="P118" s="26"/>
      <c r="Q118" s="26"/>
      <c r="R118" s="27"/>
      <c r="S118" s="27"/>
      <c r="T118" s="27"/>
      <c r="U118" s="26"/>
      <c r="V118" s="27"/>
      <c r="W118" s="24"/>
      <c r="X118" s="24"/>
      <c r="Y118" s="27"/>
      <c r="Z118" s="24"/>
      <c r="AA118" s="24"/>
      <c r="AB118" s="27"/>
      <c r="AC118" s="25"/>
      <c r="AD118" s="26"/>
      <c r="AE118" s="26"/>
    </row>
    <row r="119" ht="12.0" customHeight="1">
      <c r="A119" s="30"/>
      <c r="B119" s="24"/>
      <c r="C119" s="28"/>
      <c r="D119" s="28"/>
      <c r="E119" s="29"/>
      <c r="F119" s="29"/>
      <c r="G119" s="29"/>
      <c r="H119" s="29"/>
      <c r="I119" s="28"/>
      <c r="J119" s="29"/>
      <c r="K119" s="29"/>
      <c r="L119" s="28"/>
      <c r="M119" s="28"/>
      <c r="N119" s="29"/>
      <c r="O119" s="29"/>
      <c r="P119" s="29"/>
      <c r="Q119" s="29"/>
      <c r="R119" s="28"/>
      <c r="S119" s="28"/>
      <c r="T119" s="28"/>
      <c r="U119" s="29"/>
      <c r="V119" s="24"/>
      <c r="W119" s="24"/>
      <c r="X119" s="24"/>
      <c r="Y119" s="24"/>
      <c r="Z119" s="24"/>
      <c r="AA119" s="24"/>
      <c r="AB119" s="24"/>
      <c r="AC119" s="25"/>
      <c r="AD119" s="25"/>
      <c r="AE119" s="25"/>
    </row>
    <row r="120" ht="12.0" customHeight="1">
      <c r="A120" s="30"/>
      <c r="B120" s="24"/>
      <c r="C120" s="28"/>
      <c r="D120" s="28"/>
      <c r="E120" s="29"/>
      <c r="F120" s="29"/>
      <c r="G120" s="29"/>
      <c r="H120" s="29"/>
      <c r="I120" s="28"/>
      <c r="J120" s="29"/>
      <c r="K120" s="29"/>
      <c r="L120" s="28"/>
      <c r="M120" s="28"/>
      <c r="N120" s="29"/>
      <c r="O120" s="29"/>
      <c r="P120" s="29"/>
      <c r="Q120" s="29"/>
      <c r="R120" s="28"/>
      <c r="S120" s="28"/>
      <c r="T120" s="28"/>
      <c r="U120" s="29"/>
      <c r="V120" s="24"/>
      <c r="W120" s="24"/>
      <c r="X120" s="24"/>
      <c r="Y120" s="24"/>
      <c r="Z120" s="24"/>
      <c r="AA120" s="24"/>
      <c r="AB120" s="24"/>
      <c r="AC120" s="25"/>
      <c r="AD120" s="25"/>
      <c r="AE120" s="25"/>
    </row>
    <row r="121" ht="12.0" customHeight="1">
      <c r="A121" s="28"/>
      <c r="B121" s="24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4"/>
      <c r="W121" s="24"/>
      <c r="X121" s="24"/>
      <c r="Y121" s="24"/>
      <c r="Z121" s="24"/>
      <c r="AA121" s="24"/>
      <c r="AB121" s="24"/>
      <c r="AC121" s="25"/>
      <c r="AD121" s="28"/>
      <c r="AE121" s="28"/>
    </row>
    <row r="122" ht="12.0" customHeight="1">
      <c r="A122" s="30"/>
      <c r="B122" s="24"/>
      <c r="C122" s="28"/>
      <c r="D122" s="29"/>
      <c r="E122" s="29"/>
      <c r="F122" s="29"/>
      <c r="G122" s="29"/>
      <c r="H122" s="29"/>
      <c r="I122" s="28"/>
      <c r="J122" s="29"/>
      <c r="K122" s="29"/>
      <c r="L122" s="28"/>
      <c r="M122" s="28"/>
      <c r="N122" s="29"/>
      <c r="O122" s="29"/>
      <c r="P122" s="29"/>
      <c r="Q122" s="29"/>
      <c r="R122" s="28"/>
      <c r="S122" s="28"/>
      <c r="T122" s="28"/>
      <c r="U122" s="29"/>
      <c r="V122" s="24"/>
      <c r="W122" s="24"/>
      <c r="X122" s="24"/>
      <c r="Y122" s="24"/>
      <c r="Z122" s="24"/>
      <c r="AA122" s="24"/>
      <c r="AB122" s="24"/>
      <c r="AC122" s="25"/>
      <c r="AD122" s="29"/>
      <c r="AE122" s="25"/>
    </row>
    <row r="123" ht="12.0" customHeight="1">
      <c r="A123" s="30"/>
      <c r="B123" s="24"/>
      <c r="C123" s="28"/>
      <c r="D123" s="28"/>
      <c r="E123" s="29"/>
      <c r="F123" s="29"/>
      <c r="G123" s="29"/>
      <c r="H123" s="29"/>
      <c r="I123" s="28"/>
      <c r="J123" s="29"/>
      <c r="K123" s="29"/>
      <c r="L123" s="28"/>
      <c r="M123" s="28"/>
      <c r="N123" s="29"/>
      <c r="O123" s="29"/>
      <c r="P123" s="29"/>
      <c r="Q123" s="29"/>
      <c r="R123" s="28"/>
      <c r="S123" s="28"/>
      <c r="T123" s="28"/>
      <c r="U123" s="29"/>
      <c r="V123" s="24"/>
      <c r="W123" s="24"/>
      <c r="X123" s="24"/>
      <c r="Y123" s="24"/>
      <c r="Z123" s="24"/>
      <c r="AA123" s="24"/>
      <c r="AB123" s="24"/>
      <c r="AC123" s="25"/>
      <c r="AD123" s="25"/>
      <c r="AE123" s="25"/>
    </row>
    <row r="124" ht="12.0" customHeight="1">
      <c r="A124" s="30"/>
      <c r="B124" s="24"/>
      <c r="C124" s="28"/>
      <c r="D124" s="28"/>
      <c r="E124" s="29"/>
      <c r="F124" s="29"/>
      <c r="G124" s="29"/>
      <c r="H124" s="29"/>
      <c r="I124" s="28"/>
      <c r="J124" s="29"/>
      <c r="K124" s="29"/>
      <c r="L124" s="28"/>
      <c r="M124" s="28"/>
      <c r="N124" s="29"/>
      <c r="O124" s="29"/>
      <c r="P124" s="29"/>
      <c r="Q124" s="29"/>
      <c r="R124" s="28"/>
      <c r="S124" s="28"/>
      <c r="T124" s="28"/>
      <c r="U124" s="29"/>
      <c r="V124" s="24"/>
      <c r="W124" s="24"/>
      <c r="X124" s="24"/>
      <c r="Y124" s="24"/>
      <c r="Z124" s="24"/>
      <c r="AA124" s="24"/>
      <c r="AB124" s="24"/>
      <c r="AC124" s="25"/>
      <c r="AD124" s="25"/>
      <c r="AE124" s="25"/>
    </row>
    <row r="125" ht="12.0" customHeight="1">
      <c r="A125" s="30"/>
      <c r="B125" s="24"/>
      <c r="C125" s="28"/>
      <c r="D125" s="28"/>
      <c r="E125" s="29"/>
      <c r="F125" s="29"/>
      <c r="G125" s="29"/>
      <c r="H125" s="29"/>
      <c r="I125" s="28"/>
      <c r="J125" s="29"/>
      <c r="K125" s="29"/>
      <c r="L125" s="28"/>
      <c r="M125" s="28"/>
      <c r="N125" s="29"/>
      <c r="O125" s="29"/>
      <c r="P125" s="29"/>
      <c r="Q125" s="29"/>
      <c r="R125" s="28"/>
      <c r="S125" s="28"/>
      <c r="T125" s="28"/>
      <c r="U125" s="29"/>
      <c r="V125" s="24"/>
      <c r="W125" s="24"/>
      <c r="X125" s="24"/>
      <c r="Y125" s="24"/>
      <c r="Z125" s="24"/>
      <c r="AA125" s="24"/>
      <c r="AB125" s="24"/>
      <c r="AC125" s="25"/>
      <c r="AD125" s="25"/>
      <c r="AE125" s="25"/>
    </row>
    <row r="126" ht="12.0" customHeight="1">
      <c r="A126" s="30"/>
      <c r="B126" s="24"/>
      <c r="C126" s="28"/>
      <c r="D126" s="28"/>
      <c r="E126" s="29"/>
      <c r="F126" s="29"/>
      <c r="G126" s="29"/>
      <c r="H126" s="29"/>
      <c r="I126" s="28"/>
      <c r="J126" s="29"/>
      <c r="K126" s="29"/>
      <c r="L126" s="28"/>
      <c r="M126" s="28"/>
      <c r="N126" s="29"/>
      <c r="O126" s="29"/>
      <c r="P126" s="29"/>
      <c r="Q126" s="29"/>
      <c r="R126" s="28"/>
      <c r="S126" s="28"/>
      <c r="T126" s="28"/>
      <c r="U126" s="29"/>
      <c r="V126" s="24"/>
      <c r="W126" s="24"/>
      <c r="X126" s="24"/>
      <c r="Y126" s="24"/>
      <c r="Z126" s="24"/>
      <c r="AA126" s="24"/>
      <c r="AB126" s="24"/>
      <c r="AC126" s="25"/>
      <c r="AD126" s="25"/>
      <c r="AE126" s="25"/>
    </row>
    <row r="127" ht="12.0" customHeight="1">
      <c r="A127" s="32"/>
      <c r="B127" s="27"/>
      <c r="C127" s="27"/>
      <c r="D127" s="27"/>
      <c r="E127" s="26"/>
      <c r="F127" s="26"/>
      <c r="G127" s="26"/>
      <c r="H127" s="26"/>
      <c r="I127" s="27"/>
      <c r="J127" s="26"/>
      <c r="K127" s="26"/>
      <c r="L127" s="27"/>
      <c r="M127" s="27"/>
      <c r="N127" s="26"/>
      <c r="O127" s="26"/>
      <c r="P127" s="26"/>
      <c r="Q127" s="26"/>
      <c r="R127" s="27"/>
      <c r="S127" s="27"/>
      <c r="T127" s="27"/>
      <c r="U127" s="26"/>
      <c r="V127" s="27"/>
      <c r="W127" s="24"/>
      <c r="X127" s="24"/>
      <c r="Y127" s="27"/>
      <c r="Z127" s="24"/>
      <c r="AA127" s="24"/>
      <c r="AB127" s="27"/>
      <c r="AC127" s="25"/>
      <c r="AD127" s="26"/>
      <c r="AE127" s="26"/>
    </row>
    <row r="128" ht="12.0" customHeight="1">
      <c r="A128" s="30"/>
      <c r="B128" s="24"/>
      <c r="C128" s="28"/>
      <c r="D128" s="28"/>
      <c r="E128" s="29"/>
      <c r="F128" s="29"/>
      <c r="G128" s="29"/>
      <c r="H128" s="29"/>
      <c r="I128" s="28"/>
      <c r="J128" s="29"/>
      <c r="K128" s="29"/>
      <c r="L128" s="28"/>
      <c r="M128" s="28"/>
      <c r="N128" s="29"/>
      <c r="O128" s="29"/>
      <c r="P128" s="29"/>
      <c r="Q128" s="29"/>
      <c r="R128" s="28"/>
      <c r="S128" s="28"/>
      <c r="T128" s="28"/>
      <c r="U128" s="29"/>
      <c r="V128" s="24"/>
      <c r="W128" s="24"/>
      <c r="X128" s="24"/>
      <c r="Y128" s="24"/>
      <c r="Z128" s="24"/>
      <c r="AA128" s="24"/>
      <c r="AB128" s="24"/>
      <c r="AC128" s="25"/>
      <c r="AD128" s="25"/>
      <c r="AE128" s="25"/>
    </row>
    <row r="129" ht="12.0" customHeight="1">
      <c r="A129" s="30"/>
      <c r="B129" s="24"/>
      <c r="C129" s="28"/>
      <c r="D129" s="28"/>
      <c r="E129" s="29"/>
      <c r="F129" s="29"/>
      <c r="G129" s="29"/>
      <c r="H129" s="29"/>
      <c r="I129" s="28"/>
      <c r="J129" s="29"/>
      <c r="K129" s="29"/>
      <c r="L129" s="28"/>
      <c r="M129" s="28"/>
      <c r="N129" s="29"/>
      <c r="O129" s="29"/>
      <c r="P129" s="29"/>
      <c r="Q129" s="29"/>
      <c r="R129" s="28"/>
      <c r="S129" s="28"/>
      <c r="T129" s="28"/>
      <c r="U129" s="29"/>
      <c r="V129" s="24"/>
      <c r="W129" s="24"/>
      <c r="X129" s="24"/>
      <c r="Y129" s="24"/>
      <c r="Z129" s="24"/>
      <c r="AA129" s="24"/>
      <c r="AB129" s="24"/>
      <c r="AC129" s="25"/>
      <c r="AD129" s="25"/>
      <c r="AE129" s="25"/>
    </row>
    <row r="130" ht="12.0" customHeight="1">
      <c r="A130" s="30"/>
      <c r="B130" s="24"/>
      <c r="C130" s="28"/>
      <c r="D130" s="28"/>
      <c r="E130" s="29"/>
      <c r="F130" s="29"/>
      <c r="G130" s="29"/>
      <c r="H130" s="29"/>
      <c r="I130" s="28"/>
      <c r="J130" s="29"/>
      <c r="K130" s="29"/>
      <c r="L130" s="28"/>
      <c r="M130" s="28"/>
      <c r="N130" s="29"/>
      <c r="O130" s="29"/>
      <c r="P130" s="29"/>
      <c r="Q130" s="29"/>
      <c r="R130" s="28"/>
      <c r="S130" s="28"/>
      <c r="T130" s="28"/>
      <c r="U130" s="29"/>
      <c r="V130" s="24"/>
      <c r="W130" s="24"/>
      <c r="X130" s="24"/>
      <c r="Y130" s="24"/>
      <c r="Z130" s="24"/>
      <c r="AA130" s="24"/>
      <c r="AB130" s="24"/>
      <c r="AC130" s="25"/>
      <c r="AD130" s="25"/>
      <c r="AE130" s="25"/>
    </row>
    <row r="131" ht="12.0" customHeight="1">
      <c r="A131" s="30"/>
      <c r="B131" s="24"/>
      <c r="C131" s="28"/>
      <c r="D131" s="28"/>
      <c r="E131" s="29"/>
      <c r="F131" s="29"/>
      <c r="G131" s="29"/>
      <c r="H131" s="29"/>
      <c r="I131" s="28"/>
      <c r="J131" s="29"/>
      <c r="K131" s="29"/>
      <c r="L131" s="28"/>
      <c r="M131" s="28"/>
      <c r="N131" s="29"/>
      <c r="O131" s="29"/>
      <c r="P131" s="29"/>
      <c r="Q131" s="29"/>
      <c r="R131" s="28"/>
      <c r="S131" s="28"/>
      <c r="T131" s="28"/>
      <c r="U131" s="29"/>
      <c r="V131" s="24"/>
      <c r="W131" s="24"/>
      <c r="X131" s="24"/>
      <c r="Y131" s="24"/>
      <c r="Z131" s="24"/>
      <c r="AA131" s="24"/>
      <c r="AB131" s="24"/>
      <c r="AC131" s="25"/>
      <c r="AD131" s="25"/>
      <c r="AE131" s="25"/>
    </row>
    <row r="132" ht="12.0" customHeight="1">
      <c r="A132" s="30"/>
      <c r="B132" s="24"/>
      <c r="C132" s="28"/>
      <c r="D132" s="28"/>
      <c r="E132" s="29"/>
      <c r="F132" s="29"/>
      <c r="G132" s="29"/>
      <c r="H132" s="29"/>
      <c r="I132" s="28"/>
      <c r="J132" s="29"/>
      <c r="K132" s="29"/>
      <c r="L132" s="28"/>
      <c r="M132" s="28"/>
      <c r="N132" s="29"/>
      <c r="O132" s="29"/>
      <c r="P132" s="29"/>
      <c r="Q132" s="29"/>
      <c r="R132" s="28"/>
      <c r="S132" s="28"/>
      <c r="T132" s="28"/>
      <c r="U132" s="29"/>
      <c r="V132" s="24"/>
      <c r="W132" s="24"/>
      <c r="X132" s="24"/>
      <c r="Y132" s="24"/>
      <c r="Z132" s="24"/>
      <c r="AA132" s="24"/>
      <c r="AB132" s="24"/>
      <c r="AC132" s="25"/>
      <c r="AD132" s="25"/>
      <c r="AE132" s="25"/>
    </row>
    <row r="133" ht="12.0" customHeight="1">
      <c r="A133" s="30"/>
      <c r="B133" s="24"/>
      <c r="C133" s="28"/>
      <c r="D133" s="28"/>
      <c r="E133" s="29"/>
      <c r="F133" s="29"/>
      <c r="G133" s="29"/>
      <c r="H133" s="29"/>
      <c r="I133" s="28"/>
      <c r="J133" s="29"/>
      <c r="K133" s="29"/>
      <c r="L133" s="28"/>
      <c r="M133" s="28"/>
      <c r="N133" s="29"/>
      <c r="O133" s="29"/>
      <c r="P133" s="29"/>
      <c r="Q133" s="29"/>
      <c r="R133" s="28"/>
      <c r="S133" s="28"/>
      <c r="T133" s="28"/>
      <c r="U133" s="29"/>
      <c r="V133" s="24"/>
      <c r="W133" s="24"/>
      <c r="X133" s="24"/>
      <c r="Y133" s="24"/>
      <c r="Z133" s="24"/>
      <c r="AA133" s="24"/>
      <c r="AB133" s="24"/>
      <c r="AC133" s="25"/>
      <c r="AD133" s="25"/>
      <c r="AE133" s="25"/>
    </row>
    <row r="134" ht="12.0" customHeight="1">
      <c r="A134" s="30"/>
      <c r="B134" s="24"/>
      <c r="C134" s="28"/>
      <c r="D134" s="28"/>
      <c r="E134" s="29"/>
      <c r="F134" s="29"/>
      <c r="G134" s="29"/>
      <c r="H134" s="29"/>
      <c r="I134" s="28"/>
      <c r="J134" s="29"/>
      <c r="K134" s="29"/>
      <c r="L134" s="28"/>
      <c r="M134" s="28"/>
      <c r="N134" s="29"/>
      <c r="O134" s="29"/>
      <c r="P134" s="29"/>
      <c r="Q134" s="29"/>
      <c r="R134" s="28"/>
      <c r="S134" s="28"/>
      <c r="T134" s="28"/>
      <c r="U134" s="29"/>
      <c r="V134" s="24"/>
      <c r="W134" s="24"/>
      <c r="X134" s="24"/>
      <c r="Y134" s="24"/>
      <c r="Z134" s="24"/>
      <c r="AA134" s="24"/>
      <c r="AB134" s="24"/>
      <c r="AC134" s="25"/>
      <c r="AD134" s="25"/>
      <c r="AE134" s="25"/>
    </row>
    <row r="135" ht="12.0" customHeight="1">
      <c r="A135" s="30"/>
      <c r="B135" s="24"/>
      <c r="C135" s="28"/>
      <c r="D135" s="28"/>
      <c r="E135" s="29"/>
      <c r="F135" s="29"/>
      <c r="G135" s="29"/>
      <c r="H135" s="29"/>
      <c r="I135" s="28"/>
      <c r="J135" s="29"/>
      <c r="K135" s="29"/>
      <c r="L135" s="28"/>
      <c r="M135" s="28"/>
      <c r="N135" s="29"/>
      <c r="O135" s="29"/>
      <c r="P135" s="29"/>
      <c r="Q135" s="29"/>
      <c r="R135" s="28"/>
      <c r="S135" s="28"/>
      <c r="T135" s="28"/>
      <c r="U135" s="29"/>
      <c r="V135" s="24"/>
      <c r="W135" s="24"/>
      <c r="X135" s="24"/>
      <c r="Y135" s="24"/>
      <c r="Z135" s="24"/>
      <c r="AA135" s="24"/>
      <c r="AB135" s="24"/>
      <c r="AC135" s="25"/>
      <c r="AD135" s="25"/>
      <c r="AE135" s="25"/>
    </row>
    <row r="136" ht="12.0" customHeight="1">
      <c r="A136" s="30"/>
      <c r="B136" s="24"/>
      <c r="C136" s="28"/>
      <c r="D136" s="28"/>
      <c r="E136" s="29"/>
      <c r="F136" s="29"/>
      <c r="G136" s="29"/>
      <c r="H136" s="29"/>
      <c r="I136" s="28"/>
      <c r="J136" s="29"/>
      <c r="K136" s="29"/>
      <c r="L136" s="28"/>
      <c r="M136" s="28"/>
      <c r="N136" s="29"/>
      <c r="O136" s="29"/>
      <c r="P136" s="29"/>
      <c r="Q136" s="29"/>
      <c r="R136" s="28"/>
      <c r="S136" s="28"/>
      <c r="T136" s="28"/>
      <c r="U136" s="29"/>
      <c r="V136" s="24"/>
      <c r="W136" s="24"/>
      <c r="X136" s="24"/>
      <c r="Y136" s="24"/>
      <c r="Z136" s="24"/>
      <c r="AA136" s="24"/>
      <c r="AB136" s="24"/>
      <c r="AC136" s="25"/>
      <c r="AD136" s="25"/>
      <c r="AE136" s="25"/>
    </row>
    <row r="137" ht="12.0" customHeight="1">
      <c r="A137" s="30"/>
      <c r="B137" s="24"/>
      <c r="C137" s="28"/>
      <c r="D137" s="28"/>
      <c r="E137" s="29"/>
      <c r="F137" s="29"/>
      <c r="G137" s="29"/>
      <c r="H137" s="29"/>
      <c r="I137" s="28"/>
      <c r="J137" s="29"/>
      <c r="K137" s="29"/>
      <c r="L137" s="28"/>
      <c r="M137" s="28"/>
      <c r="N137" s="29"/>
      <c r="O137" s="29"/>
      <c r="P137" s="29"/>
      <c r="Q137" s="29"/>
      <c r="R137" s="28"/>
      <c r="S137" s="28"/>
      <c r="T137" s="28"/>
      <c r="U137" s="29"/>
      <c r="V137" s="24"/>
      <c r="W137" s="24"/>
      <c r="X137" s="24"/>
      <c r="Y137" s="24"/>
      <c r="Z137" s="24"/>
      <c r="AA137" s="24"/>
      <c r="AB137" s="24"/>
      <c r="AC137" s="25"/>
      <c r="AD137" s="25"/>
      <c r="AE137" s="25"/>
    </row>
    <row r="138" ht="12.0" customHeight="1">
      <c r="A138" s="32"/>
      <c r="B138" s="24"/>
      <c r="C138" s="28"/>
      <c r="D138" s="28"/>
      <c r="E138" s="29"/>
      <c r="F138" s="29"/>
      <c r="G138" s="29"/>
      <c r="H138" s="29"/>
      <c r="I138" s="28"/>
      <c r="J138" s="29"/>
      <c r="K138" s="29"/>
      <c r="L138" s="28"/>
      <c r="M138" s="28"/>
      <c r="N138" s="29"/>
      <c r="O138" s="29"/>
      <c r="P138" s="29"/>
      <c r="Q138" s="29"/>
      <c r="R138" s="28"/>
      <c r="S138" s="28"/>
      <c r="T138" s="28"/>
      <c r="U138" s="29"/>
      <c r="V138" s="24"/>
      <c r="W138" s="24"/>
      <c r="X138" s="24"/>
      <c r="Y138" s="24"/>
      <c r="Z138" s="24"/>
      <c r="AA138" s="24"/>
      <c r="AB138" s="24"/>
      <c r="AC138" s="25"/>
      <c r="AD138" s="25"/>
      <c r="AE138" s="25"/>
    </row>
    <row r="139" ht="12.0" customHeight="1">
      <c r="A139" s="30"/>
      <c r="B139" s="24"/>
      <c r="C139" s="28"/>
      <c r="D139" s="28"/>
      <c r="E139" s="29"/>
      <c r="F139" s="29"/>
      <c r="G139" s="29"/>
      <c r="H139" s="29"/>
      <c r="I139" s="28"/>
      <c r="J139" s="29"/>
      <c r="K139" s="29"/>
      <c r="L139" s="28"/>
      <c r="M139" s="28"/>
      <c r="N139" s="29"/>
      <c r="O139" s="29"/>
      <c r="P139" s="29"/>
      <c r="Q139" s="29"/>
      <c r="R139" s="28"/>
      <c r="S139" s="28"/>
      <c r="T139" s="28"/>
      <c r="U139" s="29"/>
      <c r="V139" s="24"/>
      <c r="W139" s="24"/>
      <c r="X139" s="24"/>
      <c r="Y139" s="24"/>
      <c r="Z139" s="24"/>
      <c r="AA139" s="24"/>
      <c r="AB139" s="24"/>
      <c r="AC139" s="25"/>
      <c r="AD139" s="25"/>
      <c r="AE139" s="25"/>
    </row>
    <row r="140" ht="12.0" customHeight="1">
      <c r="A140" s="30"/>
      <c r="B140" s="24"/>
      <c r="C140" s="28"/>
      <c r="D140" s="28"/>
      <c r="E140" s="29"/>
      <c r="F140" s="29"/>
      <c r="G140" s="29"/>
      <c r="H140" s="29"/>
      <c r="I140" s="28"/>
      <c r="J140" s="29"/>
      <c r="K140" s="29"/>
      <c r="L140" s="28"/>
      <c r="M140" s="28"/>
      <c r="N140" s="29"/>
      <c r="O140" s="29"/>
      <c r="P140" s="29"/>
      <c r="Q140" s="29"/>
      <c r="R140" s="28"/>
      <c r="S140" s="28"/>
      <c r="T140" s="28"/>
      <c r="U140" s="29"/>
      <c r="V140" s="24"/>
      <c r="W140" s="24"/>
      <c r="X140" s="24"/>
      <c r="Y140" s="24"/>
      <c r="Z140" s="24"/>
      <c r="AA140" s="24"/>
      <c r="AB140" s="24"/>
      <c r="AC140" s="25"/>
      <c r="AD140" s="25"/>
      <c r="AE140" s="25"/>
    </row>
    <row r="141" ht="12.0" customHeight="1">
      <c r="A141" s="28"/>
      <c r="B141" s="24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4"/>
      <c r="W141" s="24"/>
      <c r="X141" s="24"/>
      <c r="Y141" s="24"/>
      <c r="Z141" s="24"/>
      <c r="AA141" s="24"/>
      <c r="AB141" s="24"/>
      <c r="AC141" s="25"/>
      <c r="AD141" s="28"/>
      <c r="AE141" s="28"/>
    </row>
    <row r="142" ht="12.0" customHeight="1">
      <c r="A142" s="30"/>
      <c r="B142" s="24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4"/>
      <c r="W142" s="24"/>
      <c r="X142" s="24"/>
      <c r="Y142" s="24"/>
      <c r="Z142" s="24"/>
      <c r="AA142" s="24"/>
      <c r="AB142" s="24"/>
      <c r="AC142" s="25"/>
      <c r="AD142" s="28"/>
      <c r="AE142" s="25"/>
    </row>
    <row r="143" ht="12.0" customHeight="1">
      <c r="A143" s="30"/>
      <c r="B143" s="24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4"/>
      <c r="W143" s="24"/>
      <c r="X143" s="24"/>
      <c r="Y143" s="24"/>
      <c r="Z143" s="24"/>
      <c r="AA143" s="24"/>
      <c r="AB143" s="24"/>
      <c r="AC143" s="25"/>
      <c r="AD143" s="28"/>
      <c r="AE143" s="25"/>
    </row>
    <row r="144" ht="12.0" customHeight="1">
      <c r="A144" s="30"/>
      <c r="B144" s="24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4"/>
      <c r="W144" s="24"/>
      <c r="X144" s="24"/>
      <c r="Y144" s="24"/>
      <c r="Z144" s="24"/>
      <c r="AA144" s="24"/>
      <c r="AB144" s="24"/>
      <c r="AC144" s="25"/>
      <c r="AD144" s="28"/>
      <c r="AE144" s="25"/>
    </row>
    <row r="145" ht="12.0" customHeight="1">
      <c r="A145" s="30"/>
      <c r="B145" s="24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4"/>
      <c r="W145" s="24"/>
      <c r="X145" s="24"/>
      <c r="Y145" s="24"/>
      <c r="Z145" s="24"/>
      <c r="AA145" s="24"/>
      <c r="AB145" s="24"/>
      <c r="AC145" s="25"/>
      <c r="AD145" s="28"/>
      <c r="AE145" s="25"/>
    </row>
    <row r="146" ht="12.0" customHeight="1">
      <c r="A146" s="30"/>
      <c r="B146" s="24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4"/>
      <c r="W146" s="24"/>
      <c r="X146" s="24"/>
      <c r="Y146" s="24"/>
      <c r="Z146" s="24"/>
      <c r="AA146" s="24"/>
      <c r="AB146" s="24"/>
      <c r="AC146" s="25"/>
      <c r="AD146" s="28"/>
      <c r="AE146" s="28"/>
    </row>
    <row r="147" ht="12.0" customHeight="1">
      <c r="A147" s="30"/>
      <c r="B147" s="24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4"/>
      <c r="W147" s="24"/>
      <c r="X147" s="24"/>
      <c r="Y147" s="24"/>
      <c r="Z147" s="24"/>
      <c r="AA147" s="24"/>
      <c r="AB147" s="24"/>
      <c r="AC147" s="25"/>
      <c r="AD147" s="28"/>
      <c r="AE147" s="25"/>
    </row>
    <row r="148" ht="12.0" customHeight="1">
      <c r="A148" s="30"/>
      <c r="B148" s="24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4"/>
      <c r="W148" s="24"/>
      <c r="X148" s="24"/>
      <c r="Y148" s="24"/>
      <c r="Z148" s="24"/>
      <c r="AA148" s="24"/>
      <c r="AB148" s="24"/>
      <c r="AC148" s="25"/>
      <c r="AD148" s="28"/>
      <c r="AE148" s="25"/>
    </row>
    <row r="149" ht="12.0" customHeight="1">
      <c r="A149" s="30"/>
      <c r="B149" s="24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4"/>
      <c r="W149" s="24"/>
      <c r="X149" s="24"/>
      <c r="Y149" s="24"/>
      <c r="Z149" s="24"/>
      <c r="AA149" s="24"/>
      <c r="AB149" s="24"/>
      <c r="AC149" s="25"/>
      <c r="AD149" s="28"/>
      <c r="AE149" s="25"/>
    </row>
    <row r="150" ht="12.0" customHeight="1">
      <c r="A150" s="30"/>
      <c r="B150" s="24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4"/>
      <c r="W150" s="24"/>
      <c r="X150" s="24"/>
      <c r="Y150" s="24"/>
      <c r="Z150" s="24"/>
      <c r="AA150" s="24"/>
      <c r="AB150" s="24"/>
      <c r="AC150" s="25"/>
      <c r="AD150" s="28"/>
      <c r="AE150" s="25"/>
    </row>
    <row r="151" ht="12.0" customHeight="1">
      <c r="A151" s="30"/>
      <c r="B151" s="24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4"/>
      <c r="W151" s="24"/>
      <c r="X151" s="24"/>
      <c r="Y151" s="24"/>
      <c r="Z151" s="24"/>
      <c r="AA151" s="24"/>
      <c r="AB151" s="24"/>
      <c r="AC151" s="25"/>
      <c r="AD151" s="28"/>
      <c r="AE151" s="25"/>
    </row>
    <row r="152" ht="12.0" customHeight="1">
      <c r="A152" s="30"/>
      <c r="B152" s="24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4"/>
      <c r="W152" s="24"/>
      <c r="X152" s="24"/>
      <c r="Y152" s="24"/>
      <c r="Z152" s="24"/>
      <c r="AA152" s="24"/>
      <c r="AB152" s="24"/>
      <c r="AC152" s="25"/>
      <c r="AD152" s="28"/>
      <c r="AE152" s="25"/>
    </row>
    <row r="153" ht="12.0" customHeight="1">
      <c r="A153" s="30"/>
      <c r="B153" s="24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4"/>
      <c r="W153" s="24"/>
      <c r="X153" s="24"/>
      <c r="Y153" s="24"/>
      <c r="Z153" s="24"/>
      <c r="AA153" s="24"/>
      <c r="AB153" s="24"/>
      <c r="AC153" s="25"/>
      <c r="AD153" s="28"/>
      <c r="AE153" s="25"/>
    </row>
    <row r="154" ht="12.0" customHeight="1">
      <c r="A154" s="30"/>
      <c r="B154" s="24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4"/>
      <c r="W154" s="24"/>
      <c r="X154" s="24"/>
      <c r="Y154" s="24"/>
      <c r="Z154" s="24"/>
      <c r="AA154" s="24"/>
      <c r="AB154" s="24"/>
      <c r="AC154" s="25"/>
      <c r="AD154" s="28"/>
      <c r="AE154" s="25"/>
    </row>
    <row r="155" ht="12.0" customHeight="1">
      <c r="A155" s="30"/>
      <c r="B155" s="24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4"/>
      <c r="W155" s="24"/>
      <c r="X155" s="24"/>
      <c r="Y155" s="24"/>
      <c r="Z155" s="24"/>
      <c r="AA155" s="24"/>
      <c r="AB155" s="24"/>
      <c r="AC155" s="25"/>
      <c r="AD155" s="28"/>
      <c r="AE155" s="25"/>
    </row>
    <row r="156" ht="12.0" customHeight="1">
      <c r="A156" s="32"/>
      <c r="B156" s="24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4"/>
      <c r="W156" s="24"/>
      <c r="X156" s="24"/>
      <c r="Y156" s="24"/>
      <c r="Z156" s="24"/>
      <c r="AA156" s="24"/>
      <c r="AB156" s="24"/>
      <c r="AC156" s="25"/>
      <c r="AD156" s="28"/>
      <c r="AE156" s="25"/>
    </row>
    <row r="157" ht="12.0" customHeight="1">
      <c r="A157" s="30"/>
      <c r="B157" s="24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4"/>
      <c r="W157" s="24"/>
      <c r="X157" s="24"/>
      <c r="Y157" s="24"/>
      <c r="Z157" s="24"/>
      <c r="AA157" s="24"/>
      <c r="AB157" s="24"/>
      <c r="AC157" s="25"/>
      <c r="AD157" s="28"/>
      <c r="AE157" s="25"/>
    </row>
    <row r="158" ht="12.0" customHeight="1">
      <c r="A158" s="30"/>
      <c r="B158" s="24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4"/>
      <c r="W158" s="24"/>
      <c r="X158" s="24"/>
      <c r="Y158" s="24"/>
      <c r="Z158" s="24"/>
      <c r="AA158" s="24"/>
      <c r="AB158" s="24"/>
      <c r="AC158" s="25"/>
      <c r="AD158" s="28"/>
      <c r="AE158" s="25"/>
    </row>
    <row r="159" ht="12.0" customHeight="1">
      <c r="A159" s="28"/>
      <c r="B159" s="24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4"/>
      <c r="W159" s="24"/>
      <c r="X159" s="24"/>
      <c r="Y159" s="24"/>
      <c r="Z159" s="24"/>
      <c r="AA159" s="24"/>
      <c r="AB159" s="24"/>
      <c r="AC159" s="25"/>
      <c r="AD159" s="28"/>
      <c r="AE159" s="28"/>
    </row>
    <row r="160" ht="12.0" customHeight="1">
      <c r="A160" s="30"/>
      <c r="B160" s="24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4"/>
      <c r="W160" s="24"/>
      <c r="X160" s="24"/>
      <c r="Y160" s="24"/>
      <c r="Z160" s="24"/>
      <c r="AA160" s="24"/>
      <c r="AB160" s="24"/>
      <c r="AC160" s="25"/>
      <c r="AD160" s="28"/>
      <c r="AE160" s="25"/>
    </row>
    <row r="161" ht="12.0" customHeight="1">
      <c r="A161" s="30"/>
      <c r="B161" s="24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4"/>
      <c r="W161" s="24"/>
      <c r="X161" s="24"/>
      <c r="Y161" s="24"/>
      <c r="Z161" s="24"/>
      <c r="AA161" s="24"/>
      <c r="AB161" s="24"/>
      <c r="AC161" s="25"/>
      <c r="AD161" s="28"/>
      <c r="AE161" s="25"/>
    </row>
    <row r="162" ht="12.0" customHeight="1">
      <c r="A162" s="30"/>
      <c r="B162" s="24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4"/>
      <c r="W162" s="24"/>
      <c r="X162" s="24"/>
      <c r="Y162" s="24"/>
      <c r="Z162" s="24"/>
      <c r="AA162" s="24"/>
      <c r="AB162" s="24"/>
      <c r="AC162" s="25"/>
      <c r="AD162" s="28"/>
      <c r="AE162" s="25"/>
    </row>
    <row r="163" ht="12.0" customHeight="1">
      <c r="A163" s="30"/>
      <c r="B163" s="24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4"/>
      <c r="W163" s="24"/>
      <c r="X163" s="24"/>
      <c r="Y163" s="24"/>
      <c r="Z163" s="24"/>
      <c r="AA163" s="24"/>
      <c r="AB163" s="24"/>
      <c r="AC163" s="25"/>
      <c r="AD163" s="28"/>
      <c r="AE163" s="25"/>
    </row>
    <row r="164" ht="12.0" customHeight="1">
      <c r="A164" s="30"/>
      <c r="B164" s="24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4"/>
      <c r="W164" s="24"/>
      <c r="X164" s="24"/>
      <c r="Y164" s="24"/>
      <c r="Z164" s="24"/>
      <c r="AA164" s="24"/>
      <c r="AB164" s="24"/>
      <c r="AC164" s="25"/>
      <c r="AD164" s="28"/>
      <c r="AE164" s="25"/>
    </row>
    <row r="165" ht="12.0" customHeight="1">
      <c r="A165" s="30"/>
      <c r="B165" s="24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4"/>
      <c r="W165" s="24"/>
      <c r="X165" s="24"/>
      <c r="Y165" s="24"/>
      <c r="Z165" s="24"/>
      <c r="AA165" s="24"/>
      <c r="AB165" s="24"/>
      <c r="AC165" s="25"/>
      <c r="AD165" s="28"/>
      <c r="AE165" s="25"/>
    </row>
    <row r="166" ht="12.0" customHeight="1">
      <c r="A166" s="30"/>
      <c r="B166" s="24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4"/>
      <c r="W166" s="24"/>
      <c r="X166" s="24"/>
      <c r="Y166" s="24"/>
      <c r="Z166" s="24"/>
      <c r="AA166" s="24"/>
      <c r="AB166" s="24"/>
      <c r="AC166" s="25"/>
      <c r="AD166" s="28"/>
      <c r="AE166" s="25"/>
    </row>
    <row r="167" ht="12.0" customHeight="1">
      <c r="A167" s="30"/>
      <c r="B167" s="24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4"/>
      <c r="W167" s="24"/>
      <c r="X167" s="24"/>
      <c r="Y167" s="24"/>
      <c r="Z167" s="24"/>
      <c r="AA167" s="24"/>
      <c r="AB167" s="24"/>
      <c r="AC167" s="25"/>
      <c r="AD167" s="28"/>
      <c r="AE167" s="25"/>
    </row>
    <row r="168" ht="12.0" customHeight="1">
      <c r="A168" s="30"/>
      <c r="B168" s="24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4"/>
      <c r="W168" s="24"/>
      <c r="X168" s="24"/>
      <c r="Y168" s="24"/>
      <c r="Z168" s="24"/>
      <c r="AA168" s="24"/>
      <c r="AB168" s="24"/>
      <c r="AC168" s="25"/>
      <c r="AD168" s="28"/>
      <c r="AE168" s="25"/>
    </row>
    <row r="169" ht="12.0" customHeight="1">
      <c r="A169" s="30"/>
      <c r="B169" s="24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4"/>
      <c r="W169" s="24"/>
      <c r="X169" s="24"/>
      <c r="Y169" s="24"/>
      <c r="Z169" s="24"/>
      <c r="AA169" s="24"/>
      <c r="AB169" s="24"/>
      <c r="AC169" s="25"/>
      <c r="AD169" s="28"/>
      <c r="AE169" s="25"/>
    </row>
    <row r="170" ht="12.0" customHeight="1">
      <c r="A170" s="30"/>
      <c r="B170" s="24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4"/>
      <c r="W170" s="24"/>
      <c r="X170" s="24"/>
      <c r="Y170" s="24"/>
      <c r="Z170" s="24"/>
      <c r="AA170" s="24"/>
      <c r="AB170" s="24"/>
      <c r="AC170" s="25"/>
      <c r="AD170" s="28"/>
      <c r="AE170" s="25"/>
    </row>
    <row r="171" ht="12.0" customHeight="1">
      <c r="A171" s="30"/>
      <c r="B171" s="24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4"/>
      <c r="W171" s="24"/>
      <c r="X171" s="24"/>
      <c r="Y171" s="24"/>
      <c r="Z171" s="24"/>
      <c r="AA171" s="24"/>
      <c r="AB171" s="24"/>
      <c r="AC171" s="25"/>
      <c r="AD171" s="28"/>
      <c r="AE171" s="25"/>
    </row>
    <row r="172" ht="12.0" customHeight="1">
      <c r="A172" s="30"/>
      <c r="B172" s="24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4"/>
      <c r="W172" s="24"/>
      <c r="X172" s="24"/>
      <c r="Y172" s="24"/>
      <c r="Z172" s="24"/>
      <c r="AA172" s="24"/>
      <c r="AB172" s="24"/>
      <c r="AC172" s="25"/>
      <c r="AD172" s="28"/>
      <c r="AE172" s="25"/>
    </row>
    <row r="173" ht="12.0" customHeight="1">
      <c r="A173" s="30"/>
      <c r="B173" s="24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4"/>
      <c r="W173" s="24"/>
      <c r="X173" s="24"/>
      <c r="Y173" s="24"/>
      <c r="Z173" s="24"/>
      <c r="AA173" s="24"/>
      <c r="AB173" s="24"/>
      <c r="AC173" s="25"/>
      <c r="AD173" s="28"/>
      <c r="AE173" s="25"/>
    </row>
    <row r="174" ht="12.0" customHeight="1">
      <c r="A174" s="32"/>
      <c r="B174" s="24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4"/>
      <c r="W174" s="24"/>
      <c r="X174" s="24"/>
      <c r="Y174" s="24"/>
      <c r="Z174" s="24"/>
      <c r="AA174" s="24"/>
      <c r="AB174" s="24"/>
      <c r="AC174" s="25"/>
      <c r="AD174" s="28"/>
      <c r="AE174" s="25"/>
    </row>
    <row r="175" ht="12.0" customHeight="1">
      <c r="A175" s="30"/>
      <c r="B175" s="24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4"/>
      <c r="W175" s="24"/>
      <c r="X175" s="24"/>
      <c r="Y175" s="24"/>
      <c r="Z175" s="24"/>
      <c r="AA175" s="24"/>
      <c r="AB175" s="24"/>
      <c r="AC175" s="25"/>
      <c r="AD175" s="28"/>
      <c r="AE175" s="25"/>
    </row>
    <row r="176" ht="12.0" customHeight="1">
      <c r="A176" s="30"/>
      <c r="B176" s="24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4"/>
      <c r="W176" s="24"/>
      <c r="X176" s="24"/>
      <c r="Y176" s="24"/>
      <c r="Z176" s="24"/>
      <c r="AA176" s="24"/>
      <c r="AB176" s="24"/>
      <c r="AC176" s="25"/>
      <c r="AD176" s="28"/>
      <c r="AE176" s="25"/>
    </row>
    <row r="177" ht="12.0" customHeight="1">
      <c r="A177" s="28"/>
      <c r="B177" s="24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4"/>
      <c r="W177" s="24"/>
      <c r="X177" s="24"/>
      <c r="Y177" s="24"/>
      <c r="Z177" s="24"/>
      <c r="AA177" s="24"/>
      <c r="AB177" s="24"/>
      <c r="AC177" s="25"/>
      <c r="AD177" s="28"/>
      <c r="AE177" s="28"/>
    </row>
    <row r="178" ht="12.0" customHeight="1">
      <c r="A178" s="30"/>
      <c r="B178" s="24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4"/>
      <c r="W178" s="24"/>
      <c r="X178" s="24"/>
      <c r="Y178" s="24"/>
      <c r="Z178" s="24"/>
      <c r="AA178" s="24"/>
      <c r="AB178" s="24"/>
      <c r="AC178" s="25"/>
      <c r="AD178" s="28"/>
      <c r="AE178" s="25"/>
    </row>
    <row r="179" ht="12.0" customHeight="1">
      <c r="A179" s="30"/>
      <c r="B179" s="24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4"/>
      <c r="W179" s="24"/>
      <c r="X179" s="24"/>
      <c r="Y179" s="24"/>
      <c r="Z179" s="24"/>
      <c r="AA179" s="24"/>
      <c r="AB179" s="24"/>
      <c r="AC179" s="25"/>
      <c r="AD179" s="28"/>
      <c r="AE179" s="25"/>
    </row>
    <row r="180" ht="12.0" customHeight="1">
      <c r="A180" s="30"/>
      <c r="B180" s="24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4"/>
      <c r="W180" s="24"/>
      <c r="X180" s="24"/>
      <c r="Y180" s="24"/>
      <c r="Z180" s="24"/>
      <c r="AA180" s="24"/>
      <c r="AB180" s="24"/>
      <c r="AC180" s="25"/>
      <c r="AD180" s="28"/>
      <c r="AE180" s="25"/>
    </row>
    <row r="181" ht="12.0" customHeight="1">
      <c r="A181" s="30"/>
      <c r="B181" s="24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4"/>
      <c r="W181" s="24"/>
      <c r="X181" s="24"/>
      <c r="Y181" s="24"/>
      <c r="Z181" s="24"/>
      <c r="AA181" s="24"/>
      <c r="AB181" s="24"/>
      <c r="AC181" s="25"/>
      <c r="AD181" s="28"/>
      <c r="AE181" s="25"/>
    </row>
    <row r="182" ht="12.0" customHeight="1">
      <c r="A182" s="30"/>
      <c r="B182" s="24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4"/>
      <c r="W182" s="24"/>
      <c r="X182" s="24"/>
      <c r="Y182" s="24"/>
      <c r="Z182" s="24"/>
      <c r="AA182" s="24"/>
      <c r="AB182" s="24"/>
      <c r="AC182" s="25"/>
      <c r="AD182" s="28"/>
      <c r="AE182" s="25"/>
    </row>
    <row r="183" ht="12.0" customHeight="1">
      <c r="A183" s="30"/>
      <c r="B183" s="24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4"/>
      <c r="W183" s="24"/>
      <c r="X183" s="24"/>
      <c r="Y183" s="24"/>
      <c r="Z183" s="24"/>
      <c r="AA183" s="24"/>
      <c r="AB183" s="24"/>
      <c r="AC183" s="25"/>
      <c r="AD183" s="28"/>
      <c r="AE183" s="25"/>
    </row>
    <row r="184" ht="12.0" customHeight="1">
      <c r="A184" s="30"/>
      <c r="B184" s="24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4"/>
      <c r="W184" s="24"/>
      <c r="X184" s="24"/>
      <c r="Y184" s="24"/>
      <c r="Z184" s="24"/>
      <c r="AA184" s="24"/>
      <c r="AB184" s="24"/>
      <c r="AC184" s="25"/>
      <c r="AD184" s="28"/>
      <c r="AE184" s="25"/>
    </row>
    <row r="185" ht="12.0" customHeight="1">
      <c r="A185" s="28"/>
      <c r="B185" s="24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4"/>
      <c r="W185" s="24"/>
      <c r="X185" s="24"/>
      <c r="Y185" s="24"/>
      <c r="Z185" s="24"/>
      <c r="AA185" s="24"/>
      <c r="AB185" s="24"/>
      <c r="AC185" s="25"/>
      <c r="AD185" s="28"/>
      <c r="AE185" s="28"/>
    </row>
    <row r="186" ht="12.0" customHeight="1">
      <c r="A186" s="25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5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5"/>
      <c r="AD186" s="25"/>
      <c r="AE186" s="24"/>
    </row>
    <row r="187" ht="12.0" customHeight="1">
      <c r="A187" s="25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5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5"/>
      <c r="AD187" s="25"/>
      <c r="AE187" s="24"/>
    </row>
    <row r="188" ht="12.0" customHeight="1">
      <c r="A188" s="25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5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5"/>
      <c r="AD188" s="25"/>
      <c r="AE188" s="24"/>
    </row>
    <row r="189" ht="12.0" customHeight="1">
      <c r="A189" s="25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5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5"/>
      <c r="AD189" s="25"/>
      <c r="AE189" s="24"/>
    </row>
    <row r="190" ht="12.0" customHeight="1">
      <c r="A190" s="25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5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5"/>
      <c r="AD190" s="25"/>
      <c r="AE190" s="24"/>
    </row>
    <row r="191" ht="12.0" customHeight="1">
      <c r="A191" s="25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5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5"/>
      <c r="AD191" s="25"/>
      <c r="AE191" s="24"/>
    </row>
    <row r="192" ht="12.0" customHeight="1">
      <c r="A192" s="25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5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5"/>
      <c r="AD192" s="25"/>
      <c r="AE192" s="24"/>
    </row>
    <row r="193" ht="12.0" customHeight="1">
      <c r="A193" s="25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5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5"/>
      <c r="AD193" s="25"/>
      <c r="AE193" s="24"/>
    </row>
    <row r="194" ht="12.0" customHeight="1">
      <c r="A194" s="25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5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5"/>
      <c r="AD194" s="25"/>
      <c r="AE194" s="24"/>
    </row>
    <row r="195" ht="12.0" customHeight="1">
      <c r="A195" s="25"/>
      <c r="B195" s="24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4"/>
      <c r="W195" s="24"/>
      <c r="X195" s="24"/>
      <c r="Y195" s="24"/>
      <c r="Z195" s="24"/>
      <c r="AA195" s="24"/>
      <c r="AB195" s="24"/>
      <c r="AC195" s="25"/>
      <c r="AD195" s="29"/>
      <c r="AE195" s="28"/>
    </row>
    <row r="196" ht="12.0" customHeight="1">
      <c r="A196" s="25"/>
      <c r="B196" s="24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4"/>
      <c r="W196" s="24"/>
      <c r="X196" s="24"/>
      <c r="Y196" s="24"/>
      <c r="Z196" s="24"/>
      <c r="AA196" s="24"/>
      <c r="AB196" s="24"/>
      <c r="AC196" s="25"/>
      <c r="AD196" s="29"/>
      <c r="AE196" s="28"/>
    </row>
    <row r="197" ht="12.0" customHeight="1">
      <c r="A197" s="25"/>
      <c r="B197" s="24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4"/>
      <c r="W197" s="24"/>
      <c r="X197" s="24"/>
      <c r="Y197" s="24"/>
      <c r="Z197" s="24"/>
      <c r="AA197" s="24"/>
      <c r="AB197" s="24"/>
      <c r="AC197" s="25"/>
      <c r="AD197" s="29"/>
      <c r="AE197" s="28"/>
    </row>
    <row r="198" ht="12.0" customHeight="1">
      <c r="A198" s="26"/>
      <c r="B198" s="24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4"/>
      <c r="W198" s="24"/>
      <c r="X198" s="24"/>
      <c r="Y198" s="24"/>
      <c r="Z198" s="24"/>
      <c r="AA198" s="24"/>
      <c r="AB198" s="24"/>
      <c r="AC198" s="25"/>
      <c r="AD198" s="29"/>
      <c r="AE198" s="28"/>
    </row>
    <row r="199" ht="12.0" customHeight="1">
      <c r="A199" s="28"/>
      <c r="B199" s="24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4"/>
      <c r="W199" s="24"/>
      <c r="X199" s="24"/>
      <c r="Y199" s="24"/>
      <c r="Z199" s="24"/>
      <c r="AA199" s="24"/>
      <c r="AB199" s="24"/>
      <c r="AC199" s="25"/>
      <c r="AD199" s="29"/>
      <c r="AE199" s="28"/>
    </row>
    <row r="200" ht="12.0" customHeight="1">
      <c r="A200" s="29"/>
      <c r="B200" s="24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9"/>
      <c r="R200" s="28"/>
      <c r="S200" s="28"/>
      <c r="T200" s="28"/>
      <c r="U200" s="28"/>
      <c r="V200" s="24"/>
      <c r="W200" s="24"/>
      <c r="X200" s="24"/>
      <c r="Y200" s="24"/>
      <c r="Z200" s="24"/>
      <c r="AA200" s="24"/>
      <c r="AB200" s="24"/>
      <c r="AC200" s="25"/>
      <c r="AD200" s="29"/>
      <c r="AE200" s="28"/>
    </row>
    <row r="201" ht="12.0" customHeight="1">
      <c r="A201" s="29"/>
      <c r="B201" s="24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9"/>
      <c r="R201" s="28"/>
      <c r="S201" s="28"/>
      <c r="T201" s="28"/>
      <c r="U201" s="28"/>
      <c r="V201" s="24"/>
      <c r="W201" s="24"/>
      <c r="X201" s="24"/>
      <c r="Y201" s="24"/>
      <c r="Z201" s="24"/>
      <c r="AA201" s="24"/>
      <c r="AB201" s="24"/>
      <c r="AC201" s="25"/>
      <c r="AD201" s="29"/>
      <c r="AE201" s="28"/>
    </row>
    <row r="202" ht="12.0" customHeight="1">
      <c r="A202" s="29"/>
      <c r="B202" s="24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9"/>
      <c r="R202" s="28"/>
      <c r="S202" s="28"/>
      <c r="T202" s="28"/>
      <c r="U202" s="28"/>
      <c r="V202" s="24"/>
      <c r="W202" s="24"/>
      <c r="X202" s="24"/>
      <c r="Y202" s="24"/>
      <c r="Z202" s="24"/>
      <c r="AA202" s="24"/>
      <c r="AB202" s="24"/>
      <c r="AC202" s="25"/>
      <c r="AD202" s="29"/>
      <c r="AE202" s="28"/>
    </row>
    <row r="203" ht="12.0" customHeight="1">
      <c r="A203" s="29"/>
      <c r="B203" s="24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9"/>
      <c r="R203" s="28"/>
      <c r="S203" s="28"/>
      <c r="T203" s="28"/>
      <c r="U203" s="28"/>
      <c r="V203" s="24"/>
      <c r="W203" s="24"/>
      <c r="X203" s="24"/>
      <c r="Y203" s="24"/>
      <c r="Z203" s="24"/>
      <c r="AA203" s="24"/>
      <c r="AB203" s="24"/>
      <c r="AC203" s="25"/>
      <c r="AD203" s="29"/>
      <c r="AE203" s="28"/>
    </row>
    <row r="204" ht="12.0" customHeight="1">
      <c r="A204" s="29"/>
      <c r="B204" s="24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9"/>
      <c r="R204" s="28"/>
      <c r="S204" s="28"/>
      <c r="T204" s="28"/>
      <c r="U204" s="28"/>
      <c r="V204" s="24"/>
      <c r="W204" s="24"/>
      <c r="X204" s="24"/>
      <c r="Y204" s="24"/>
      <c r="Z204" s="24"/>
      <c r="AA204" s="24"/>
      <c r="AB204" s="24"/>
      <c r="AC204" s="25"/>
      <c r="AD204" s="29"/>
      <c r="AE204" s="28"/>
    </row>
    <row r="205" ht="12.0" customHeight="1">
      <c r="A205" s="29"/>
      <c r="B205" s="24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9"/>
      <c r="R205" s="28"/>
      <c r="S205" s="28"/>
      <c r="T205" s="28"/>
      <c r="U205" s="28"/>
      <c r="V205" s="24"/>
      <c r="W205" s="24"/>
      <c r="X205" s="24"/>
      <c r="Y205" s="24"/>
      <c r="Z205" s="24"/>
      <c r="AA205" s="24"/>
      <c r="AB205" s="24"/>
      <c r="AC205" s="25"/>
      <c r="AD205" s="29"/>
      <c r="AE205" s="28"/>
    </row>
    <row r="206" ht="12.0" customHeight="1">
      <c r="A206" s="29"/>
      <c r="B206" s="24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9"/>
      <c r="R206" s="28"/>
      <c r="S206" s="28"/>
      <c r="T206" s="28"/>
      <c r="U206" s="28"/>
      <c r="V206" s="24"/>
      <c r="W206" s="24"/>
      <c r="X206" s="24"/>
      <c r="Y206" s="24"/>
      <c r="Z206" s="24"/>
      <c r="AA206" s="24"/>
      <c r="AB206" s="24"/>
      <c r="AC206" s="25"/>
      <c r="AD206" s="29"/>
      <c r="AE206" s="28"/>
    </row>
    <row r="207" ht="12.0" customHeight="1">
      <c r="A207" s="29"/>
      <c r="B207" s="24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9"/>
      <c r="R207" s="28"/>
      <c r="S207" s="28"/>
      <c r="T207" s="28"/>
      <c r="U207" s="28"/>
      <c r="V207" s="24"/>
      <c r="W207" s="24"/>
      <c r="X207" s="24"/>
      <c r="Y207" s="24"/>
      <c r="Z207" s="24"/>
      <c r="AA207" s="24"/>
      <c r="AB207" s="24"/>
      <c r="AC207" s="25"/>
      <c r="AD207" s="29"/>
      <c r="AE207" s="28"/>
    </row>
    <row r="208" ht="12.0" customHeight="1">
      <c r="A208" s="29"/>
      <c r="B208" s="24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9"/>
      <c r="R208" s="28"/>
      <c r="S208" s="28"/>
      <c r="T208" s="28"/>
      <c r="U208" s="28"/>
      <c r="V208" s="24"/>
      <c r="W208" s="24"/>
      <c r="X208" s="24"/>
      <c r="Y208" s="24"/>
      <c r="Z208" s="24"/>
      <c r="AA208" s="24"/>
      <c r="AB208" s="24"/>
      <c r="AC208" s="25"/>
      <c r="AD208" s="29"/>
      <c r="AE208" s="28"/>
    </row>
    <row r="209" ht="12.0" customHeight="1">
      <c r="A209" s="29"/>
      <c r="B209" s="24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9"/>
      <c r="R209" s="28"/>
      <c r="S209" s="28"/>
      <c r="T209" s="28"/>
      <c r="U209" s="28"/>
      <c r="V209" s="24"/>
      <c r="W209" s="24"/>
      <c r="X209" s="24"/>
      <c r="Y209" s="24"/>
      <c r="Z209" s="24"/>
      <c r="AA209" s="24"/>
      <c r="AB209" s="24"/>
      <c r="AC209" s="25"/>
      <c r="AD209" s="29"/>
      <c r="AE209" s="28"/>
    </row>
    <row r="210" ht="12.0" customHeight="1">
      <c r="A210" s="29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5"/>
      <c r="AD210" s="25"/>
      <c r="AE210" s="24"/>
    </row>
    <row r="211" ht="12.0" customHeight="1">
      <c r="A211" s="29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5"/>
      <c r="AD211" s="25"/>
      <c r="AE211" s="24"/>
    </row>
    <row r="212" ht="12.0" customHeight="1">
      <c r="A212" s="29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5"/>
      <c r="AD212" s="25"/>
      <c r="AE212" s="24"/>
    </row>
    <row r="213" ht="12.0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5"/>
      <c r="AD213" s="25"/>
      <c r="AE213" s="24"/>
    </row>
    <row r="214" ht="12.0" customHeight="1">
      <c r="A214" s="25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5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5"/>
      <c r="AD214" s="25"/>
      <c r="AE214" s="24"/>
    </row>
    <row r="215" ht="12.0" customHeight="1">
      <c r="A215" s="25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5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5"/>
      <c r="AD215" s="25"/>
      <c r="AE215" s="24"/>
    </row>
    <row r="216" ht="12.0" customHeight="1">
      <c r="A216" s="25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5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5"/>
      <c r="AD216" s="25"/>
      <c r="AE216" s="24"/>
    </row>
    <row r="217" ht="12.0" customHeight="1">
      <c r="A217" s="25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5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5"/>
      <c r="AD217" s="25"/>
      <c r="AE217" s="24"/>
    </row>
    <row r="218" ht="12.0" customHeight="1">
      <c r="A218" s="25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5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5"/>
      <c r="AD218" s="25"/>
      <c r="AE218" s="24"/>
    </row>
    <row r="219" ht="12.0" customHeight="1">
      <c r="A219" s="25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5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5"/>
      <c r="AD219" s="25"/>
      <c r="AE219" s="24"/>
    </row>
    <row r="220" ht="12.0" customHeight="1">
      <c r="A220" s="25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5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5"/>
      <c r="AD220" s="25"/>
      <c r="AE220" s="24"/>
    </row>
    <row r="221" ht="12.0" customHeight="1">
      <c r="A221" s="25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5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5"/>
      <c r="AD221" s="25"/>
      <c r="AE221" s="24"/>
    </row>
    <row r="222" ht="12.0" customHeight="1">
      <c r="A222" s="25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5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5"/>
      <c r="AD222" s="25"/>
      <c r="AE222" s="24"/>
    </row>
    <row r="223" ht="12.0" customHeight="1">
      <c r="A223" s="25"/>
      <c r="B223" s="24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4"/>
      <c r="W223" s="24"/>
      <c r="X223" s="24"/>
      <c r="Y223" s="24"/>
      <c r="Z223" s="24"/>
      <c r="AA223" s="24"/>
      <c r="AB223" s="24"/>
      <c r="AC223" s="25"/>
      <c r="AD223" s="29"/>
      <c r="AE223" s="29"/>
    </row>
    <row r="224" ht="12.0" customHeight="1">
      <c r="A224" s="25"/>
      <c r="B224" s="24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4"/>
      <c r="W224" s="24"/>
      <c r="X224" s="24"/>
      <c r="Y224" s="24"/>
      <c r="Z224" s="24"/>
      <c r="AA224" s="24"/>
      <c r="AB224" s="24"/>
      <c r="AC224" s="25"/>
      <c r="AD224" s="29"/>
      <c r="AE224" s="29"/>
    </row>
    <row r="225" ht="12.0" customHeight="1">
      <c r="A225" s="25"/>
      <c r="B225" s="24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4"/>
      <c r="W225" s="24"/>
      <c r="X225" s="24"/>
      <c r="Y225" s="24"/>
      <c r="Z225" s="24"/>
      <c r="AA225" s="24"/>
      <c r="AB225" s="24"/>
      <c r="AC225" s="25"/>
      <c r="AD225" s="29"/>
      <c r="AE225" s="29"/>
    </row>
    <row r="226" ht="12.0" customHeight="1">
      <c r="A226" s="28"/>
      <c r="B226" s="24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4"/>
      <c r="W226" s="24"/>
      <c r="X226" s="24"/>
      <c r="Y226" s="24"/>
      <c r="Z226" s="24"/>
      <c r="AA226" s="24"/>
      <c r="AB226" s="24"/>
      <c r="AC226" s="25"/>
      <c r="AD226" s="29"/>
      <c r="AE226" s="28"/>
    </row>
    <row r="227" ht="12.0" customHeight="1">
      <c r="A227" s="29"/>
      <c r="B227" s="24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9"/>
      <c r="R227" s="28"/>
      <c r="S227" s="28"/>
      <c r="T227" s="28"/>
      <c r="U227" s="28"/>
      <c r="V227" s="24"/>
      <c r="W227" s="24"/>
      <c r="X227" s="24"/>
      <c r="Y227" s="24"/>
      <c r="Z227" s="24"/>
      <c r="AA227" s="24"/>
      <c r="AB227" s="24"/>
      <c r="AC227" s="25"/>
      <c r="AD227" s="29"/>
      <c r="AE227" s="28"/>
    </row>
    <row r="228" ht="12.0" customHeight="1">
      <c r="A228" s="29"/>
      <c r="B228" s="24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9"/>
      <c r="R228" s="28"/>
      <c r="S228" s="28"/>
      <c r="T228" s="28"/>
      <c r="U228" s="28"/>
      <c r="V228" s="24"/>
      <c r="W228" s="24"/>
      <c r="X228" s="24"/>
      <c r="Y228" s="24"/>
      <c r="Z228" s="24"/>
      <c r="AA228" s="24"/>
      <c r="AB228" s="24"/>
      <c r="AC228" s="25"/>
      <c r="AD228" s="29"/>
      <c r="AE228" s="28"/>
    </row>
    <row r="229" ht="12.0" customHeight="1">
      <c r="A229" s="29"/>
      <c r="B229" s="24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9"/>
      <c r="R229" s="28"/>
      <c r="S229" s="28"/>
      <c r="T229" s="28"/>
      <c r="U229" s="28"/>
      <c r="V229" s="24"/>
      <c r="W229" s="24"/>
      <c r="X229" s="24"/>
      <c r="Y229" s="24"/>
      <c r="Z229" s="24"/>
      <c r="AA229" s="24"/>
      <c r="AB229" s="24"/>
      <c r="AC229" s="25"/>
      <c r="AD229" s="29"/>
      <c r="AE229" s="28"/>
    </row>
    <row r="230" ht="12.0" customHeight="1">
      <c r="A230" s="29"/>
      <c r="B230" s="24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9"/>
      <c r="R230" s="28"/>
      <c r="S230" s="28"/>
      <c r="T230" s="28"/>
      <c r="U230" s="28"/>
      <c r="V230" s="24"/>
      <c r="W230" s="24"/>
      <c r="X230" s="24"/>
      <c r="Y230" s="24"/>
      <c r="Z230" s="24"/>
      <c r="AA230" s="24"/>
      <c r="AB230" s="24"/>
      <c r="AC230" s="25"/>
      <c r="AD230" s="29"/>
      <c r="AE230" s="28"/>
    </row>
    <row r="231" ht="12.0" customHeight="1">
      <c r="A231" s="29"/>
      <c r="B231" s="24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9"/>
      <c r="R231" s="28"/>
      <c r="S231" s="28"/>
      <c r="T231" s="28"/>
      <c r="U231" s="28"/>
      <c r="V231" s="24"/>
      <c r="W231" s="24"/>
      <c r="X231" s="24"/>
      <c r="Y231" s="24"/>
      <c r="Z231" s="24"/>
      <c r="AA231" s="24"/>
      <c r="AB231" s="24"/>
      <c r="AC231" s="25"/>
      <c r="AD231" s="29"/>
      <c r="AE231" s="28"/>
    </row>
    <row r="232" ht="12.0" customHeight="1">
      <c r="A232" s="29"/>
      <c r="B232" s="24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9"/>
      <c r="R232" s="28"/>
      <c r="S232" s="28"/>
      <c r="T232" s="28"/>
      <c r="U232" s="28"/>
      <c r="V232" s="24"/>
      <c r="W232" s="24"/>
      <c r="X232" s="24"/>
      <c r="Y232" s="24"/>
      <c r="Z232" s="24"/>
      <c r="AA232" s="24"/>
      <c r="AB232" s="24"/>
      <c r="AC232" s="25"/>
      <c r="AD232" s="29"/>
      <c r="AE232" s="28"/>
    </row>
    <row r="233" ht="12.0" customHeight="1">
      <c r="A233" s="29"/>
      <c r="B233" s="24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9"/>
      <c r="R233" s="28"/>
      <c r="S233" s="28"/>
      <c r="T233" s="28"/>
      <c r="U233" s="28"/>
      <c r="V233" s="24"/>
      <c r="W233" s="24"/>
      <c r="X233" s="24"/>
      <c r="Y233" s="24"/>
      <c r="Z233" s="24"/>
      <c r="AA233" s="24"/>
      <c r="AB233" s="24"/>
      <c r="AC233" s="25"/>
      <c r="AD233" s="29"/>
      <c r="AE233" s="28"/>
    </row>
    <row r="234" ht="12.0" customHeight="1">
      <c r="A234" s="29"/>
      <c r="B234" s="24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9"/>
      <c r="R234" s="28"/>
      <c r="S234" s="28"/>
      <c r="T234" s="28"/>
      <c r="U234" s="28"/>
      <c r="V234" s="24"/>
      <c r="W234" s="24"/>
      <c r="X234" s="24"/>
      <c r="Y234" s="24"/>
      <c r="Z234" s="24"/>
      <c r="AA234" s="24"/>
      <c r="AB234" s="24"/>
      <c r="AC234" s="25"/>
      <c r="AD234" s="29"/>
      <c r="AE234" s="28"/>
    </row>
    <row r="235" ht="12.0" customHeight="1">
      <c r="A235" s="29"/>
      <c r="B235" s="24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9"/>
      <c r="R235" s="28"/>
      <c r="S235" s="28"/>
      <c r="T235" s="28"/>
      <c r="U235" s="28"/>
      <c r="V235" s="24"/>
      <c r="W235" s="24"/>
      <c r="X235" s="24"/>
      <c r="Y235" s="24"/>
      <c r="Z235" s="24"/>
      <c r="AA235" s="24"/>
      <c r="AB235" s="24"/>
      <c r="AC235" s="25"/>
      <c r="AD235" s="29"/>
      <c r="AE235" s="28"/>
    </row>
    <row r="236" ht="12.0" customHeight="1">
      <c r="A236" s="30"/>
      <c r="B236" s="24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4"/>
      <c r="W236" s="24"/>
      <c r="X236" s="24"/>
      <c r="Y236" s="24"/>
      <c r="Z236" s="24"/>
      <c r="AA236" s="24"/>
      <c r="AB236" s="24"/>
      <c r="AC236" s="25"/>
      <c r="AD236" s="29"/>
      <c r="AE236" s="29"/>
    </row>
    <row r="237" ht="12.0" customHeight="1">
      <c r="A237" s="30"/>
      <c r="B237" s="24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4"/>
      <c r="W237" s="24"/>
      <c r="X237" s="24"/>
      <c r="Y237" s="24"/>
      <c r="Z237" s="24"/>
      <c r="AA237" s="24"/>
      <c r="AB237" s="24"/>
      <c r="AC237" s="25"/>
      <c r="AD237" s="29"/>
      <c r="AE237" s="29"/>
    </row>
    <row r="238" ht="12.0" customHeight="1">
      <c r="A238" s="30"/>
      <c r="B238" s="24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4"/>
      <c r="W238" s="24"/>
      <c r="X238" s="24"/>
      <c r="Y238" s="24"/>
      <c r="Z238" s="24"/>
      <c r="AA238" s="24"/>
      <c r="AB238" s="24"/>
      <c r="AC238" s="25"/>
      <c r="AD238" s="29"/>
      <c r="AE238" s="29"/>
    </row>
    <row r="239" ht="12.0" customHeight="1">
      <c r="A239" s="30"/>
      <c r="B239" s="24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4"/>
      <c r="W239" s="24"/>
      <c r="X239" s="24"/>
      <c r="Y239" s="24"/>
      <c r="Z239" s="24"/>
      <c r="AA239" s="24"/>
      <c r="AB239" s="24"/>
      <c r="AC239" s="25"/>
      <c r="AD239" s="29"/>
      <c r="AE239" s="29"/>
    </row>
    <row r="240" ht="12.0" customHeight="1">
      <c r="A240" s="30"/>
      <c r="B240" s="24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4"/>
      <c r="W240" s="24"/>
      <c r="X240" s="24"/>
      <c r="Y240" s="24"/>
      <c r="Z240" s="24"/>
      <c r="AA240" s="24"/>
      <c r="AB240" s="24"/>
      <c r="AC240" s="25"/>
      <c r="AD240" s="29"/>
      <c r="AE240" s="29"/>
    </row>
    <row r="241" ht="12.0" customHeight="1">
      <c r="A241" s="30"/>
      <c r="B241" s="24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4"/>
      <c r="W241" s="24"/>
      <c r="X241" s="24"/>
      <c r="Y241" s="24"/>
      <c r="Z241" s="24"/>
      <c r="AA241" s="24"/>
      <c r="AB241" s="24"/>
      <c r="AC241" s="25"/>
      <c r="AD241" s="29"/>
      <c r="AE241" s="29"/>
    </row>
    <row r="242" ht="12.0" customHeight="1">
      <c r="A242" s="30"/>
      <c r="B242" s="24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4"/>
      <c r="W242" s="24"/>
      <c r="X242" s="24"/>
      <c r="Y242" s="24"/>
      <c r="Z242" s="24"/>
      <c r="AA242" s="24"/>
      <c r="AB242" s="24"/>
      <c r="AC242" s="25"/>
      <c r="AD242" s="29"/>
      <c r="AE242" s="29"/>
    </row>
    <row r="243" ht="12.0" customHeight="1">
      <c r="A243" s="30"/>
      <c r="B243" s="24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4"/>
      <c r="W243" s="24"/>
      <c r="X243" s="24"/>
      <c r="Y243" s="24"/>
      <c r="Z243" s="24"/>
      <c r="AA243" s="24"/>
      <c r="AB243" s="24"/>
      <c r="AC243" s="25"/>
      <c r="AD243" s="29"/>
      <c r="AE243" s="29"/>
    </row>
    <row r="244" ht="12.0" customHeight="1">
      <c r="A244" s="30"/>
      <c r="B244" s="24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4"/>
      <c r="W244" s="24"/>
      <c r="X244" s="24"/>
      <c r="Y244" s="24"/>
      <c r="Z244" s="24"/>
      <c r="AA244" s="24"/>
      <c r="AB244" s="24"/>
      <c r="AC244" s="25"/>
      <c r="AD244" s="29"/>
      <c r="AE244" s="29"/>
    </row>
    <row r="245" ht="12.0" customHeight="1">
      <c r="A245" s="30"/>
      <c r="B245" s="24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4"/>
      <c r="W245" s="24"/>
      <c r="X245" s="24"/>
      <c r="Y245" s="24"/>
      <c r="Z245" s="24"/>
      <c r="AA245" s="24"/>
      <c r="AB245" s="24"/>
      <c r="AC245" s="25"/>
      <c r="AD245" s="29"/>
      <c r="AE245" s="29"/>
    </row>
    <row r="246" ht="12.0" customHeight="1">
      <c r="A246" s="30"/>
      <c r="B246" s="24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4"/>
      <c r="W246" s="24"/>
      <c r="X246" s="24"/>
      <c r="Y246" s="24"/>
      <c r="Z246" s="24"/>
      <c r="AA246" s="24"/>
      <c r="AB246" s="24"/>
      <c r="AC246" s="25"/>
      <c r="AD246" s="29"/>
      <c r="AE246" s="29"/>
    </row>
    <row r="247" ht="12.0" customHeight="1">
      <c r="A247" s="30"/>
      <c r="B247" s="24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4"/>
      <c r="W247" s="24"/>
      <c r="X247" s="24"/>
      <c r="Y247" s="24"/>
      <c r="Z247" s="24"/>
      <c r="AA247" s="24"/>
      <c r="AB247" s="24"/>
      <c r="AC247" s="25"/>
      <c r="AD247" s="29"/>
      <c r="AE247" s="29"/>
    </row>
    <row r="248" ht="12.0" customHeight="1">
      <c r="A248" s="30"/>
      <c r="B248" s="24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4"/>
      <c r="W248" s="24"/>
      <c r="X248" s="24"/>
      <c r="Y248" s="24"/>
      <c r="Z248" s="24"/>
      <c r="AA248" s="24"/>
      <c r="AB248" s="24"/>
      <c r="AC248" s="25"/>
      <c r="AD248" s="29"/>
      <c r="AE248" s="29"/>
    </row>
    <row r="249" ht="12.0" customHeight="1">
      <c r="A249" s="30"/>
      <c r="B249" s="24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4"/>
      <c r="W249" s="24"/>
      <c r="X249" s="24"/>
      <c r="Y249" s="24"/>
      <c r="Z249" s="24"/>
      <c r="AA249" s="24"/>
      <c r="AB249" s="24"/>
      <c r="AC249" s="25"/>
      <c r="AD249" s="29"/>
      <c r="AE249" s="29"/>
    </row>
    <row r="250" ht="12.0" customHeight="1">
      <c r="A250" s="31"/>
      <c r="B250" s="24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4"/>
      <c r="W250" s="24"/>
      <c r="X250" s="24"/>
      <c r="Y250" s="24"/>
      <c r="Z250" s="24"/>
      <c r="AA250" s="24"/>
      <c r="AB250" s="24"/>
      <c r="AC250" s="25"/>
      <c r="AD250" s="29"/>
      <c r="AE250" s="28"/>
    </row>
    <row r="251" ht="12.0" customHeight="1">
      <c r="A251" s="25"/>
      <c r="B251" s="24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9"/>
      <c r="R251" s="28"/>
      <c r="S251" s="28"/>
      <c r="T251" s="28"/>
      <c r="U251" s="28"/>
      <c r="V251" s="24"/>
      <c r="W251" s="24"/>
      <c r="X251" s="24"/>
      <c r="Y251" s="24"/>
      <c r="Z251" s="24"/>
      <c r="AA251" s="24"/>
      <c r="AB251" s="24"/>
      <c r="AC251" s="25"/>
      <c r="AD251" s="29"/>
      <c r="AE251" s="28"/>
    </row>
    <row r="252" ht="12.0" customHeight="1">
      <c r="A252" s="25"/>
      <c r="B252" s="24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9"/>
      <c r="R252" s="28"/>
      <c r="S252" s="28"/>
      <c r="T252" s="28"/>
      <c r="U252" s="28"/>
      <c r="V252" s="24"/>
      <c r="W252" s="24"/>
      <c r="X252" s="24"/>
      <c r="Y252" s="24"/>
      <c r="Z252" s="24"/>
      <c r="AA252" s="24"/>
      <c r="AB252" s="24"/>
      <c r="AC252" s="25"/>
      <c r="AD252" s="29"/>
      <c r="AE252" s="28"/>
    </row>
    <row r="253" ht="12.0" customHeight="1">
      <c r="A253" s="25"/>
      <c r="B253" s="24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9"/>
      <c r="R253" s="28"/>
      <c r="S253" s="28"/>
      <c r="T253" s="28"/>
      <c r="U253" s="28"/>
      <c r="V253" s="24"/>
      <c r="W253" s="24"/>
      <c r="X253" s="24"/>
      <c r="Y253" s="24"/>
      <c r="Z253" s="24"/>
      <c r="AA253" s="24"/>
      <c r="AB253" s="24"/>
      <c r="AC253" s="25"/>
      <c r="AD253" s="29"/>
      <c r="AE253" s="28"/>
    </row>
    <row r="254" ht="12.0" customHeight="1">
      <c r="A254" s="25"/>
      <c r="B254" s="24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9"/>
      <c r="R254" s="28"/>
      <c r="S254" s="28"/>
      <c r="T254" s="28"/>
      <c r="U254" s="28"/>
      <c r="V254" s="24"/>
      <c r="W254" s="24"/>
      <c r="X254" s="24"/>
      <c r="Y254" s="24"/>
      <c r="Z254" s="24"/>
      <c r="AA254" s="24"/>
      <c r="AB254" s="24"/>
      <c r="AC254" s="25"/>
      <c r="AD254" s="29"/>
      <c r="AE254" s="28"/>
    </row>
    <row r="255" ht="12.0" customHeight="1">
      <c r="A255" s="25"/>
      <c r="B255" s="24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9"/>
      <c r="R255" s="28"/>
      <c r="S255" s="28"/>
      <c r="T255" s="28"/>
      <c r="U255" s="28"/>
      <c r="V255" s="24"/>
      <c r="W255" s="24"/>
      <c r="X255" s="24"/>
      <c r="Y255" s="24"/>
      <c r="Z255" s="24"/>
      <c r="AA255" s="24"/>
      <c r="AB255" s="24"/>
      <c r="AC255" s="25"/>
      <c r="AD255" s="29"/>
      <c r="AE255" s="28"/>
    </row>
    <row r="256" ht="12.0" customHeight="1">
      <c r="A256" s="25"/>
      <c r="B256" s="24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4"/>
      <c r="W256" s="24"/>
      <c r="X256" s="24"/>
      <c r="Y256" s="24"/>
      <c r="Z256" s="24"/>
      <c r="AA256" s="24"/>
      <c r="AB256" s="24"/>
      <c r="AC256" s="25"/>
      <c r="AD256" s="28"/>
      <c r="AE256" s="29"/>
    </row>
    <row r="257" ht="12.0" customHeight="1">
      <c r="A257" s="25"/>
      <c r="B257" s="24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4"/>
      <c r="W257" s="24"/>
      <c r="X257" s="24"/>
      <c r="Y257" s="24"/>
      <c r="Z257" s="24"/>
      <c r="AA257" s="24"/>
      <c r="AB257" s="24"/>
      <c r="AC257" s="25"/>
      <c r="AD257" s="28"/>
      <c r="AE257" s="29"/>
    </row>
    <row r="258" ht="12.0" customHeight="1">
      <c r="A258" s="30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5"/>
      <c r="AD258" s="24"/>
      <c r="AE258" s="29"/>
    </row>
    <row r="259" ht="12.0" customHeight="1">
      <c r="A259" s="32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5"/>
      <c r="AD259" s="24"/>
      <c r="AE259" s="29"/>
    </row>
    <row r="260" ht="12.0" customHeight="1">
      <c r="A260" s="30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5"/>
      <c r="AD260" s="24"/>
      <c r="AE260" s="29"/>
    </row>
    <row r="261" ht="12.0" customHeight="1">
      <c r="A261" s="30"/>
      <c r="B261" s="24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4"/>
      <c r="W261" s="24"/>
      <c r="X261" s="24"/>
      <c r="Y261" s="24"/>
      <c r="Z261" s="24"/>
      <c r="AA261" s="24"/>
      <c r="AB261" s="24"/>
      <c r="AC261" s="25"/>
      <c r="AD261" s="28"/>
      <c r="AE261" s="29"/>
    </row>
    <row r="262" ht="12.0" customHeight="1">
      <c r="A262" s="30"/>
      <c r="B262" s="24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4"/>
      <c r="W262" s="24"/>
      <c r="X262" s="24"/>
      <c r="Y262" s="24"/>
      <c r="Z262" s="24"/>
      <c r="AA262" s="24"/>
      <c r="AB262" s="24"/>
      <c r="AC262" s="25"/>
      <c r="AD262" s="28"/>
      <c r="AE262" s="29"/>
    </row>
    <row r="263" ht="12.0" customHeight="1">
      <c r="A263" s="30"/>
      <c r="B263" s="24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4"/>
      <c r="W263" s="24"/>
      <c r="X263" s="24"/>
      <c r="Y263" s="24"/>
      <c r="Z263" s="24"/>
      <c r="AA263" s="24"/>
      <c r="AB263" s="24"/>
      <c r="AC263" s="25"/>
      <c r="AD263" s="28"/>
      <c r="AE263" s="29"/>
    </row>
    <row r="264" ht="12.0" customHeight="1">
      <c r="A264" s="30"/>
      <c r="B264" s="24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4"/>
      <c r="W264" s="24"/>
      <c r="X264" s="24"/>
      <c r="Y264" s="24"/>
      <c r="Z264" s="24"/>
      <c r="AA264" s="24"/>
      <c r="AB264" s="24"/>
      <c r="AC264" s="25"/>
      <c r="AD264" s="28"/>
      <c r="AE264" s="29"/>
    </row>
    <row r="265" ht="12.0" customHeight="1">
      <c r="A265" s="30"/>
      <c r="B265" s="24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4"/>
      <c r="W265" s="24"/>
      <c r="X265" s="24"/>
      <c r="Y265" s="24"/>
      <c r="Z265" s="24"/>
      <c r="AA265" s="24"/>
      <c r="AB265" s="24"/>
      <c r="AC265" s="25"/>
      <c r="AD265" s="28"/>
      <c r="AE265" s="29"/>
    </row>
    <row r="266" ht="12.0" customHeight="1">
      <c r="A266" s="30"/>
      <c r="B266" s="24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4"/>
      <c r="W266" s="24"/>
      <c r="X266" s="24"/>
      <c r="Y266" s="24"/>
      <c r="Z266" s="24"/>
      <c r="AA266" s="24"/>
      <c r="AB266" s="24"/>
      <c r="AC266" s="25"/>
      <c r="AD266" s="28"/>
      <c r="AE266" s="29"/>
    </row>
    <row r="267" ht="12.0" customHeight="1">
      <c r="A267" s="30"/>
      <c r="B267" s="24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4"/>
      <c r="W267" s="24"/>
      <c r="X267" s="24"/>
      <c r="Y267" s="24"/>
      <c r="Z267" s="24"/>
      <c r="AA267" s="24"/>
      <c r="AB267" s="24"/>
      <c r="AC267" s="25"/>
      <c r="AD267" s="28"/>
      <c r="AE267" s="29"/>
    </row>
    <row r="268" ht="12.0" customHeight="1">
      <c r="A268" s="30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5"/>
      <c r="AD268" s="24"/>
      <c r="AE268" s="29"/>
    </row>
    <row r="269" ht="12.0" customHeight="1">
      <c r="A269" s="30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</row>
    <row r="270" ht="12.0" customHeight="1">
      <c r="A270" s="30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</row>
    <row r="271" ht="12.0" customHeight="1">
      <c r="A271" s="30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</row>
    <row r="272" ht="12.0" customHeight="1">
      <c r="A272" s="30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</row>
    <row r="273" ht="12.0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4"/>
      <c r="W273" s="24"/>
      <c r="X273" s="24"/>
      <c r="Y273" s="24"/>
      <c r="Z273" s="24"/>
      <c r="AA273" s="24"/>
      <c r="AB273" s="28"/>
      <c r="AC273" s="28"/>
      <c r="AD273" s="28"/>
      <c r="AE273" s="28"/>
    </row>
    <row r="274" ht="12.0" customHeight="1">
      <c r="A274" s="29"/>
      <c r="B274" s="28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4"/>
      <c r="W274" s="24"/>
      <c r="X274" s="24"/>
      <c r="Y274" s="24"/>
      <c r="Z274" s="24"/>
      <c r="AA274" s="24"/>
      <c r="AB274" s="28"/>
      <c r="AC274" s="28"/>
      <c r="AD274" s="28"/>
      <c r="AE274" s="28"/>
    </row>
    <row r="275" ht="12.0" customHeight="1">
      <c r="A275" s="29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4"/>
      <c r="W275" s="24"/>
      <c r="X275" s="24"/>
      <c r="Y275" s="24"/>
      <c r="Z275" s="24"/>
      <c r="AA275" s="24"/>
      <c r="AB275" s="28"/>
      <c r="AC275" s="28"/>
      <c r="AD275" s="28"/>
      <c r="AE275" s="28"/>
    </row>
    <row r="276" ht="12.0" customHeight="1">
      <c r="A276" s="29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4"/>
      <c r="W276" s="24"/>
      <c r="X276" s="24"/>
      <c r="Y276" s="24"/>
      <c r="Z276" s="24"/>
      <c r="AA276" s="24"/>
      <c r="AB276" s="28"/>
      <c r="AC276" s="28"/>
      <c r="AD276" s="28"/>
      <c r="AE276" s="28"/>
    </row>
    <row r="277" ht="12.0" customHeight="1">
      <c r="A277" s="29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4"/>
      <c r="W277" s="24"/>
      <c r="X277" s="24"/>
      <c r="Y277" s="24"/>
      <c r="Z277" s="24"/>
      <c r="AA277" s="24"/>
      <c r="AB277" s="28"/>
      <c r="AC277" s="28"/>
      <c r="AD277" s="28"/>
      <c r="AE277" s="28"/>
    </row>
    <row r="278" ht="12.0" customHeight="1">
      <c r="A278" s="29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4"/>
      <c r="W278" s="24"/>
      <c r="X278" s="24"/>
      <c r="Y278" s="24"/>
      <c r="Z278" s="24"/>
      <c r="AA278" s="24"/>
      <c r="AB278" s="28"/>
      <c r="AC278" s="28"/>
      <c r="AD278" s="28"/>
      <c r="AE278" s="28"/>
    </row>
    <row r="279" ht="12.0" customHeight="1">
      <c r="A279" s="30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4"/>
      <c r="W279" s="24"/>
      <c r="X279" s="24"/>
      <c r="Y279" s="24"/>
      <c r="Z279" s="24"/>
      <c r="AA279" s="24"/>
      <c r="AB279" s="28"/>
      <c r="AC279" s="28"/>
      <c r="AD279" s="28"/>
      <c r="AE279" s="28"/>
    </row>
    <row r="280" ht="12.0" customHeight="1">
      <c r="A280" s="30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4"/>
      <c r="W280" s="24"/>
      <c r="X280" s="24"/>
      <c r="Y280" s="24"/>
      <c r="Z280" s="24"/>
      <c r="AA280" s="24"/>
      <c r="AB280" s="28"/>
      <c r="AC280" s="28"/>
      <c r="AD280" s="28"/>
      <c r="AE280" s="28"/>
    </row>
    <row r="281" ht="12.0" customHeight="1">
      <c r="A281" s="30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4"/>
      <c r="W281" s="24"/>
      <c r="X281" s="24"/>
      <c r="Y281" s="24"/>
      <c r="Z281" s="24"/>
      <c r="AA281" s="24"/>
      <c r="AB281" s="28"/>
      <c r="AC281" s="28"/>
      <c r="AD281" s="28"/>
      <c r="AE281" s="28"/>
    </row>
    <row r="282" ht="12.0" customHeight="1">
      <c r="A282" s="30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4"/>
      <c r="W282" s="24"/>
      <c r="X282" s="24"/>
      <c r="Y282" s="24"/>
      <c r="Z282" s="24"/>
      <c r="AA282" s="24"/>
      <c r="AB282" s="28"/>
      <c r="AC282" s="28"/>
      <c r="AD282" s="28"/>
      <c r="AE282" s="28"/>
    </row>
    <row r="283" ht="12.0" customHeight="1">
      <c r="A283" s="30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</row>
    <row r="284" ht="12.0" customHeight="1">
      <c r="A284" s="30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</row>
    <row r="285" ht="12.0" customHeight="1">
      <c r="A285" s="30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</row>
    <row r="286" ht="12.0" customHeight="1">
      <c r="A286" s="30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4"/>
      <c r="W286" s="24"/>
      <c r="X286" s="24"/>
      <c r="Y286" s="24"/>
      <c r="Z286" s="24"/>
      <c r="AA286" s="24"/>
      <c r="AB286" s="28"/>
      <c r="AC286" s="28"/>
      <c r="AD286" s="28"/>
      <c r="AE286" s="28"/>
    </row>
    <row r="287" ht="12.0" customHeight="1">
      <c r="A287" s="30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4"/>
      <c r="W287" s="24"/>
      <c r="X287" s="24"/>
      <c r="Y287" s="24"/>
      <c r="Z287" s="24"/>
      <c r="AA287" s="24"/>
      <c r="AB287" s="28"/>
      <c r="AC287" s="28"/>
      <c r="AD287" s="28"/>
      <c r="AE287" s="28"/>
    </row>
    <row r="288" ht="12.0" customHeight="1">
      <c r="A288" s="30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4"/>
      <c r="W288" s="24"/>
      <c r="X288" s="24"/>
      <c r="Y288" s="24"/>
      <c r="Z288" s="24"/>
      <c r="AA288" s="24"/>
      <c r="AB288" s="28"/>
      <c r="AC288" s="28"/>
      <c r="AD288" s="28"/>
      <c r="AE288" s="28"/>
    </row>
    <row r="289" ht="12.0" customHeight="1">
      <c r="A289" s="30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4"/>
      <c r="W289" s="24"/>
      <c r="X289" s="24"/>
      <c r="Y289" s="24"/>
      <c r="Z289" s="24"/>
      <c r="AA289" s="24"/>
      <c r="AB289" s="28"/>
      <c r="AC289" s="28"/>
      <c r="AD289" s="28"/>
      <c r="AE289" s="28"/>
    </row>
    <row r="290" ht="12.0" customHeight="1">
      <c r="A290" s="30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4"/>
      <c r="W290" s="24"/>
      <c r="X290" s="24"/>
      <c r="Y290" s="24"/>
      <c r="Z290" s="24"/>
      <c r="AA290" s="24"/>
      <c r="AB290" s="28"/>
      <c r="AC290" s="28"/>
      <c r="AD290" s="28"/>
      <c r="AE290" s="28"/>
    </row>
    <row r="291" ht="12.0" customHeight="1">
      <c r="A291" s="30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4"/>
      <c r="W291" s="24"/>
      <c r="X291" s="24"/>
      <c r="Y291" s="24"/>
      <c r="Z291" s="24"/>
      <c r="AA291" s="24"/>
      <c r="AB291" s="28"/>
      <c r="AC291" s="28"/>
      <c r="AD291" s="28"/>
      <c r="AE291" s="28"/>
    </row>
    <row r="292" ht="12.0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4"/>
      <c r="W292" s="24"/>
      <c r="X292" s="24"/>
      <c r="Y292" s="24"/>
      <c r="Z292" s="24"/>
      <c r="AA292" s="24"/>
      <c r="AB292" s="28"/>
      <c r="AC292" s="28"/>
      <c r="AD292" s="28"/>
      <c r="AE292" s="28"/>
    </row>
    <row r="293" ht="12.0" customHeight="1">
      <c r="A293" s="30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</row>
    <row r="294" ht="12.0" customHeight="1">
      <c r="A294" s="30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</row>
    <row r="295" ht="12.0" customHeight="1">
      <c r="A295" s="30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</row>
    <row r="296" ht="12.0" customHeight="1">
      <c r="A296" s="30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</row>
    <row r="297" ht="12.0" customHeight="1">
      <c r="A297" s="30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</row>
    <row r="298" ht="12.0" customHeight="1">
      <c r="A298" s="30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4"/>
      <c r="W298" s="24"/>
      <c r="X298" s="24"/>
      <c r="Y298" s="24"/>
      <c r="Z298" s="24"/>
      <c r="AA298" s="24"/>
      <c r="AB298" s="28"/>
      <c r="AC298" s="28"/>
      <c r="AD298" s="28"/>
      <c r="AE298" s="28"/>
    </row>
    <row r="299" ht="12.0" customHeight="1">
      <c r="A299" s="30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4"/>
      <c r="W299" s="24"/>
      <c r="X299" s="24"/>
      <c r="Y299" s="24"/>
      <c r="Z299" s="24"/>
      <c r="AA299" s="24"/>
      <c r="AB299" s="28"/>
      <c r="AC299" s="28"/>
      <c r="AD299" s="28"/>
      <c r="AE299" s="28"/>
    </row>
    <row r="300" ht="12.0" customHeight="1">
      <c r="A300" s="30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4"/>
      <c r="W300" s="24"/>
      <c r="X300" s="24"/>
      <c r="Y300" s="24"/>
      <c r="Z300" s="24"/>
      <c r="AA300" s="24"/>
      <c r="AB300" s="28"/>
      <c r="AC300" s="28"/>
      <c r="AD300" s="28"/>
      <c r="AE300" s="28"/>
    </row>
    <row r="301" ht="12.0" customHeight="1">
      <c r="A301" s="30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4"/>
      <c r="W301" s="24"/>
      <c r="X301" s="24"/>
      <c r="Y301" s="24"/>
      <c r="Z301" s="24"/>
      <c r="AA301" s="24"/>
      <c r="AB301" s="28"/>
      <c r="AC301" s="28"/>
      <c r="AD301" s="28"/>
      <c r="AE301" s="28"/>
    </row>
    <row r="302" ht="12.0" customHeight="1">
      <c r="A302" s="30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4"/>
      <c r="W302" s="24"/>
      <c r="X302" s="24"/>
      <c r="Y302" s="24"/>
      <c r="Z302" s="24"/>
      <c r="AA302" s="24"/>
      <c r="AB302" s="28"/>
      <c r="AC302" s="28"/>
      <c r="AD302" s="28"/>
      <c r="AE302" s="28"/>
    </row>
    <row r="303" ht="12.0" customHeight="1">
      <c r="A303" s="30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4"/>
      <c r="W303" s="24"/>
      <c r="X303" s="24"/>
      <c r="Y303" s="24"/>
      <c r="Z303" s="24"/>
      <c r="AA303" s="24"/>
      <c r="AB303" s="28"/>
      <c r="AC303" s="28"/>
      <c r="AD303" s="28"/>
      <c r="AE303" s="28"/>
    </row>
    <row r="304" ht="12.0" customHeight="1">
      <c r="A304" s="30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4"/>
      <c r="W304" s="24"/>
      <c r="X304" s="24"/>
      <c r="Y304" s="24"/>
      <c r="Z304" s="24"/>
      <c r="AA304" s="24"/>
      <c r="AB304" s="28"/>
      <c r="AC304" s="28"/>
      <c r="AD304" s="28"/>
      <c r="AE304" s="28"/>
    </row>
    <row r="305" ht="12.0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4"/>
      <c r="W305" s="24"/>
      <c r="X305" s="24"/>
      <c r="Y305" s="24"/>
      <c r="Z305" s="24"/>
      <c r="AA305" s="24"/>
      <c r="AB305" s="28"/>
      <c r="AC305" s="28"/>
      <c r="AD305" s="28"/>
      <c r="AE305" s="28"/>
    </row>
    <row r="306" ht="12.0" customHeight="1">
      <c r="A306" s="30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4"/>
      <c r="W306" s="24"/>
      <c r="X306" s="24"/>
      <c r="Y306" s="24"/>
      <c r="Z306" s="24"/>
      <c r="AA306" s="24"/>
      <c r="AB306" s="28"/>
      <c r="AC306" s="28"/>
      <c r="AD306" s="28"/>
      <c r="AE306" s="28"/>
    </row>
    <row r="307" ht="12.0" customHeight="1">
      <c r="A307" s="30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4"/>
      <c r="W307" s="24"/>
      <c r="X307" s="24"/>
      <c r="Y307" s="24"/>
      <c r="Z307" s="24"/>
      <c r="AA307" s="24"/>
      <c r="AB307" s="33"/>
      <c r="AC307" s="33"/>
      <c r="AD307" s="33"/>
      <c r="AE307" s="33"/>
    </row>
    <row r="308" ht="12.0" customHeight="1">
      <c r="A308" s="30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</row>
    <row r="309" ht="12.0" customHeight="1">
      <c r="A309" s="30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</row>
    <row r="310" ht="12.0" customHeight="1">
      <c r="A310" s="30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</row>
    <row r="311" ht="12.0" customHeight="1">
      <c r="A311" s="30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</row>
    <row r="312" ht="12.0" customHeight="1">
      <c r="A312" s="30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</row>
    <row r="313" ht="12.0" customHeight="1">
      <c r="A313" s="30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</row>
    <row r="314" ht="12.0" customHeight="1">
      <c r="A314" s="30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</row>
    <row r="315" ht="12.0" customHeight="1">
      <c r="A315" s="30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</row>
    <row r="316" ht="12.0" customHeight="1">
      <c r="A316" s="30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</row>
    <row r="317" ht="12.0" customHeight="1">
      <c r="A317" s="30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</row>
    <row r="318" ht="12.0" customHeight="1">
      <c r="A318" s="30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</row>
    <row r="319" ht="12.0" customHeight="1">
      <c r="A319" s="30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</row>
    <row r="320" ht="12.0" customHeight="1">
      <c r="A320" s="30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</row>
    <row r="321" ht="12.0" customHeight="1">
      <c r="A321" s="30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</row>
    <row r="322" ht="12.0" customHeight="1">
      <c r="A322" s="32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</row>
    <row r="323" ht="12.0" customHeight="1">
      <c r="A323" s="30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</row>
    <row r="324" ht="12.0" customHeight="1">
      <c r="A324" s="30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</row>
    <row r="325" ht="12.0" customHeight="1">
      <c r="A325" s="28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</row>
    <row r="326" ht="12.0" customHeight="1">
      <c r="A326" s="30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</row>
    <row r="327" ht="12.0" customHeight="1">
      <c r="A327" s="30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</row>
    <row r="328" ht="12.0" customHeight="1">
      <c r="A328" s="30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</row>
    <row r="329" ht="12.0" customHeight="1">
      <c r="A329" s="30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</row>
    <row r="330" ht="12.0" customHeight="1">
      <c r="A330" s="30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</row>
    <row r="331" ht="12.0" customHeight="1">
      <c r="A331" s="30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</row>
    <row r="332" ht="12.0" customHeight="1">
      <c r="A332" s="30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</row>
    <row r="333" ht="12.0" customHeight="1">
      <c r="A333" s="30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</row>
    <row r="334" ht="12.0" customHeight="1">
      <c r="A334" s="30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</row>
    <row r="335" ht="12.0" customHeight="1">
      <c r="A335" s="30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</row>
    <row r="336" ht="12.0" customHeight="1">
      <c r="A336" s="30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</row>
    <row r="337" ht="12.0" customHeight="1">
      <c r="A337" s="30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</row>
    <row r="338" ht="12.0" customHeight="1">
      <c r="A338" s="30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</row>
    <row r="339" ht="12.0" customHeight="1">
      <c r="A339" s="30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</row>
    <row r="340" ht="12.0" customHeight="1">
      <c r="A340" s="32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</row>
    <row r="341" ht="12.0" customHeight="1">
      <c r="A341" s="30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</row>
    <row r="342" ht="12.0" customHeight="1">
      <c r="A342" s="30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</row>
    <row r="343" ht="12.0" customHeight="1">
      <c r="A343" s="28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</row>
    <row r="344" ht="12.0" customHeight="1">
      <c r="A344" s="30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</row>
    <row r="345" ht="12.0" customHeight="1">
      <c r="A345" s="30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</row>
    <row r="346" ht="12.0" customHeight="1">
      <c r="A346" s="30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</row>
    <row r="347" ht="12.0" customHeight="1">
      <c r="A347" s="30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</row>
    <row r="348" ht="12.0" customHeight="1">
      <c r="A348" s="30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</row>
    <row r="349" ht="12.0" customHeight="1">
      <c r="A349" s="30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</row>
    <row r="350" ht="12.0" customHeight="1">
      <c r="A350" s="30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</row>
    <row r="351" ht="12.0" customHeight="1">
      <c r="A351" s="30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</row>
    <row r="352" ht="12.0" customHeight="1">
      <c r="A352" s="30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</row>
    <row r="353" ht="12.0" customHeight="1">
      <c r="A353" s="30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</row>
    <row r="354" ht="12.0" customHeight="1">
      <c r="A354" s="30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</row>
    <row r="355" ht="12.0" customHeight="1">
      <c r="A355" s="30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</row>
    <row r="356" ht="12.0" customHeight="1">
      <c r="A356" s="30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</row>
    <row r="357" ht="12.0" customHeight="1">
      <c r="A357" s="30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</row>
    <row r="358" ht="12.0" customHeight="1">
      <c r="A358" s="32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</row>
    <row r="359" ht="12.0" customHeight="1">
      <c r="A359" s="30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</row>
    <row r="360" ht="12.0" customHeight="1">
      <c r="A360" s="30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</row>
    <row r="361" ht="12.0" customHeight="1">
      <c r="A361" s="28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</row>
    <row r="362" ht="12.0" customHeight="1">
      <c r="A362" s="30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</row>
    <row r="363" ht="12.0" customHeight="1">
      <c r="A363" s="30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</row>
    <row r="364" ht="12.0" customHeight="1">
      <c r="A364" s="30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</row>
    <row r="365" ht="12.0" customHeight="1">
      <c r="A365" s="30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</row>
    <row r="366" ht="12.0" customHeight="1">
      <c r="A366" s="30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</row>
    <row r="367" ht="12.0" customHeight="1">
      <c r="A367" s="30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</row>
    <row r="368" ht="12.0" customHeight="1">
      <c r="A368" s="30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</row>
    <row r="369" ht="12.0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</row>
    <row r="370" ht="12.0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</row>
    <row r="371" ht="12.0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</row>
    <row r="372" ht="12.0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</row>
    <row r="373" ht="12.0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</row>
    <row r="374" ht="12.0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</row>
    <row r="375" ht="12.0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</row>
    <row r="376" ht="12.0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</row>
    <row r="377" ht="12.0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</row>
    <row r="378" ht="12.0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</row>
    <row r="379" ht="12.0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</row>
    <row r="380" ht="12.0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</row>
    <row r="381" ht="12.0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</row>
    <row r="382" ht="12.0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</row>
    <row r="383" ht="12.0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</row>
    <row r="384" ht="12.0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</row>
    <row r="385" ht="12.0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</row>
    <row r="386" ht="12.0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</row>
    <row r="387" ht="12.0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</row>
    <row r="388" ht="12.0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</row>
    <row r="389" ht="12.0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</row>
    <row r="390" ht="12.0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</row>
    <row r="391" ht="12.0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</row>
    <row r="392" ht="12.0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  <c r="AC392" s="35"/>
      <c r="AD392" s="35"/>
      <c r="AE392" s="35"/>
    </row>
    <row r="393" ht="12.0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  <c r="AC393" s="35"/>
      <c r="AD393" s="35"/>
      <c r="AE393" s="35"/>
    </row>
    <row r="394" ht="12.0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  <c r="AC394" s="35"/>
      <c r="AD394" s="35"/>
      <c r="AE394" s="35"/>
    </row>
    <row r="395" ht="12.0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  <c r="AC395" s="35"/>
      <c r="AD395" s="35"/>
      <c r="AE395" s="35"/>
    </row>
    <row r="396" ht="12.0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  <c r="AC396" s="35"/>
      <c r="AD396" s="35"/>
      <c r="AE396" s="35"/>
    </row>
    <row r="397" ht="12.0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  <c r="AC397" s="35"/>
      <c r="AD397" s="35"/>
      <c r="AE397" s="35"/>
    </row>
    <row r="398" ht="12.0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  <c r="AC398" s="35"/>
      <c r="AD398" s="35"/>
      <c r="AE398" s="35"/>
    </row>
    <row r="399" ht="12.0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  <c r="AC399" s="35"/>
      <c r="AD399" s="35"/>
      <c r="AE399" s="35"/>
    </row>
    <row r="400" ht="12.0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  <c r="AC400" s="35"/>
      <c r="AD400" s="35"/>
      <c r="AE400" s="35"/>
    </row>
    <row r="401" ht="12.0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  <c r="AC401" s="35"/>
      <c r="AD401" s="35"/>
      <c r="AE401" s="35"/>
    </row>
    <row r="402" ht="12.0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  <c r="AC402" s="35"/>
      <c r="AD402" s="35"/>
      <c r="AE402" s="35"/>
    </row>
    <row r="403" ht="12.0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  <c r="AC403" s="35"/>
      <c r="AD403" s="35"/>
      <c r="AE403" s="35"/>
    </row>
    <row r="404" ht="12.0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  <c r="AC404" s="35"/>
      <c r="AD404" s="35"/>
      <c r="AE404" s="35"/>
    </row>
    <row r="405" ht="12.0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  <c r="AC405" s="35"/>
      <c r="AD405" s="35"/>
      <c r="AE405" s="35"/>
    </row>
    <row r="406" ht="12.0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  <c r="AC406" s="35"/>
      <c r="AD406" s="35"/>
      <c r="AE406" s="35"/>
    </row>
    <row r="407" ht="12.0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  <c r="AC407" s="35"/>
      <c r="AD407" s="35"/>
      <c r="AE407" s="35"/>
    </row>
    <row r="408" ht="12.0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  <c r="AC408" s="35"/>
      <c r="AD408" s="35"/>
      <c r="AE408" s="35"/>
    </row>
    <row r="409" ht="12.0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</row>
    <row r="410" ht="12.0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  <c r="AC410" s="35"/>
      <c r="AD410" s="35"/>
      <c r="AE410" s="35"/>
    </row>
    <row r="411" ht="12.0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  <c r="AC411" s="35"/>
      <c r="AD411" s="35"/>
      <c r="AE411" s="35"/>
    </row>
    <row r="412" ht="12.0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  <c r="AC412" s="35"/>
      <c r="AD412" s="35"/>
      <c r="AE412" s="35"/>
    </row>
    <row r="413" ht="12.0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  <c r="AC413" s="35"/>
      <c r="AD413" s="35"/>
      <c r="AE413" s="35"/>
    </row>
    <row r="414" ht="12.0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  <c r="AC414" s="35"/>
      <c r="AD414" s="35"/>
      <c r="AE414" s="35"/>
    </row>
    <row r="415" ht="12.0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  <c r="AC415" s="35"/>
      <c r="AD415" s="35"/>
      <c r="AE415" s="35"/>
    </row>
    <row r="416" ht="12.0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  <c r="AC416" s="35"/>
      <c r="AD416" s="35"/>
      <c r="AE416" s="35"/>
    </row>
    <row r="417" ht="12.0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  <c r="AC417" s="35"/>
      <c r="AD417" s="35"/>
      <c r="AE417" s="35"/>
    </row>
    <row r="418" ht="12.0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  <c r="AC418" s="35"/>
      <c r="AD418" s="35"/>
      <c r="AE418" s="35"/>
    </row>
    <row r="419" ht="12.0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  <c r="AC419" s="35"/>
      <c r="AD419" s="35"/>
      <c r="AE419" s="35"/>
    </row>
    <row r="420" ht="12.0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  <c r="AC420" s="35"/>
      <c r="AD420" s="35"/>
      <c r="AE420" s="35"/>
    </row>
    <row r="421" ht="12.0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  <c r="AC421" s="35"/>
      <c r="AD421" s="35"/>
      <c r="AE421" s="35"/>
    </row>
    <row r="422" ht="12.0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  <c r="AC422" s="35"/>
      <c r="AD422" s="35"/>
      <c r="AE422" s="35"/>
    </row>
    <row r="423" ht="12.0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  <c r="AC423" s="35"/>
      <c r="AD423" s="35"/>
      <c r="AE423" s="35"/>
    </row>
    <row r="424" ht="12.0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  <c r="AC424" s="35"/>
      <c r="AD424" s="35"/>
      <c r="AE424" s="35"/>
    </row>
    <row r="425" ht="12.0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  <c r="AC425" s="35"/>
      <c r="AD425" s="35"/>
      <c r="AE425" s="35"/>
    </row>
    <row r="426" ht="12.0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  <c r="AC426" s="35"/>
      <c r="AD426" s="35"/>
      <c r="AE426" s="35"/>
    </row>
    <row r="427" ht="12.0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  <c r="AC427" s="35"/>
      <c r="AD427" s="35"/>
      <c r="AE427" s="35"/>
    </row>
    <row r="428" ht="12.0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  <c r="AC428" s="35"/>
      <c r="AD428" s="35"/>
      <c r="AE428" s="35"/>
    </row>
    <row r="429" ht="12.0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  <c r="AC429" s="35"/>
      <c r="AD429" s="35"/>
      <c r="AE429" s="35"/>
    </row>
    <row r="430" ht="12.0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  <c r="AC430" s="35"/>
      <c r="AD430" s="35"/>
      <c r="AE430" s="35"/>
    </row>
    <row r="431" ht="12.0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  <c r="AC431" s="35"/>
      <c r="AD431" s="35"/>
      <c r="AE431" s="35"/>
    </row>
    <row r="432" ht="12.0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  <c r="AC432" s="35"/>
      <c r="AD432" s="35"/>
      <c r="AE432" s="35"/>
    </row>
    <row r="433" ht="12.0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  <c r="AC433" s="35"/>
      <c r="AD433" s="35"/>
      <c r="AE433" s="35"/>
    </row>
    <row r="434" ht="12.0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  <c r="AC434" s="35"/>
      <c r="AD434" s="35"/>
      <c r="AE434" s="35"/>
    </row>
    <row r="435" ht="12.0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  <c r="AC435" s="35"/>
      <c r="AD435" s="35"/>
      <c r="AE435" s="35"/>
    </row>
    <row r="436" ht="12.0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  <c r="AC436" s="35"/>
      <c r="AD436" s="35"/>
      <c r="AE436" s="35"/>
    </row>
    <row r="437" ht="12.0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  <c r="AC437" s="35"/>
      <c r="AD437" s="35"/>
      <c r="AE437" s="35"/>
    </row>
    <row r="438" ht="12.0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  <c r="AC438" s="35"/>
      <c r="AD438" s="35"/>
      <c r="AE438" s="35"/>
    </row>
    <row r="439" ht="12.0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  <c r="AC439" s="35"/>
      <c r="AD439" s="35"/>
      <c r="AE439" s="35"/>
    </row>
    <row r="440" ht="12.0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  <c r="AC440" s="35"/>
      <c r="AD440" s="35"/>
      <c r="AE440" s="35"/>
    </row>
    <row r="441" ht="12.0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  <c r="AC441" s="35"/>
      <c r="AD441" s="35"/>
      <c r="AE441" s="35"/>
    </row>
    <row r="442" ht="12.0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  <c r="AC442" s="35"/>
      <c r="AD442" s="35"/>
      <c r="AE442" s="35"/>
    </row>
    <row r="443" ht="12.0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  <c r="AC443" s="35"/>
      <c r="AD443" s="35"/>
      <c r="AE443" s="35"/>
    </row>
    <row r="444" ht="12.0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  <c r="AC444" s="35"/>
      <c r="AD444" s="35"/>
      <c r="AE444" s="35"/>
    </row>
    <row r="445" ht="12.0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  <c r="AC445" s="35"/>
      <c r="AD445" s="35"/>
      <c r="AE445" s="35"/>
    </row>
    <row r="446" ht="12.0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  <c r="AC446" s="35"/>
      <c r="AD446" s="35"/>
      <c r="AE446" s="35"/>
    </row>
    <row r="447" ht="12.0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  <c r="AC447" s="35"/>
      <c r="AD447" s="35"/>
      <c r="AE447" s="35"/>
    </row>
    <row r="448" ht="12.0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  <c r="AC448" s="35"/>
      <c r="AD448" s="35"/>
      <c r="AE448" s="35"/>
    </row>
    <row r="449" ht="12.0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  <c r="AC449" s="35"/>
      <c r="AD449" s="35"/>
      <c r="AE449" s="35"/>
    </row>
    <row r="450" ht="12.0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  <c r="AC450" s="35"/>
      <c r="AD450" s="35"/>
      <c r="AE450" s="35"/>
    </row>
    <row r="451" ht="12.0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  <c r="AC451" s="35"/>
      <c r="AD451" s="35"/>
      <c r="AE451" s="35"/>
    </row>
    <row r="452" ht="12.0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  <c r="AC452" s="35"/>
      <c r="AD452" s="35"/>
      <c r="AE452" s="35"/>
    </row>
    <row r="453" ht="12.0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  <c r="AC453" s="35"/>
      <c r="AD453" s="35"/>
      <c r="AE453" s="35"/>
    </row>
    <row r="454" ht="12.0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  <c r="AC454" s="35"/>
      <c r="AD454" s="35"/>
      <c r="AE454" s="35"/>
    </row>
    <row r="455" ht="12.0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  <c r="AC455" s="35"/>
      <c r="AD455" s="35"/>
      <c r="AE455" s="35"/>
    </row>
    <row r="456" ht="12.0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  <c r="AC456" s="35"/>
      <c r="AD456" s="35"/>
      <c r="AE456" s="35"/>
    </row>
    <row r="457" ht="12.0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  <c r="AC457" s="35"/>
      <c r="AD457" s="35"/>
      <c r="AE457" s="35"/>
    </row>
    <row r="458" ht="12.0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  <c r="AC458" s="35"/>
      <c r="AD458" s="35"/>
      <c r="AE458" s="35"/>
    </row>
    <row r="459" ht="12.0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  <c r="AC459" s="35"/>
      <c r="AD459" s="35"/>
      <c r="AE459" s="35"/>
    </row>
    <row r="460" ht="12.0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</row>
    <row r="461" ht="12.0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  <c r="AC461" s="35"/>
      <c r="AD461" s="35"/>
      <c r="AE461" s="35"/>
    </row>
    <row r="462" ht="12.0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  <c r="AC462" s="35"/>
      <c r="AD462" s="35"/>
      <c r="AE462" s="35"/>
    </row>
    <row r="463" ht="12.0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</row>
    <row r="464" ht="12.0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</row>
    <row r="465" ht="12.0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</row>
    <row r="466" ht="12.0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</row>
    <row r="467" ht="12.0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</row>
    <row r="468" ht="12.0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</row>
    <row r="469" ht="12.0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</row>
    <row r="470" ht="12.0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</row>
    <row r="471" ht="12.0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</row>
    <row r="472" ht="12.0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</row>
    <row r="473" ht="12.0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</row>
    <row r="474" ht="12.0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  <c r="AC474" s="35"/>
      <c r="AD474" s="35"/>
      <c r="AE474" s="35"/>
    </row>
    <row r="475" ht="12.0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</row>
    <row r="476" ht="12.0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  <c r="AC476" s="35"/>
      <c r="AD476" s="35"/>
      <c r="AE476" s="35"/>
    </row>
    <row r="477" ht="12.0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  <c r="AC477" s="35"/>
      <c r="AD477" s="35"/>
      <c r="AE477" s="35"/>
    </row>
    <row r="478" ht="12.0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  <c r="AC478" s="35"/>
      <c r="AD478" s="35"/>
      <c r="AE478" s="35"/>
    </row>
    <row r="479" ht="12.0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  <c r="AC479" s="35"/>
      <c r="AD479" s="35"/>
      <c r="AE479" s="35"/>
    </row>
    <row r="480" ht="12.0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  <c r="AC480" s="35"/>
      <c r="AD480" s="35"/>
      <c r="AE480" s="35"/>
    </row>
    <row r="481" ht="12.0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  <c r="AC481" s="35"/>
      <c r="AD481" s="35"/>
      <c r="AE481" s="35"/>
    </row>
    <row r="482" ht="12.0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  <c r="AC482" s="35"/>
      <c r="AD482" s="35"/>
      <c r="AE482" s="35"/>
    </row>
    <row r="483" ht="12.0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  <c r="AC483" s="35"/>
      <c r="AD483" s="35"/>
      <c r="AE483" s="35"/>
    </row>
    <row r="484" ht="12.0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  <c r="AC484" s="35"/>
      <c r="AD484" s="35"/>
      <c r="AE484" s="35"/>
    </row>
    <row r="485" ht="12.0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  <c r="AC485" s="35"/>
      <c r="AD485" s="35"/>
      <c r="AE485" s="35"/>
    </row>
    <row r="486" ht="12.0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  <c r="AC486" s="35"/>
      <c r="AD486" s="35"/>
      <c r="AE486" s="35"/>
    </row>
    <row r="487" ht="12.0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  <c r="AC487" s="35"/>
      <c r="AD487" s="35"/>
      <c r="AE487" s="35"/>
    </row>
    <row r="488" ht="12.0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  <c r="AC488" s="35"/>
      <c r="AD488" s="35"/>
      <c r="AE488" s="35"/>
    </row>
    <row r="489" ht="12.0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  <c r="AC489" s="35"/>
      <c r="AD489" s="35"/>
      <c r="AE489" s="35"/>
    </row>
    <row r="490" ht="12.0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  <c r="AC490" s="35"/>
      <c r="AD490" s="35"/>
      <c r="AE490" s="35"/>
    </row>
    <row r="491" ht="12.0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  <c r="AC491" s="35"/>
      <c r="AD491" s="35"/>
      <c r="AE491" s="35"/>
    </row>
    <row r="492" ht="12.0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  <c r="AC492" s="35"/>
      <c r="AD492" s="35"/>
      <c r="AE492" s="35"/>
    </row>
    <row r="493" ht="12.0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  <c r="AC493" s="35"/>
      <c r="AD493" s="35"/>
      <c r="AE493" s="35"/>
    </row>
    <row r="494" ht="12.0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  <c r="AC494" s="35"/>
      <c r="AD494" s="35"/>
      <c r="AE494" s="35"/>
    </row>
    <row r="495" ht="12.0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  <c r="AC495" s="35"/>
      <c r="AD495" s="35"/>
      <c r="AE495" s="35"/>
    </row>
    <row r="496" ht="12.0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  <c r="AC496" s="35"/>
      <c r="AD496" s="35"/>
      <c r="AE496" s="35"/>
    </row>
    <row r="497" ht="12.0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  <c r="AC497" s="35"/>
      <c r="AD497" s="35"/>
      <c r="AE497" s="35"/>
    </row>
    <row r="498" ht="12.0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  <c r="AC498" s="35"/>
      <c r="AD498" s="35"/>
      <c r="AE498" s="35"/>
    </row>
    <row r="499" ht="12.0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  <c r="AC499" s="35"/>
      <c r="AD499" s="35"/>
      <c r="AE499" s="35"/>
    </row>
    <row r="500" ht="12.0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  <c r="AC500" s="35"/>
      <c r="AD500" s="35"/>
      <c r="AE500" s="35"/>
    </row>
    <row r="501" ht="12.0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  <c r="AC501" s="35"/>
      <c r="AD501" s="35"/>
      <c r="AE501" s="35"/>
    </row>
    <row r="502" ht="12.0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  <c r="AC502" s="35"/>
      <c r="AD502" s="35"/>
      <c r="AE502" s="35"/>
    </row>
    <row r="503" ht="12.0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  <c r="AC503" s="35"/>
      <c r="AD503" s="35"/>
      <c r="AE503" s="35"/>
    </row>
    <row r="504" ht="12.0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  <c r="AC504" s="35"/>
      <c r="AD504" s="35"/>
      <c r="AE504" s="35"/>
    </row>
    <row r="505" ht="12.0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  <c r="AC505" s="35"/>
      <c r="AD505" s="35"/>
      <c r="AE505" s="35"/>
    </row>
    <row r="506" ht="12.0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  <c r="AC506" s="35"/>
      <c r="AD506" s="35"/>
      <c r="AE506" s="35"/>
    </row>
    <row r="507" ht="12.0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  <c r="AE507" s="35"/>
    </row>
    <row r="508" ht="12.0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  <c r="AC508" s="35"/>
      <c r="AD508" s="35"/>
      <c r="AE508" s="35"/>
    </row>
    <row r="509" ht="12.0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  <c r="AC509" s="35"/>
      <c r="AD509" s="35"/>
      <c r="AE509" s="35"/>
    </row>
    <row r="510" ht="12.0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  <c r="AC510" s="35"/>
      <c r="AD510" s="35"/>
      <c r="AE510" s="35"/>
    </row>
    <row r="511" ht="12.0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</row>
    <row r="512" ht="12.0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  <c r="AC512" s="35"/>
      <c r="AD512" s="35"/>
      <c r="AE512" s="35"/>
    </row>
    <row r="513" ht="12.0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  <c r="AC513" s="35"/>
      <c r="AD513" s="35"/>
      <c r="AE513" s="35"/>
    </row>
    <row r="514" ht="12.0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  <c r="AC514" s="35"/>
      <c r="AD514" s="35"/>
      <c r="AE514" s="35"/>
    </row>
    <row r="515" ht="12.0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  <c r="AC515" s="35"/>
      <c r="AD515" s="35"/>
      <c r="AE515" s="35"/>
    </row>
    <row r="516" ht="12.0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  <c r="AC516" s="35"/>
      <c r="AD516" s="35"/>
      <c r="AE516" s="35"/>
    </row>
    <row r="517" ht="12.0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  <c r="AC517" s="35"/>
      <c r="AD517" s="35"/>
      <c r="AE517" s="35"/>
    </row>
    <row r="518" ht="12.0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  <c r="AC518" s="35"/>
      <c r="AD518" s="35"/>
      <c r="AE518" s="35"/>
    </row>
    <row r="519" ht="12.0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  <c r="AC519" s="35"/>
      <c r="AD519" s="35"/>
      <c r="AE519" s="35"/>
    </row>
    <row r="520" ht="12.0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  <c r="AC520" s="35"/>
      <c r="AD520" s="35"/>
      <c r="AE520" s="35"/>
    </row>
    <row r="521" ht="12.0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  <c r="AC521" s="35"/>
      <c r="AD521" s="35"/>
      <c r="AE521" s="35"/>
    </row>
    <row r="522" ht="12.0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  <c r="AC522" s="35"/>
      <c r="AD522" s="35"/>
      <c r="AE522" s="35"/>
    </row>
    <row r="523" ht="12.0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  <c r="AC523" s="35"/>
      <c r="AD523" s="35"/>
      <c r="AE523" s="35"/>
    </row>
    <row r="524" ht="12.0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  <c r="AC524" s="35"/>
      <c r="AD524" s="35"/>
      <c r="AE524" s="35"/>
    </row>
    <row r="525" ht="12.0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  <c r="AC525" s="35"/>
      <c r="AD525" s="35"/>
      <c r="AE525" s="35"/>
    </row>
    <row r="526" ht="12.0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  <c r="AC526" s="35"/>
      <c r="AD526" s="35"/>
      <c r="AE526" s="35"/>
    </row>
    <row r="527" ht="12.0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  <c r="AC527" s="35"/>
      <c r="AD527" s="35"/>
      <c r="AE527" s="35"/>
    </row>
    <row r="528" ht="12.0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  <c r="AC528" s="35"/>
      <c r="AD528" s="35"/>
      <c r="AE528" s="35"/>
    </row>
    <row r="529" ht="12.0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  <c r="AC529" s="35"/>
      <c r="AD529" s="35"/>
      <c r="AE529" s="35"/>
    </row>
    <row r="530" ht="12.0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  <c r="AC530" s="35"/>
      <c r="AD530" s="35"/>
      <c r="AE530" s="35"/>
    </row>
    <row r="531" ht="12.0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  <c r="AC531" s="35"/>
      <c r="AD531" s="35"/>
      <c r="AE531" s="35"/>
    </row>
    <row r="532" ht="12.0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  <c r="AC532" s="35"/>
      <c r="AD532" s="35"/>
      <c r="AE532" s="35"/>
    </row>
    <row r="533" ht="12.0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  <c r="AC533" s="35"/>
      <c r="AD533" s="35"/>
      <c r="AE533" s="35"/>
    </row>
    <row r="534" ht="12.0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  <c r="AC534" s="35"/>
      <c r="AD534" s="35"/>
      <c r="AE534" s="35"/>
    </row>
    <row r="535" ht="12.0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  <c r="AC535" s="35"/>
      <c r="AD535" s="35"/>
      <c r="AE535" s="35"/>
    </row>
    <row r="536" ht="12.0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  <c r="AC536" s="35"/>
      <c r="AD536" s="35"/>
      <c r="AE536" s="35"/>
    </row>
    <row r="537" ht="12.0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  <c r="AC537" s="35"/>
      <c r="AD537" s="35"/>
      <c r="AE537" s="35"/>
    </row>
    <row r="538" ht="12.0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  <c r="AC538" s="35"/>
      <c r="AD538" s="35"/>
      <c r="AE538" s="35"/>
    </row>
    <row r="539" ht="12.0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  <c r="AC539" s="35"/>
      <c r="AD539" s="35"/>
      <c r="AE539" s="35"/>
    </row>
    <row r="540" ht="12.0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  <c r="AC540" s="35"/>
      <c r="AD540" s="35"/>
      <c r="AE540" s="35"/>
    </row>
    <row r="541" ht="12.0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  <c r="AC541" s="35"/>
      <c r="AD541" s="35"/>
      <c r="AE541" s="35"/>
    </row>
    <row r="542" ht="12.0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  <c r="AC542" s="35"/>
      <c r="AD542" s="35"/>
      <c r="AE542" s="35"/>
    </row>
    <row r="543" ht="12.0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  <c r="AC543" s="35"/>
      <c r="AD543" s="35"/>
      <c r="AE543" s="35"/>
    </row>
    <row r="544" ht="12.0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  <c r="AC544" s="35"/>
      <c r="AD544" s="35"/>
      <c r="AE544" s="35"/>
    </row>
    <row r="545" ht="12.0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  <c r="AC545" s="35"/>
      <c r="AD545" s="35"/>
      <c r="AE545" s="35"/>
    </row>
    <row r="546" ht="12.0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</row>
    <row r="547" ht="12.0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  <c r="AC547" s="35"/>
      <c r="AD547" s="35"/>
      <c r="AE547" s="35"/>
    </row>
    <row r="548" ht="12.0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  <c r="AC548" s="35"/>
      <c r="AD548" s="35"/>
      <c r="AE548" s="35"/>
    </row>
    <row r="549" ht="12.0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  <c r="AC549" s="35"/>
      <c r="AD549" s="35"/>
      <c r="AE549" s="35"/>
    </row>
    <row r="550" ht="12.0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  <c r="AC550" s="35"/>
      <c r="AD550" s="35"/>
      <c r="AE550" s="35"/>
    </row>
    <row r="551" ht="12.0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  <c r="AC551" s="35"/>
      <c r="AD551" s="35"/>
      <c r="AE551" s="35"/>
    </row>
    <row r="552" ht="12.0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  <c r="AC552" s="35"/>
      <c r="AD552" s="35"/>
      <c r="AE552" s="35"/>
    </row>
    <row r="553" ht="12.0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</row>
    <row r="554" ht="12.0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</row>
    <row r="555" ht="12.0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</row>
    <row r="556" ht="12.0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</row>
    <row r="557" ht="12.0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</row>
    <row r="558" ht="12.0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</row>
    <row r="559" ht="12.0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</row>
    <row r="560" ht="12.0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</row>
    <row r="561" ht="12.0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</row>
    <row r="562" ht="12.0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</row>
    <row r="563" ht="12.0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</row>
    <row r="564" ht="12.0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</row>
    <row r="565" ht="12.0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</row>
    <row r="566" ht="12.0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</row>
    <row r="567" ht="12.0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</row>
    <row r="568" ht="12.0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</row>
    <row r="569" ht="12.0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</row>
    <row r="570" ht="12.0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</row>
    <row r="571" ht="12.0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</row>
    <row r="572" ht="12.0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</row>
    <row r="573" ht="12.0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</row>
    <row r="574" ht="12.0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</row>
    <row r="575" ht="12.0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</row>
    <row r="576" ht="12.0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</row>
    <row r="577" ht="12.0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</row>
    <row r="578" ht="12.0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</row>
    <row r="579" ht="12.0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</row>
    <row r="580" ht="12.0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  <c r="AC580" s="35"/>
      <c r="AD580" s="35"/>
      <c r="AE580" s="35"/>
    </row>
    <row r="581" ht="12.0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  <c r="AC581" s="35"/>
      <c r="AD581" s="35"/>
      <c r="AE581" s="35"/>
    </row>
    <row r="582" ht="12.0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  <c r="AC582" s="35"/>
      <c r="AD582" s="35"/>
      <c r="AE582" s="35"/>
    </row>
    <row r="583" ht="12.0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  <c r="AC583" s="35"/>
      <c r="AD583" s="35"/>
      <c r="AE583" s="35"/>
    </row>
    <row r="584" ht="12.0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  <c r="AC584" s="35"/>
      <c r="AD584" s="35"/>
      <c r="AE584" s="35"/>
    </row>
    <row r="585" ht="12.0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  <c r="AC585" s="35"/>
      <c r="AD585" s="35"/>
      <c r="AE585" s="35"/>
    </row>
    <row r="586" ht="12.0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  <c r="AC586" s="35"/>
      <c r="AD586" s="35"/>
      <c r="AE586" s="35"/>
    </row>
    <row r="587" ht="12.0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  <c r="AC587" s="35"/>
      <c r="AD587" s="35"/>
      <c r="AE587" s="35"/>
    </row>
    <row r="588" ht="12.0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</row>
    <row r="589" ht="12.0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  <c r="AC589" s="35"/>
      <c r="AD589" s="35"/>
      <c r="AE589" s="35"/>
    </row>
    <row r="590" ht="12.0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  <c r="AC590" s="35"/>
      <c r="AD590" s="35"/>
      <c r="AE590" s="35"/>
    </row>
    <row r="591" ht="12.0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  <c r="AC591" s="35"/>
      <c r="AD591" s="35"/>
      <c r="AE591" s="35"/>
    </row>
    <row r="592" ht="12.0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  <c r="AC592" s="35"/>
      <c r="AD592" s="35"/>
      <c r="AE592" s="35"/>
    </row>
    <row r="593" ht="12.0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  <c r="AC593" s="35"/>
      <c r="AD593" s="35"/>
      <c r="AE593" s="35"/>
    </row>
    <row r="594" ht="12.0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  <c r="AC594" s="35"/>
      <c r="AD594" s="35"/>
      <c r="AE594" s="35"/>
    </row>
    <row r="595" ht="12.0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  <c r="AC595" s="35"/>
      <c r="AD595" s="35"/>
      <c r="AE595" s="35"/>
    </row>
    <row r="596" ht="12.0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  <c r="AC596" s="35"/>
      <c r="AD596" s="35"/>
      <c r="AE596" s="35"/>
    </row>
    <row r="597" ht="12.0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  <c r="AC597" s="35"/>
      <c r="AD597" s="35"/>
      <c r="AE597" s="35"/>
    </row>
    <row r="598" ht="12.0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  <c r="AC598" s="35"/>
      <c r="AD598" s="35"/>
      <c r="AE598" s="35"/>
    </row>
    <row r="599" ht="12.0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  <c r="AC599" s="35"/>
      <c r="AD599" s="35"/>
      <c r="AE599" s="35"/>
    </row>
    <row r="600" ht="12.0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  <c r="AC600" s="35"/>
      <c r="AD600" s="35"/>
      <c r="AE600" s="35"/>
    </row>
    <row r="601" ht="12.0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  <c r="AC601" s="35"/>
      <c r="AD601" s="35"/>
      <c r="AE601" s="35"/>
    </row>
    <row r="602" ht="12.0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  <c r="AC602" s="35"/>
      <c r="AD602" s="35"/>
      <c r="AE602" s="35"/>
    </row>
    <row r="603" ht="12.0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  <c r="AC603" s="35"/>
      <c r="AD603" s="35"/>
      <c r="AE603" s="35"/>
    </row>
    <row r="604" ht="12.0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</row>
    <row r="605" ht="12.0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</row>
    <row r="606" ht="12.0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</row>
    <row r="607" ht="12.0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  <c r="AC607" s="35"/>
      <c r="AD607" s="35"/>
      <c r="AE607" s="35"/>
    </row>
    <row r="608" ht="12.0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  <c r="AC608" s="35"/>
      <c r="AD608" s="35"/>
      <c r="AE608" s="35"/>
    </row>
    <row r="609" ht="12.0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  <c r="AC609" s="35"/>
      <c r="AD609" s="35"/>
      <c r="AE609" s="35"/>
    </row>
    <row r="610" ht="12.0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  <c r="AC610" s="35"/>
      <c r="AD610" s="35"/>
      <c r="AE610" s="35"/>
    </row>
    <row r="611" ht="12.0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  <c r="AC611" s="35"/>
      <c r="AD611" s="35"/>
      <c r="AE611" s="35"/>
    </row>
    <row r="612" ht="12.0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  <c r="AC612" s="35"/>
      <c r="AD612" s="35"/>
      <c r="AE612" s="35"/>
    </row>
    <row r="613" ht="12.0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  <c r="AC613" s="35"/>
      <c r="AD613" s="35"/>
      <c r="AE613" s="35"/>
    </row>
    <row r="614" ht="12.0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  <c r="AC614" s="35"/>
      <c r="AD614" s="35"/>
      <c r="AE614" s="35"/>
    </row>
    <row r="615" ht="12.0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</row>
    <row r="616" ht="12.0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  <c r="AC616" s="35"/>
      <c r="AD616" s="35"/>
      <c r="AE616" s="35"/>
    </row>
    <row r="617" ht="12.0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  <c r="AC617" s="35"/>
      <c r="AD617" s="35"/>
      <c r="AE617" s="35"/>
    </row>
    <row r="618" ht="12.0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  <c r="AC618" s="35"/>
      <c r="AD618" s="35"/>
      <c r="AE618" s="35"/>
    </row>
    <row r="619" ht="12.0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  <c r="AC619" s="35"/>
      <c r="AD619" s="35"/>
      <c r="AE619" s="35"/>
    </row>
    <row r="620" ht="12.0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  <c r="AC620" s="35"/>
      <c r="AD620" s="35"/>
      <c r="AE620" s="35"/>
    </row>
    <row r="621" ht="12.0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  <c r="AC621" s="35"/>
      <c r="AD621" s="35"/>
      <c r="AE621" s="35"/>
    </row>
    <row r="622" ht="12.0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  <c r="AC622" s="35"/>
      <c r="AD622" s="35"/>
      <c r="AE622" s="35"/>
    </row>
    <row r="623" ht="12.0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  <c r="AC623" s="35"/>
      <c r="AD623" s="35"/>
      <c r="AE623" s="35"/>
    </row>
    <row r="624" ht="12.0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  <c r="AC624" s="35"/>
      <c r="AD624" s="35"/>
      <c r="AE624" s="35"/>
    </row>
    <row r="625" ht="12.0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  <c r="AC625" s="35"/>
      <c r="AD625" s="35"/>
      <c r="AE625" s="35"/>
    </row>
    <row r="626" ht="12.0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  <c r="AC626" s="35"/>
      <c r="AD626" s="35"/>
      <c r="AE626" s="35"/>
    </row>
    <row r="627" ht="12.0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  <c r="AC627" s="35"/>
      <c r="AD627" s="35"/>
      <c r="AE627" s="35"/>
    </row>
    <row r="628" ht="12.0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  <c r="AC628" s="35"/>
      <c r="AD628" s="35"/>
      <c r="AE628" s="35"/>
    </row>
    <row r="629" ht="12.0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  <c r="AC629" s="35"/>
      <c r="AD629" s="35"/>
      <c r="AE629" s="35"/>
    </row>
    <row r="630" ht="12.0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  <c r="AC630" s="35"/>
      <c r="AD630" s="35"/>
      <c r="AE630" s="35"/>
    </row>
    <row r="631" ht="12.0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  <c r="AC631" s="35"/>
      <c r="AD631" s="35"/>
      <c r="AE631" s="35"/>
    </row>
    <row r="632" ht="12.0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  <c r="AC632" s="35"/>
      <c r="AD632" s="35"/>
      <c r="AE632" s="35"/>
    </row>
    <row r="633" ht="12.0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  <c r="AC633" s="35"/>
      <c r="AD633" s="35"/>
      <c r="AE633" s="35"/>
    </row>
    <row r="634" ht="12.0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  <c r="AC634" s="35"/>
      <c r="AD634" s="35"/>
      <c r="AE634" s="35"/>
    </row>
    <row r="635" ht="12.0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  <c r="AC635" s="35"/>
      <c r="AD635" s="35"/>
      <c r="AE635" s="35"/>
    </row>
    <row r="636" ht="12.0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  <c r="AC636" s="35"/>
      <c r="AD636" s="35"/>
      <c r="AE636" s="35"/>
    </row>
    <row r="637" ht="12.0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  <c r="AC637" s="35"/>
      <c r="AD637" s="35"/>
      <c r="AE637" s="35"/>
    </row>
    <row r="638" ht="12.0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  <c r="AC638" s="35"/>
      <c r="AD638" s="35"/>
      <c r="AE638" s="35"/>
    </row>
    <row r="639" ht="12.0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  <c r="AC639" s="35"/>
      <c r="AD639" s="35"/>
      <c r="AE639" s="35"/>
    </row>
    <row r="640" ht="12.0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  <c r="AC640" s="35"/>
      <c r="AD640" s="35"/>
      <c r="AE640" s="35"/>
    </row>
    <row r="641" ht="12.0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  <c r="AC641" s="35"/>
      <c r="AD641" s="35"/>
      <c r="AE641" s="35"/>
    </row>
    <row r="642" ht="12.0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  <c r="AC642" s="35"/>
      <c r="AD642" s="35"/>
      <c r="AE642" s="35"/>
    </row>
    <row r="643" ht="12.0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  <c r="AC643" s="35"/>
      <c r="AD643" s="35"/>
      <c r="AE643" s="35"/>
    </row>
    <row r="644" ht="12.0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  <c r="AC644" s="35"/>
      <c r="AD644" s="35"/>
      <c r="AE644" s="35"/>
    </row>
    <row r="645" ht="12.0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  <c r="AC645" s="35"/>
      <c r="AD645" s="35"/>
      <c r="AE645" s="35"/>
    </row>
    <row r="646" ht="12.0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  <c r="AC646" s="35"/>
      <c r="AD646" s="35"/>
      <c r="AE646" s="35"/>
    </row>
    <row r="647" ht="12.0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  <c r="AC647" s="35"/>
      <c r="AD647" s="35"/>
      <c r="AE647" s="35"/>
    </row>
    <row r="648" ht="12.0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  <c r="AC648" s="35"/>
      <c r="AD648" s="35"/>
      <c r="AE648" s="35"/>
    </row>
    <row r="649" ht="12.0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  <c r="AC649" s="35"/>
      <c r="AD649" s="35"/>
      <c r="AE649" s="35"/>
    </row>
    <row r="650" ht="12.0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  <c r="AC650" s="35"/>
      <c r="AD650" s="35"/>
      <c r="AE650" s="35"/>
    </row>
    <row r="651" ht="12.0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  <c r="AC651" s="35"/>
      <c r="AD651" s="35"/>
      <c r="AE651" s="35"/>
    </row>
    <row r="652" ht="12.0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  <c r="AC652" s="35"/>
      <c r="AD652" s="35"/>
      <c r="AE652" s="35"/>
    </row>
    <row r="653" ht="12.0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  <c r="AC653" s="35"/>
      <c r="AD653" s="35"/>
      <c r="AE653" s="35"/>
    </row>
    <row r="654" ht="12.0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  <c r="AC654" s="35"/>
      <c r="AD654" s="35"/>
      <c r="AE654" s="35"/>
    </row>
    <row r="655" ht="12.0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  <c r="AC655" s="35"/>
      <c r="AD655" s="35"/>
      <c r="AE655" s="35"/>
    </row>
    <row r="656" ht="12.0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  <c r="AC656" s="35"/>
      <c r="AD656" s="35"/>
      <c r="AE656" s="35"/>
    </row>
    <row r="657" ht="12.0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  <c r="AC657" s="35"/>
      <c r="AD657" s="35"/>
      <c r="AE657" s="35"/>
    </row>
    <row r="658" ht="12.0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  <c r="AC658" s="35"/>
      <c r="AD658" s="35"/>
      <c r="AE658" s="35"/>
    </row>
    <row r="659" ht="12.0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  <c r="AC659" s="35"/>
      <c r="AD659" s="35"/>
      <c r="AE659" s="35"/>
    </row>
    <row r="660" ht="12.0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  <c r="AC660" s="35"/>
      <c r="AD660" s="35"/>
      <c r="AE660" s="35"/>
    </row>
    <row r="661" ht="12.0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  <c r="AC661" s="35"/>
      <c r="AD661" s="35"/>
      <c r="AE661" s="35"/>
    </row>
    <row r="662" ht="12.0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  <c r="AC662" s="35"/>
      <c r="AD662" s="35"/>
      <c r="AE662" s="35"/>
    </row>
    <row r="663" ht="12.0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  <c r="AC663" s="35"/>
      <c r="AD663" s="35"/>
      <c r="AE663" s="35"/>
    </row>
    <row r="664" ht="12.0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  <c r="AC664" s="35"/>
      <c r="AD664" s="35"/>
      <c r="AE664" s="35"/>
    </row>
    <row r="665" ht="12.0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  <c r="AC665" s="35"/>
      <c r="AD665" s="35"/>
      <c r="AE665" s="35"/>
    </row>
    <row r="666" ht="12.0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  <c r="AC666" s="35"/>
      <c r="AD666" s="35"/>
      <c r="AE666" s="35"/>
    </row>
    <row r="667" ht="12.0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  <c r="AC667" s="35"/>
      <c r="AD667" s="35"/>
      <c r="AE667" s="35"/>
    </row>
    <row r="668" ht="12.0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  <c r="AC668" s="35"/>
      <c r="AD668" s="35"/>
      <c r="AE668" s="35"/>
    </row>
    <row r="669" ht="12.0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  <c r="AC669" s="35"/>
      <c r="AD669" s="35"/>
      <c r="AE669" s="35"/>
    </row>
    <row r="670" ht="12.0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  <c r="AC670" s="35"/>
      <c r="AD670" s="35"/>
      <c r="AE670" s="35"/>
    </row>
    <row r="671" ht="12.0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  <c r="AC671" s="35"/>
      <c r="AD671" s="35"/>
      <c r="AE671" s="35"/>
    </row>
    <row r="672" ht="12.0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  <c r="AC672" s="35"/>
      <c r="AD672" s="35"/>
      <c r="AE672" s="35"/>
    </row>
    <row r="673" ht="12.0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  <c r="AC673" s="35"/>
      <c r="AD673" s="35"/>
      <c r="AE673" s="35"/>
    </row>
    <row r="674" ht="12.0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  <c r="AC674" s="35"/>
      <c r="AD674" s="35"/>
      <c r="AE674" s="35"/>
    </row>
    <row r="675" ht="12.0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  <c r="AC675" s="35"/>
      <c r="AD675" s="35"/>
      <c r="AE675" s="35"/>
    </row>
    <row r="676" ht="12.0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  <c r="AC676" s="35"/>
      <c r="AD676" s="35"/>
      <c r="AE676" s="35"/>
    </row>
    <row r="677" ht="12.0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  <c r="AC677" s="35"/>
      <c r="AD677" s="35"/>
      <c r="AE677" s="35"/>
    </row>
    <row r="678" ht="12.0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  <c r="AC678" s="35"/>
      <c r="AD678" s="35"/>
      <c r="AE678" s="35"/>
    </row>
    <row r="679" ht="12.0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  <c r="AC679" s="35"/>
      <c r="AD679" s="35"/>
      <c r="AE679" s="35"/>
    </row>
    <row r="680" ht="12.0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  <c r="AC680" s="35"/>
      <c r="AD680" s="35"/>
      <c r="AE680" s="35"/>
    </row>
    <row r="681" ht="12.0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  <c r="AC681" s="35"/>
      <c r="AD681" s="35"/>
      <c r="AE681" s="35"/>
    </row>
    <row r="682" ht="12.0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  <c r="AC682" s="35"/>
      <c r="AD682" s="35"/>
      <c r="AE682" s="35"/>
    </row>
    <row r="683" ht="12.0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  <c r="AC683" s="35"/>
      <c r="AD683" s="35"/>
      <c r="AE683" s="35"/>
    </row>
    <row r="684" ht="12.0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  <c r="AC684" s="35"/>
      <c r="AD684" s="35"/>
      <c r="AE684" s="35"/>
    </row>
    <row r="685" ht="12.0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  <c r="AC685" s="35"/>
      <c r="AD685" s="35"/>
      <c r="AE685" s="35"/>
    </row>
    <row r="686" ht="12.0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  <c r="AC686" s="35"/>
      <c r="AD686" s="35"/>
      <c r="AE686" s="35"/>
    </row>
    <row r="687" ht="12.0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  <c r="AC687" s="35"/>
      <c r="AD687" s="35"/>
      <c r="AE687" s="35"/>
    </row>
    <row r="688" ht="12.0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  <c r="AC688" s="35"/>
      <c r="AD688" s="35"/>
      <c r="AE688" s="35"/>
    </row>
    <row r="689" ht="12.0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  <c r="AC689" s="35"/>
      <c r="AD689" s="35"/>
      <c r="AE689" s="35"/>
    </row>
    <row r="690" ht="12.0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  <c r="AC690" s="35"/>
      <c r="AD690" s="35"/>
      <c r="AE690" s="35"/>
    </row>
    <row r="691" ht="12.0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  <c r="AC691" s="35"/>
      <c r="AD691" s="35"/>
      <c r="AE691" s="35"/>
    </row>
    <row r="692" ht="12.0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  <c r="AC692" s="35"/>
      <c r="AD692" s="35"/>
      <c r="AE692" s="35"/>
    </row>
    <row r="693" ht="12.0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  <c r="AC693" s="35"/>
      <c r="AD693" s="35"/>
      <c r="AE693" s="35"/>
    </row>
    <row r="694" ht="12.0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  <c r="AC694" s="35"/>
      <c r="AD694" s="35"/>
      <c r="AE694" s="35"/>
    </row>
    <row r="695" ht="12.0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  <c r="AC695" s="35"/>
      <c r="AD695" s="35"/>
      <c r="AE695" s="35"/>
    </row>
    <row r="696" ht="12.0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  <c r="AC696" s="35"/>
      <c r="AD696" s="35"/>
      <c r="AE696" s="35"/>
    </row>
    <row r="697" ht="12.0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  <c r="AC697" s="35"/>
      <c r="AD697" s="35"/>
      <c r="AE697" s="35"/>
    </row>
    <row r="698" ht="12.0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  <c r="AC698" s="35"/>
      <c r="AD698" s="35"/>
      <c r="AE698" s="35"/>
    </row>
    <row r="699" ht="12.0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  <c r="AC699" s="35"/>
      <c r="AD699" s="35"/>
      <c r="AE699" s="35"/>
    </row>
    <row r="700" ht="12.0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  <c r="AC700" s="35"/>
      <c r="AD700" s="35"/>
      <c r="AE700" s="35"/>
    </row>
    <row r="701" ht="12.0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  <c r="AC701" s="35"/>
      <c r="AD701" s="35"/>
      <c r="AE701" s="35"/>
    </row>
    <row r="702" ht="12.0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  <c r="AC702" s="35"/>
      <c r="AD702" s="35"/>
      <c r="AE702" s="35"/>
    </row>
    <row r="703" ht="12.0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  <c r="AC703" s="35"/>
      <c r="AD703" s="35"/>
      <c r="AE703" s="35"/>
    </row>
    <row r="704" ht="12.0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  <c r="AC704" s="35"/>
      <c r="AD704" s="35"/>
      <c r="AE704" s="35"/>
    </row>
    <row r="705" ht="12.0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  <c r="AC705" s="35"/>
      <c r="AD705" s="35"/>
      <c r="AE705" s="35"/>
    </row>
    <row r="706" ht="12.0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  <c r="AC706" s="35"/>
      <c r="AD706" s="35"/>
      <c r="AE706" s="35"/>
    </row>
    <row r="707" ht="12.0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  <c r="AC707" s="35"/>
      <c r="AD707" s="35"/>
      <c r="AE707" s="35"/>
    </row>
    <row r="708" ht="12.0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  <c r="AC708" s="35"/>
      <c r="AD708" s="35"/>
      <c r="AE708" s="35"/>
    </row>
    <row r="709" ht="12.0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  <c r="AC709" s="35"/>
      <c r="AD709" s="35"/>
      <c r="AE709" s="35"/>
    </row>
    <row r="710" ht="12.0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  <c r="AC710" s="35"/>
      <c r="AD710" s="35"/>
      <c r="AE710" s="35"/>
    </row>
    <row r="711" ht="12.0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  <c r="AC711" s="35"/>
      <c r="AD711" s="35"/>
      <c r="AE711" s="35"/>
    </row>
    <row r="712" ht="12.0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</row>
    <row r="713" ht="12.0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  <c r="AC713" s="35"/>
      <c r="AD713" s="35"/>
      <c r="AE713" s="35"/>
    </row>
    <row r="714" ht="12.0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  <c r="AC714" s="35"/>
      <c r="AD714" s="35"/>
      <c r="AE714" s="35"/>
    </row>
    <row r="715" ht="12.0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  <c r="AC715" s="35"/>
      <c r="AD715" s="35"/>
      <c r="AE715" s="35"/>
    </row>
    <row r="716" ht="12.0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  <c r="AC716" s="35"/>
      <c r="AD716" s="35"/>
      <c r="AE716" s="35"/>
    </row>
    <row r="717" ht="12.0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  <c r="AC717" s="35"/>
      <c r="AD717" s="35"/>
      <c r="AE717" s="35"/>
    </row>
    <row r="718" ht="12.0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  <c r="AC718" s="35"/>
      <c r="AD718" s="35"/>
      <c r="AE718" s="35"/>
    </row>
    <row r="719" ht="12.0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  <c r="AC719" s="35"/>
      <c r="AD719" s="35"/>
      <c r="AE719" s="35"/>
    </row>
    <row r="720" ht="12.0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  <c r="AC720" s="35"/>
      <c r="AD720" s="35"/>
      <c r="AE720" s="35"/>
    </row>
    <row r="721" ht="12.0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  <c r="AC721" s="35"/>
      <c r="AD721" s="35"/>
      <c r="AE721" s="35"/>
    </row>
    <row r="722" ht="12.0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  <c r="AC722" s="35"/>
      <c r="AD722" s="35"/>
      <c r="AE722" s="35"/>
    </row>
    <row r="723" ht="12.0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  <c r="AC723" s="35"/>
      <c r="AD723" s="35"/>
      <c r="AE723" s="35"/>
    </row>
    <row r="724" ht="12.0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  <c r="AC724" s="35"/>
      <c r="AD724" s="35"/>
      <c r="AE724" s="35"/>
    </row>
    <row r="725" ht="12.0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  <c r="AC725" s="35"/>
      <c r="AD725" s="35"/>
      <c r="AE725" s="35"/>
    </row>
    <row r="726" ht="12.0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  <c r="AC726" s="35"/>
      <c r="AD726" s="35"/>
      <c r="AE726" s="35"/>
    </row>
    <row r="727" ht="12.0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  <c r="AC727" s="35"/>
      <c r="AD727" s="35"/>
      <c r="AE727" s="35"/>
    </row>
    <row r="728" ht="12.0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  <c r="AC728" s="35"/>
      <c r="AD728" s="35"/>
      <c r="AE728" s="35"/>
    </row>
    <row r="729" ht="12.0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  <c r="AC729" s="35"/>
      <c r="AD729" s="35"/>
      <c r="AE729" s="35"/>
    </row>
    <row r="730" ht="12.0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  <c r="AC730" s="35"/>
      <c r="AD730" s="35"/>
      <c r="AE730" s="35"/>
    </row>
    <row r="731" ht="12.0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  <c r="AC731" s="35"/>
      <c r="AD731" s="35"/>
      <c r="AE731" s="35"/>
    </row>
    <row r="732" ht="12.0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  <c r="AC732" s="35"/>
      <c r="AD732" s="35"/>
      <c r="AE732" s="35"/>
    </row>
    <row r="733" ht="12.0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  <c r="AC733" s="35"/>
      <c r="AD733" s="35"/>
      <c r="AE733" s="35"/>
    </row>
    <row r="734" ht="12.0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  <c r="AC734" s="35"/>
      <c r="AD734" s="35"/>
      <c r="AE734" s="35"/>
    </row>
    <row r="735" ht="12.0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  <c r="AC735" s="35"/>
      <c r="AD735" s="35"/>
      <c r="AE735" s="35"/>
    </row>
    <row r="736" ht="12.0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  <c r="AC736" s="35"/>
      <c r="AD736" s="35"/>
      <c r="AE736" s="35"/>
    </row>
    <row r="737" ht="12.0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  <c r="AC737" s="35"/>
      <c r="AD737" s="35"/>
      <c r="AE737" s="35"/>
    </row>
    <row r="738" ht="12.0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  <c r="AC738" s="35"/>
      <c r="AD738" s="35"/>
      <c r="AE738" s="35"/>
    </row>
    <row r="739" ht="12.0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  <c r="AC739" s="35"/>
      <c r="AD739" s="35"/>
      <c r="AE739" s="35"/>
    </row>
    <row r="740" ht="12.0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  <c r="AC740" s="35"/>
      <c r="AD740" s="35"/>
      <c r="AE740" s="35"/>
    </row>
    <row r="741" ht="12.0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  <c r="AC741" s="35"/>
      <c r="AD741" s="35"/>
      <c r="AE741" s="35"/>
    </row>
    <row r="742" ht="12.0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  <c r="AC742" s="35"/>
      <c r="AD742" s="35"/>
      <c r="AE742" s="35"/>
    </row>
    <row r="743" ht="12.0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  <c r="AC743" s="35"/>
      <c r="AD743" s="35"/>
      <c r="AE743" s="35"/>
    </row>
    <row r="744" ht="12.0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  <c r="AC744" s="35"/>
      <c r="AD744" s="35"/>
      <c r="AE744" s="35"/>
    </row>
    <row r="745" ht="12.0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  <c r="AC745" s="35"/>
      <c r="AD745" s="35"/>
      <c r="AE745" s="35"/>
    </row>
    <row r="746" ht="12.0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  <c r="AC746" s="35"/>
      <c r="AD746" s="35"/>
      <c r="AE746" s="35"/>
    </row>
    <row r="747" ht="12.0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  <c r="AC747" s="35"/>
      <c r="AD747" s="35"/>
      <c r="AE747" s="35"/>
    </row>
    <row r="748" ht="12.0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  <c r="AC748" s="35"/>
      <c r="AD748" s="35"/>
      <c r="AE748" s="35"/>
    </row>
    <row r="749" ht="12.0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  <c r="AC749" s="35"/>
      <c r="AD749" s="35"/>
      <c r="AE749" s="35"/>
    </row>
    <row r="750" ht="12.0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  <c r="AC750" s="35"/>
      <c r="AD750" s="35"/>
      <c r="AE750" s="35"/>
    </row>
    <row r="751" ht="12.0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  <c r="AC751" s="35"/>
      <c r="AD751" s="35"/>
      <c r="AE751" s="35"/>
    </row>
    <row r="752" ht="12.0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  <c r="AC752" s="35"/>
      <c r="AD752" s="35"/>
      <c r="AE752" s="35"/>
    </row>
    <row r="753" ht="12.0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  <c r="AC753" s="35"/>
      <c r="AD753" s="35"/>
      <c r="AE753" s="35"/>
    </row>
    <row r="754" ht="12.0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  <c r="AC754" s="35"/>
      <c r="AD754" s="35"/>
      <c r="AE754" s="35"/>
    </row>
    <row r="755" ht="12.0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  <c r="AC755" s="35"/>
      <c r="AD755" s="35"/>
      <c r="AE755" s="35"/>
    </row>
    <row r="756" ht="12.0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  <c r="AC756" s="35"/>
      <c r="AD756" s="35"/>
      <c r="AE756" s="35"/>
    </row>
    <row r="757" ht="12.0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  <c r="AC757" s="35"/>
      <c r="AD757" s="35"/>
      <c r="AE757" s="35"/>
    </row>
    <row r="758" ht="12.0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  <c r="AC758" s="35"/>
      <c r="AD758" s="35"/>
      <c r="AE758" s="35"/>
    </row>
    <row r="759" ht="12.0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  <c r="AC759" s="35"/>
      <c r="AD759" s="35"/>
      <c r="AE759" s="35"/>
    </row>
    <row r="760" ht="12.0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  <c r="AC760" s="35"/>
      <c r="AD760" s="35"/>
      <c r="AE760" s="35"/>
    </row>
    <row r="761" ht="12.0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  <c r="AC761" s="35"/>
      <c r="AD761" s="35"/>
      <c r="AE761" s="35"/>
    </row>
    <row r="762" ht="12.0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  <c r="AC762" s="35"/>
      <c r="AD762" s="35"/>
      <c r="AE762" s="35"/>
    </row>
    <row r="763" ht="12.0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  <c r="AC763" s="35"/>
      <c r="AD763" s="35"/>
      <c r="AE763" s="35"/>
    </row>
    <row r="764" ht="12.0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  <c r="AC764" s="35"/>
      <c r="AD764" s="35"/>
      <c r="AE764" s="35"/>
    </row>
    <row r="765" ht="12.0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  <c r="AC765" s="35"/>
      <c r="AD765" s="35"/>
      <c r="AE765" s="35"/>
    </row>
    <row r="766" ht="12.0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  <c r="AC766" s="35"/>
      <c r="AD766" s="35"/>
      <c r="AE766" s="35"/>
    </row>
    <row r="767" ht="12.0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  <c r="AC767" s="35"/>
      <c r="AD767" s="35"/>
      <c r="AE767" s="35"/>
    </row>
    <row r="768" ht="12.0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  <c r="AC768" s="35"/>
      <c r="AD768" s="35"/>
      <c r="AE768" s="35"/>
    </row>
    <row r="769" ht="12.0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  <c r="AC769" s="35"/>
      <c r="AD769" s="35"/>
      <c r="AE769" s="35"/>
    </row>
    <row r="770" ht="12.0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  <c r="AC770" s="35"/>
      <c r="AD770" s="35"/>
      <c r="AE770" s="35"/>
    </row>
    <row r="771" ht="12.0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  <c r="AC771" s="35"/>
      <c r="AD771" s="35"/>
      <c r="AE771" s="35"/>
    </row>
    <row r="772" ht="12.0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  <c r="AC772" s="35"/>
      <c r="AD772" s="35"/>
      <c r="AE772" s="35"/>
    </row>
    <row r="773" ht="12.0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  <c r="AC773" s="35"/>
      <c r="AD773" s="35"/>
      <c r="AE773" s="35"/>
    </row>
    <row r="774" ht="12.0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  <c r="AC774" s="35"/>
      <c r="AD774" s="35"/>
      <c r="AE774" s="35"/>
    </row>
    <row r="775" ht="12.0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  <c r="AC775" s="35"/>
      <c r="AD775" s="35"/>
      <c r="AE775" s="35"/>
    </row>
    <row r="776" ht="12.0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  <c r="AC776" s="35"/>
      <c r="AD776" s="35"/>
      <c r="AE776" s="35"/>
    </row>
    <row r="777" ht="12.0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  <c r="AC777" s="35"/>
      <c r="AD777" s="35"/>
      <c r="AE777" s="35"/>
    </row>
    <row r="778" ht="12.0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  <c r="AC778" s="35"/>
      <c r="AD778" s="35"/>
      <c r="AE778" s="35"/>
    </row>
    <row r="779" ht="12.0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  <c r="AC779" s="35"/>
      <c r="AD779" s="35"/>
      <c r="AE779" s="35"/>
    </row>
    <row r="780" ht="12.0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  <c r="AC780" s="35"/>
      <c r="AD780" s="35"/>
      <c r="AE780" s="35"/>
    </row>
    <row r="781" ht="12.0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  <c r="AC781" s="35"/>
      <c r="AD781" s="35"/>
      <c r="AE781" s="35"/>
    </row>
    <row r="782" ht="12.0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  <c r="AC782" s="35"/>
      <c r="AD782" s="35"/>
      <c r="AE782" s="35"/>
    </row>
    <row r="783" ht="12.0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  <c r="AC783" s="35"/>
      <c r="AD783" s="35"/>
      <c r="AE783" s="35"/>
    </row>
    <row r="784" ht="12.0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  <c r="AC784" s="35"/>
      <c r="AD784" s="35"/>
      <c r="AE784" s="35"/>
    </row>
    <row r="785" ht="12.0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  <c r="AC785" s="35"/>
      <c r="AD785" s="35"/>
      <c r="AE785" s="35"/>
    </row>
    <row r="786" ht="12.0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  <c r="AC786" s="35"/>
      <c r="AD786" s="35"/>
      <c r="AE786" s="35"/>
    </row>
    <row r="787" ht="12.0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  <c r="AC787" s="35"/>
      <c r="AD787" s="35"/>
      <c r="AE787" s="35"/>
    </row>
    <row r="788" ht="12.0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  <c r="AC788" s="35"/>
      <c r="AD788" s="35"/>
      <c r="AE788" s="35"/>
    </row>
    <row r="789" ht="12.0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  <c r="AC789" s="35"/>
      <c r="AD789" s="35"/>
      <c r="AE789" s="35"/>
    </row>
    <row r="790" ht="12.0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  <c r="AC790" s="35"/>
      <c r="AD790" s="35"/>
      <c r="AE790" s="35"/>
    </row>
    <row r="791" ht="12.0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  <c r="AC791" s="35"/>
      <c r="AD791" s="35"/>
      <c r="AE791" s="35"/>
    </row>
    <row r="792" ht="12.0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  <c r="AC792" s="35"/>
      <c r="AD792" s="35"/>
      <c r="AE792" s="35"/>
    </row>
    <row r="793" ht="12.0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  <c r="AC793" s="35"/>
      <c r="AD793" s="35"/>
      <c r="AE793" s="35"/>
    </row>
    <row r="794" ht="12.0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  <c r="AC794" s="35"/>
      <c r="AD794" s="35"/>
      <c r="AE794" s="35"/>
    </row>
    <row r="795" ht="12.0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  <c r="AC795" s="35"/>
      <c r="AD795" s="35"/>
      <c r="AE795" s="35"/>
    </row>
    <row r="796" ht="12.0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  <c r="AC796" s="35"/>
      <c r="AD796" s="35"/>
      <c r="AE796" s="35"/>
    </row>
    <row r="797" ht="12.0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  <c r="AC797" s="35"/>
      <c r="AD797" s="35"/>
      <c r="AE797" s="35"/>
    </row>
    <row r="798" ht="12.0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  <c r="AC798" s="35"/>
      <c r="AD798" s="35"/>
      <c r="AE798" s="35"/>
    </row>
    <row r="799" ht="12.0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  <c r="AC799" s="35"/>
      <c r="AD799" s="35"/>
      <c r="AE799" s="35"/>
    </row>
    <row r="800" ht="12.0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  <c r="AC800" s="35"/>
      <c r="AD800" s="35"/>
      <c r="AE800" s="35"/>
    </row>
    <row r="801" ht="12.0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  <c r="AC801" s="35"/>
      <c r="AD801" s="35"/>
      <c r="AE801" s="35"/>
    </row>
    <row r="802" ht="12.0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  <c r="AC802" s="35"/>
      <c r="AD802" s="35"/>
      <c r="AE802" s="35"/>
    </row>
    <row r="803" ht="12.0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  <c r="AC803" s="35"/>
      <c r="AD803" s="35"/>
      <c r="AE803" s="35"/>
    </row>
    <row r="804" ht="12.0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  <c r="AC804" s="35"/>
      <c r="AD804" s="35"/>
      <c r="AE804" s="35"/>
    </row>
    <row r="805" ht="12.0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  <c r="AC805" s="35"/>
      <c r="AD805" s="35"/>
      <c r="AE805" s="35"/>
    </row>
    <row r="806" ht="12.0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  <c r="AC806" s="35"/>
      <c r="AD806" s="35"/>
      <c r="AE806" s="35"/>
    </row>
    <row r="807" ht="12.0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  <c r="AC807" s="35"/>
      <c r="AD807" s="35"/>
      <c r="AE807" s="35"/>
    </row>
    <row r="808" ht="12.0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  <c r="AC808" s="35"/>
      <c r="AD808" s="35"/>
      <c r="AE808" s="35"/>
    </row>
    <row r="809" ht="12.0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  <c r="AC809" s="35"/>
      <c r="AD809" s="35"/>
      <c r="AE809" s="35"/>
    </row>
    <row r="810" ht="12.0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  <c r="AC810" s="35"/>
      <c r="AD810" s="35"/>
      <c r="AE810" s="35"/>
    </row>
    <row r="811" ht="12.0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  <c r="AC811" s="35"/>
      <c r="AD811" s="35"/>
      <c r="AE811" s="35"/>
    </row>
    <row r="812" ht="12.0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  <c r="AC812" s="35"/>
      <c r="AD812" s="35"/>
      <c r="AE812" s="35"/>
    </row>
    <row r="813" ht="12.0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  <c r="AC813" s="35"/>
      <c r="AD813" s="35"/>
      <c r="AE813" s="35"/>
    </row>
    <row r="814" ht="12.0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  <c r="AC814" s="35"/>
      <c r="AD814" s="35"/>
      <c r="AE814" s="35"/>
    </row>
    <row r="815" ht="12.0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  <c r="AC815" s="35"/>
      <c r="AD815" s="35"/>
      <c r="AE815" s="35"/>
    </row>
    <row r="816" ht="12.0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  <c r="AC816" s="35"/>
      <c r="AD816" s="35"/>
      <c r="AE816" s="35"/>
    </row>
    <row r="817" ht="12.0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  <c r="AC817" s="35"/>
      <c r="AD817" s="35"/>
      <c r="AE817" s="35"/>
    </row>
    <row r="818" ht="12.0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  <c r="AC818" s="35"/>
      <c r="AD818" s="35"/>
      <c r="AE818" s="35"/>
    </row>
    <row r="819" ht="12.0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  <c r="AC819" s="35"/>
      <c r="AD819" s="35"/>
      <c r="AE819" s="35"/>
    </row>
    <row r="820" ht="12.0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</row>
    <row r="821" ht="12.0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  <c r="AC821" s="35"/>
      <c r="AD821" s="35"/>
      <c r="AE821" s="35"/>
    </row>
    <row r="822" ht="12.0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</row>
    <row r="823" ht="12.0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  <c r="AC823" s="35"/>
      <c r="AD823" s="35"/>
      <c r="AE823" s="35"/>
    </row>
    <row r="824" ht="12.0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  <c r="AC824" s="35"/>
      <c r="AD824" s="35"/>
      <c r="AE824" s="35"/>
    </row>
    <row r="825" ht="12.0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  <c r="AC825" s="35"/>
      <c r="AD825" s="35"/>
      <c r="AE825" s="35"/>
    </row>
    <row r="826" ht="12.0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  <c r="AC826" s="35"/>
      <c r="AD826" s="35"/>
      <c r="AE826" s="35"/>
    </row>
    <row r="827" ht="12.0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  <c r="AC827" s="35"/>
      <c r="AD827" s="35"/>
      <c r="AE827" s="35"/>
    </row>
    <row r="828" ht="12.0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  <c r="AC828" s="35"/>
      <c r="AD828" s="35"/>
      <c r="AE828" s="35"/>
    </row>
    <row r="829" ht="12.0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  <c r="AC829" s="35"/>
      <c r="AD829" s="35"/>
      <c r="AE829" s="35"/>
    </row>
    <row r="830" ht="12.0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  <c r="AC830" s="35"/>
      <c r="AD830" s="35"/>
      <c r="AE830" s="35"/>
    </row>
    <row r="831" ht="12.0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  <c r="AC831" s="35"/>
      <c r="AD831" s="35"/>
      <c r="AE831" s="35"/>
    </row>
    <row r="832" ht="12.0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  <c r="AC832" s="35"/>
      <c r="AD832" s="35"/>
      <c r="AE832" s="35"/>
    </row>
    <row r="833" ht="12.0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  <c r="AC833" s="35"/>
      <c r="AD833" s="35"/>
      <c r="AE833" s="35"/>
    </row>
    <row r="834" ht="12.0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  <c r="AC834" s="35"/>
      <c r="AD834" s="35"/>
      <c r="AE834" s="35"/>
    </row>
    <row r="835" ht="12.0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  <c r="AC835" s="35"/>
      <c r="AD835" s="35"/>
      <c r="AE835" s="35"/>
    </row>
    <row r="836" ht="12.0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  <c r="AC836" s="35"/>
      <c r="AD836" s="35"/>
      <c r="AE836" s="35"/>
    </row>
    <row r="837" ht="12.0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  <c r="AC837" s="35"/>
      <c r="AD837" s="35"/>
      <c r="AE837" s="35"/>
    </row>
    <row r="838" ht="12.0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  <c r="AC838" s="35"/>
      <c r="AD838" s="35"/>
      <c r="AE838" s="35"/>
    </row>
    <row r="839" ht="12.0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  <c r="AC839" s="35"/>
      <c r="AD839" s="35"/>
      <c r="AE839" s="35"/>
    </row>
    <row r="840" ht="12.0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  <c r="AC840" s="35"/>
      <c r="AD840" s="35"/>
      <c r="AE840" s="35"/>
    </row>
    <row r="841" ht="12.0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</row>
    <row r="842" ht="12.0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  <c r="AC842" s="35"/>
      <c r="AD842" s="35"/>
      <c r="AE842" s="35"/>
    </row>
    <row r="843" ht="12.0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  <c r="AC843" s="35"/>
      <c r="AD843" s="35"/>
      <c r="AE843" s="35"/>
    </row>
    <row r="844" ht="12.0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</row>
    <row r="845" ht="12.0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  <c r="AC845" s="35"/>
      <c r="AD845" s="35"/>
      <c r="AE845" s="35"/>
    </row>
    <row r="846" ht="12.0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  <c r="AC846" s="35"/>
      <c r="AD846" s="35"/>
      <c r="AE846" s="35"/>
    </row>
    <row r="847" ht="12.0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  <c r="AC847" s="35"/>
      <c r="AD847" s="35"/>
      <c r="AE847" s="35"/>
    </row>
    <row r="848" ht="12.0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  <c r="AC848" s="35"/>
      <c r="AD848" s="35"/>
      <c r="AE848" s="35"/>
    </row>
    <row r="849" ht="12.0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  <c r="AC849" s="35"/>
      <c r="AD849" s="35"/>
      <c r="AE849" s="35"/>
    </row>
    <row r="850" ht="12.0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  <c r="AC850" s="35"/>
      <c r="AD850" s="35"/>
      <c r="AE850" s="35"/>
    </row>
    <row r="851" ht="12.0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  <c r="AC851" s="35"/>
      <c r="AD851" s="35"/>
      <c r="AE851" s="35"/>
    </row>
    <row r="852" ht="12.0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  <c r="AC852" s="35"/>
      <c r="AD852" s="35"/>
      <c r="AE852" s="35"/>
    </row>
    <row r="853" ht="12.0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  <c r="AC853" s="35"/>
      <c r="AD853" s="35"/>
      <c r="AE853" s="35"/>
    </row>
    <row r="854" ht="12.0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  <c r="AC854" s="35"/>
      <c r="AD854" s="35"/>
      <c r="AE854" s="35"/>
    </row>
    <row r="855" ht="12.0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  <c r="AC855" s="35"/>
      <c r="AD855" s="35"/>
      <c r="AE855" s="35"/>
    </row>
    <row r="856" ht="12.0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  <c r="AC856" s="35"/>
      <c r="AD856" s="35"/>
      <c r="AE856" s="35"/>
    </row>
    <row r="857" ht="12.0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  <c r="AC857" s="35"/>
      <c r="AD857" s="35"/>
      <c r="AE857" s="35"/>
    </row>
    <row r="858" ht="12.0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  <c r="AC858" s="35"/>
      <c r="AD858" s="35"/>
      <c r="AE858" s="35"/>
    </row>
    <row r="859" ht="12.0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  <c r="AC859" s="35"/>
      <c r="AD859" s="35"/>
      <c r="AE859" s="35"/>
    </row>
    <row r="860" ht="12.0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  <c r="AC860" s="35"/>
      <c r="AD860" s="35"/>
      <c r="AE860" s="35"/>
    </row>
    <row r="861" ht="12.0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  <c r="AC861" s="35"/>
      <c r="AD861" s="35"/>
      <c r="AE861" s="35"/>
    </row>
    <row r="862" ht="12.0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  <c r="AC862" s="35"/>
      <c r="AD862" s="35"/>
      <c r="AE862" s="35"/>
    </row>
    <row r="863" ht="12.0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  <c r="AC863" s="35"/>
      <c r="AD863" s="35"/>
      <c r="AE863" s="35"/>
    </row>
    <row r="864" ht="12.0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  <c r="AC864" s="35"/>
      <c r="AD864" s="35"/>
      <c r="AE864" s="35"/>
    </row>
    <row r="865" ht="12.0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  <c r="AC865" s="35"/>
      <c r="AD865" s="35"/>
      <c r="AE865" s="35"/>
    </row>
    <row r="866" ht="12.0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  <c r="AC866" s="35"/>
      <c r="AD866" s="35"/>
      <c r="AE866" s="35"/>
    </row>
    <row r="867" ht="12.0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  <c r="AC867" s="35"/>
      <c r="AD867" s="35"/>
      <c r="AE867" s="35"/>
    </row>
    <row r="868" ht="12.0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  <c r="AC868" s="35"/>
      <c r="AD868" s="35"/>
      <c r="AE868" s="35"/>
    </row>
    <row r="869" ht="12.0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  <c r="AC869" s="35"/>
      <c r="AD869" s="35"/>
      <c r="AE869" s="35"/>
    </row>
    <row r="870" ht="12.0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  <c r="AC870" s="35"/>
      <c r="AD870" s="35"/>
      <c r="AE870" s="35"/>
    </row>
    <row r="871" ht="12.0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  <c r="AC871" s="35"/>
      <c r="AD871" s="35"/>
      <c r="AE871" s="35"/>
    </row>
    <row r="872" ht="12.0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  <c r="AC872" s="35"/>
      <c r="AD872" s="35"/>
      <c r="AE872" s="35"/>
    </row>
    <row r="873" ht="12.0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  <c r="AC873" s="35"/>
      <c r="AD873" s="35"/>
      <c r="AE873" s="35"/>
    </row>
    <row r="874" ht="12.0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  <c r="AC874" s="35"/>
      <c r="AD874" s="35"/>
      <c r="AE874" s="35"/>
    </row>
    <row r="875" ht="12.0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  <c r="AC875" s="35"/>
      <c r="AD875" s="35"/>
      <c r="AE875" s="35"/>
    </row>
    <row r="876" ht="12.0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  <c r="AC876" s="35"/>
      <c r="AD876" s="35"/>
      <c r="AE876" s="35"/>
    </row>
    <row r="877" ht="12.0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  <c r="AC877" s="35"/>
      <c r="AD877" s="35"/>
      <c r="AE877" s="35"/>
    </row>
    <row r="878" ht="12.0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  <c r="AC878" s="35"/>
      <c r="AD878" s="35"/>
      <c r="AE878" s="35"/>
    </row>
    <row r="879" ht="12.0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  <c r="AC879" s="35"/>
      <c r="AD879" s="35"/>
      <c r="AE879" s="35"/>
    </row>
    <row r="880" ht="12.0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  <c r="AC880" s="35"/>
      <c r="AD880" s="35"/>
      <c r="AE880" s="35"/>
    </row>
    <row r="881" ht="12.0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  <c r="AC881" s="35"/>
      <c r="AD881" s="35"/>
      <c r="AE881" s="35"/>
    </row>
    <row r="882" ht="12.0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  <c r="AC882" s="35"/>
      <c r="AD882" s="35"/>
      <c r="AE882" s="35"/>
    </row>
    <row r="883" ht="12.0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  <c r="AC883" s="35"/>
      <c r="AD883" s="35"/>
      <c r="AE883" s="35"/>
    </row>
    <row r="884" ht="12.0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  <c r="AC884" s="35"/>
      <c r="AD884" s="35"/>
      <c r="AE884" s="35"/>
    </row>
    <row r="885" ht="12.0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  <c r="AC885" s="35"/>
      <c r="AD885" s="35"/>
      <c r="AE885" s="35"/>
    </row>
    <row r="886" ht="12.0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  <c r="AC886" s="35"/>
      <c r="AD886" s="35"/>
      <c r="AE886" s="35"/>
    </row>
    <row r="887" ht="12.0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</row>
    <row r="888" ht="12.0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  <c r="AC888" s="35"/>
      <c r="AD888" s="35"/>
      <c r="AE888" s="35"/>
    </row>
    <row r="889" ht="12.0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  <c r="AC889" s="35"/>
      <c r="AD889" s="35"/>
      <c r="AE889" s="35"/>
    </row>
    <row r="890" ht="12.0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  <c r="AC890" s="35"/>
      <c r="AD890" s="35"/>
      <c r="AE890" s="35"/>
    </row>
    <row r="891" ht="12.0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  <c r="AC891" s="35"/>
      <c r="AD891" s="35"/>
      <c r="AE891" s="35"/>
    </row>
    <row r="892" ht="12.0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  <c r="AC892" s="35"/>
      <c r="AD892" s="35"/>
      <c r="AE892" s="35"/>
    </row>
    <row r="893" ht="12.0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  <c r="AC893" s="35"/>
      <c r="AD893" s="35"/>
      <c r="AE893" s="35"/>
    </row>
    <row r="894" ht="12.0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  <c r="AC894" s="35"/>
      <c r="AD894" s="35"/>
      <c r="AE894" s="35"/>
    </row>
    <row r="895" ht="12.0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  <c r="AC895" s="35"/>
      <c r="AD895" s="35"/>
      <c r="AE895" s="35"/>
    </row>
    <row r="896" ht="12.0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  <c r="AC896" s="35"/>
      <c r="AD896" s="35"/>
      <c r="AE896" s="35"/>
    </row>
    <row r="897" ht="12.0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  <c r="AC897" s="35"/>
      <c r="AD897" s="35"/>
      <c r="AE897" s="35"/>
    </row>
    <row r="898" ht="12.0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  <c r="AC898" s="35"/>
      <c r="AD898" s="35"/>
      <c r="AE898" s="35"/>
    </row>
    <row r="899" ht="12.0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  <c r="AC899" s="35"/>
      <c r="AD899" s="35"/>
      <c r="AE899" s="35"/>
    </row>
    <row r="900" ht="12.0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  <c r="AC900" s="35"/>
      <c r="AD900" s="35"/>
      <c r="AE900" s="35"/>
    </row>
    <row r="901" ht="12.0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  <c r="AC901" s="35"/>
      <c r="AD901" s="35"/>
      <c r="AE901" s="35"/>
    </row>
    <row r="902" ht="12.0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  <c r="AC902" s="35"/>
      <c r="AD902" s="35"/>
      <c r="AE902" s="35"/>
    </row>
    <row r="903" ht="12.0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  <c r="AC903" s="35"/>
      <c r="AD903" s="35"/>
      <c r="AE903" s="35"/>
    </row>
    <row r="904" ht="12.0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  <c r="AC904" s="35"/>
      <c r="AD904" s="35"/>
      <c r="AE904" s="35"/>
    </row>
    <row r="905" ht="12.0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  <c r="AC905" s="35"/>
      <c r="AD905" s="35"/>
      <c r="AE905" s="35"/>
    </row>
    <row r="906" ht="12.0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  <c r="AC906" s="35"/>
      <c r="AD906" s="35"/>
      <c r="AE906" s="35"/>
    </row>
    <row r="907" ht="12.0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  <c r="AC907" s="35"/>
      <c r="AD907" s="35"/>
      <c r="AE907" s="35"/>
    </row>
    <row r="908" ht="12.0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  <c r="AC908" s="35"/>
      <c r="AD908" s="35"/>
      <c r="AE908" s="35"/>
    </row>
    <row r="909" ht="12.0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  <c r="AC909" s="35"/>
      <c r="AD909" s="35"/>
      <c r="AE909" s="35"/>
    </row>
    <row r="910" ht="12.0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  <c r="AC910" s="35"/>
      <c r="AD910" s="35"/>
      <c r="AE910" s="35"/>
    </row>
    <row r="911" ht="12.0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  <c r="AC911" s="35"/>
      <c r="AD911" s="35"/>
      <c r="AE911" s="35"/>
    </row>
    <row r="912" ht="12.0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  <c r="AC912" s="35"/>
      <c r="AD912" s="35"/>
      <c r="AE912" s="35"/>
    </row>
    <row r="913" ht="12.0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  <c r="AC913" s="35"/>
      <c r="AD913" s="35"/>
      <c r="AE913" s="35"/>
    </row>
    <row r="914" ht="12.0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  <c r="AC914" s="35"/>
      <c r="AD914" s="35"/>
      <c r="AE914" s="35"/>
    </row>
    <row r="915" ht="12.0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  <c r="AC915" s="35"/>
      <c r="AD915" s="35"/>
      <c r="AE915" s="35"/>
    </row>
    <row r="916" ht="12.0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  <c r="AC916" s="35"/>
      <c r="AD916" s="35"/>
      <c r="AE916" s="35"/>
    </row>
    <row r="917" ht="12.0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  <c r="AC917" s="35"/>
      <c r="AD917" s="35"/>
      <c r="AE917" s="35"/>
    </row>
    <row r="918" ht="12.0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  <c r="AC918" s="35"/>
      <c r="AD918" s="35"/>
      <c r="AE918" s="35"/>
    </row>
    <row r="919" ht="12.0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  <c r="AC919" s="35"/>
      <c r="AD919" s="35"/>
      <c r="AE919" s="35"/>
    </row>
    <row r="920" ht="12.0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  <c r="AC920" s="35"/>
      <c r="AD920" s="35"/>
      <c r="AE920" s="35"/>
    </row>
    <row r="921" ht="12.0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  <c r="AC921" s="35"/>
      <c r="AD921" s="35"/>
      <c r="AE921" s="35"/>
    </row>
    <row r="922" ht="12.0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  <c r="AC922" s="35"/>
      <c r="AD922" s="35"/>
      <c r="AE922" s="35"/>
    </row>
    <row r="923" ht="12.0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  <c r="AC923" s="35"/>
      <c r="AD923" s="35"/>
      <c r="AE923" s="35"/>
    </row>
    <row r="924" ht="12.0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  <c r="AC924" s="35"/>
      <c r="AD924" s="35"/>
      <c r="AE924" s="35"/>
    </row>
    <row r="925" ht="12.0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  <c r="AC925" s="35"/>
      <c r="AD925" s="35"/>
      <c r="AE925" s="35"/>
    </row>
    <row r="926" ht="12.0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  <c r="AC926" s="35"/>
      <c r="AD926" s="35"/>
      <c r="AE926" s="35"/>
    </row>
    <row r="927" ht="12.0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  <c r="AC927" s="35"/>
      <c r="AD927" s="35"/>
      <c r="AE927" s="35"/>
    </row>
    <row r="928" ht="12.0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  <c r="AC928" s="35"/>
      <c r="AD928" s="35"/>
      <c r="AE928" s="35"/>
    </row>
    <row r="929" ht="12.0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  <c r="AC929" s="35"/>
      <c r="AD929" s="35"/>
      <c r="AE929" s="35"/>
    </row>
    <row r="930" ht="12.0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  <c r="AC930" s="35"/>
      <c r="AD930" s="35"/>
      <c r="AE930" s="35"/>
    </row>
    <row r="931" ht="12.0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  <c r="AC931" s="35"/>
      <c r="AD931" s="35"/>
      <c r="AE931" s="35"/>
    </row>
    <row r="932" ht="12.0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  <c r="AC932" s="35"/>
      <c r="AD932" s="35"/>
      <c r="AE932" s="35"/>
    </row>
    <row r="933" ht="12.0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  <c r="AC933" s="35"/>
      <c r="AD933" s="35"/>
      <c r="AE933" s="35"/>
    </row>
    <row r="934" ht="12.0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  <c r="AC934" s="35"/>
      <c r="AD934" s="35"/>
      <c r="AE934" s="35"/>
    </row>
    <row r="935" ht="12.0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  <c r="AC935" s="35"/>
      <c r="AD935" s="35"/>
      <c r="AE935" s="35"/>
    </row>
    <row r="936" ht="12.0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  <c r="AC936" s="35"/>
      <c r="AD936" s="35"/>
      <c r="AE936" s="35"/>
    </row>
    <row r="937" ht="12.0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  <c r="AC937" s="35"/>
      <c r="AD937" s="35"/>
      <c r="AE937" s="35"/>
    </row>
    <row r="938" ht="12.0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  <c r="AC938" s="35"/>
      <c r="AD938" s="35"/>
      <c r="AE938" s="35"/>
    </row>
    <row r="939" ht="12.0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  <c r="AC939" s="35"/>
      <c r="AD939" s="35"/>
      <c r="AE939" s="35"/>
    </row>
    <row r="940" ht="12.0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  <c r="AC940" s="35"/>
      <c r="AD940" s="35"/>
      <c r="AE940" s="35"/>
    </row>
    <row r="941" ht="12.0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  <c r="AC941" s="35"/>
      <c r="AD941" s="35"/>
      <c r="AE941" s="35"/>
    </row>
    <row r="942" ht="12.0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  <c r="AC942" s="35"/>
      <c r="AD942" s="35"/>
      <c r="AE942" s="35"/>
    </row>
    <row r="943" ht="12.0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  <c r="AC943" s="35"/>
      <c r="AD943" s="35"/>
      <c r="AE943" s="35"/>
    </row>
    <row r="944" ht="12.0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  <c r="AC944" s="35"/>
      <c r="AD944" s="35"/>
      <c r="AE944" s="35"/>
    </row>
    <row r="945" ht="12.0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  <c r="AC945" s="35"/>
      <c r="AD945" s="35"/>
      <c r="AE945" s="35"/>
    </row>
    <row r="946" ht="12.0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  <c r="AC946" s="35"/>
      <c r="AD946" s="35"/>
      <c r="AE946" s="35"/>
    </row>
    <row r="947" ht="12.0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  <c r="AC947" s="35"/>
      <c r="AD947" s="35"/>
      <c r="AE947" s="35"/>
    </row>
    <row r="948" ht="12.0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  <c r="AC948" s="35"/>
      <c r="AD948" s="35"/>
      <c r="AE948" s="35"/>
    </row>
    <row r="949" ht="12.0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  <c r="AC949" s="35"/>
      <c r="AD949" s="35"/>
      <c r="AE949" s="35"/>
    </row>
    <row r="950" ht="12.0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  <c r="AC950" s="35"/>
      <c r="AD950" s="35"/>
      <c r="AE950" s="35"/>
    </row>
    <row r="951" ht="12.0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  <c r="AC951" s="35"/>
      <c r="AD951" s="35"/>
      <c r="AE951" s="35"/>
    </row>
    <row r="952" ht="12.0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  <c r="AC952" s="35"/>
      <c r="AD952" s="35"/>
      <c r="AE952" s="35"/>
    </row>
    <row r="953" ht="12.0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  <c r="AC953" s="35"/>
      <c r="AD953" s="35"/>
      <c r="AE953" s="35"/>
    </row>
    <row r="954" ht="12.0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  <c r="AC954" s="35"/>
      <c r="AD954" s="35"/>
      <c r="AE954" s="35"/>
    </row>
    <row r="955" ht="12.0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  <c r="AC955" s="35"/>
      <c r="AD955" s="35"/>
      <c r="AE955" s="35"/>
    </row>
    <row r="956" ht="12.0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  <c r="AC956" s="35"/>
      <c r="AD956" s="35"/>
      <c r="AE956" s="35"/>
    </row>
    <row r="957" ht="12.0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  <c r="AC957" s="35"/>
      <c r="AD957" s="35"/>
      <c r="AE957" s="35"/>
    </row>
    <row r="958" ht="12.0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  <c r="AC958" s="35"/>
      <c r="AD958" s="35"/>
      <c r="AE958" s="35"/>
    </row>
    <row r="959" ht="12.0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  <c r="AC959" s="35"/>
      <c r="AD959" s="35"/>
      <c r="AE959" s="35"/>
    </row>
    <row r="960" ht="12.0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  <c r="AC960" s="35"/>
      <c r="AD960" s="35"/>
      <c r="AE960" s="35"/>
    </row>
    <row r="961" ht="12.0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  <c r="AC961" s="35"/>
      <c r="AD961" s="35"/>
      <c r="AE961" s="35"/>
    </row>
    <row r="962" ht="12.0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  <c r="AC962" s="35"/>
      <c r="AD962" s="35"/>
      <c r="AE962" s="35"/>
    </row>
    <row r="963" ht="12.0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  <c r="AC963" s="35"/>
      <c r="AD963" s="35"/>
      <c r="AE963" s="35"/>
    </row>
    <row r="964" ht="12.0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  <c r="AC964" s="35"/>
      <c r="AD964" s="35"/>
      <c r="AE964" s="35"/>
    </row>
    <row r="965" ht="12.0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  <c r="AC965" s="35"/>
      <c r="AD965" s="35"/>
      <c r="AE965" s="35"/>
    </row>
    <row r="966" ht="12.0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  <c r="AC966" s="35"/>
      <c r="AD966" s="35"/>
      <c r="AE966" s="35"/>
    </row>
    <row r="967" ht="12.0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  <c r="AC967" s="35"/>
      <c r="AD967" s="35"/>
      <c r="AE967" s="35"/>
    </row>
    <row r="968" ht="12.0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  <c r="AC968" s="35"/>
      <c r="AD968" s="35"/>
      <c r="AE968" s="35"/>
    </row>
    <row r="969" ht="12.0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  <c r="AC969" s="35"/>
      <c r="AD969" s="35"/>
      <c r="AE969" s="35"/>
    </row>
    <row r="970" ht="12.0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  <c r="AC970" s="35"/>
      <c r="AD970" s="35"/>
      <c r="AE970" s="35"/>
    </row>
    <row r="971" ht="12.0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  <c r="AC971" s="35"/>
      <c r="AD971" s="35"/>
      <c r="AE971" s="35"/>
    </row>
    <row r="972" ht="12.0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  <c r="AC972" s="35"/>
      <c r="AD972" s="35"/>
      <c r="AE972" s="35"/>
    </row>
    <row r="973" ht="12.0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  <c r="AC973" s="35"/>
      <c r="AD973" s="35"/>
      <c r="AE973" s="35"/>
    </row>
    <row r="974" ht="12.0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  <c r="AC974" s="35"/>
      <c r="AD974" s="35"/>
      <c r="AE974" s="35"/>
    </row>
    <row r="975" ht="12.0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  <c r="AC975" s="35"/>
      <c r="AD975" s="35"/>
      <c r="AE975" s="35"/>
    </row>
    <row r="976" ht="12.0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  <c r="AC976" s="35"/>
      <c r="AD976" s="35"/>
      <c r="AE976" s="35"/>
    </row>
    <row r="977" ht="12.0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  <c r="AC977" s="35"/>
      <c r="AD977" s="35"/>
      <c r="AE977" s="35"/>
    </row>
    <row r="978" ht="12.0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  <c r="AC978" s="35"/>
      <c r="AD978" s="35"/>
      <c r="AE978" s="35"/>
    </row>
    <row r="979" ht="12.0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  <c r="AC979" s="35"/>
      <c r="AD979" s="35"/>
      <c r="AE979" s="35"/>
    </row>
    <row r="980" ht="12.0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  <c r="AC980" s="35"/>
      <c r="AD980" s="35"/>
      <c r="AE980" s="35"/>
    </row>
    <row r="981" ht="12.0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  <c r="AC981" s="35"/>
      <c r="AD981" s="35"/>
      <c r="AE981" s="35"/>
    </row>
    <row r="982" ht="12.0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  <c r="AC982" s="35"/>
      <c r="AD982" s="35"/>
      <c r="AE982" s="35"/>
    </row>
    <row r="983" ht="12.0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  <c r="AC983" s="35"/>
      <c r="AD983" s="35"/>
      <c r="AE983" s="35"/>
    </row>
    <row r="984" ht="12.0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  <c r="AC984" s="35"/>
      <c r="AD984" s="35"/>
      <c r="AE984" s="35"/>
    </row>
    <row r="985" ht="12.0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  <c r="AC985" s="35"/>
      <c r="AD985" s="35"/>
      <c r="AE985" s="35"/>
    </row>
    <row r="986" ht="12.0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  <c r="AC986" s="35"/>
      <c r="AD986" s="35"/>
      <c r="AE986" s="35"/>
    </row>
    <row r="987" ht="12.0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  <c r="AC987" s="35"/>
      <c r="AD987" s="35"/>
      <c r="AE987" s="35"/>
    </row>
    <row r="988" ht="12.0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  <c r="AC988" s="35"/>
      <c r="AD988" s="35"/>
      <c r="AE988" s="35"/>
    </row>
    <row r="989" ht="12.0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  <c r="AC989" s="35"/>
      <c r="AD989" s="35"/>
      <c r="AE989" s="35"/>
    </row>
    <row r="990" ht="12.0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  <c r="AA990" s="35"/>
      <c r="AB990" s="35"/>
      <c r="AC990" s="35"/>
      <c r="AD990" s="35"/>
      <c r="AE990" s="35"/>
    </row>
    <row r="991" ht="12.0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  <c r="AA991" s="35"/>
      <c r="AB991" s="35"/>
      <c r="AC991" s="35"/>
      <c r="AD991" s="35"/>
      <c r="AE991" s="35"/>
    </row>
    <row r="992" ht="12.0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  <c r="AA992" s="35"/>
      <c r="AB992" s="35"/>
      <c r="AC992" s="35"/>
      <c r="AD992" s="35"/>
      <c r="AE992" s="35"/>
    </row>
    <row r="993" ht="12.0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  <c r="AA993" s="35"/>
      <c r="AB993" s="35"/>
      <c r="AC993" s="35"/>
      <c r="AD993" s="35"/>
      <c r="AE993" s="35"/>
    </row>
    <row r="994" ht="12.0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  <c r="AA994" s="35"/>
      <c r="AB994" s="35"/>
      <c r="AC994" s="35"/>
      <c r="AD994" s="35"/>
      <c r="AE994" s="35"/>
    </row>
    <row r="995" ht="12.0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  <c r="AA995" s="35"/>
      <c r="AB995" s="35"/>
      <c r="AC995" s="35"/>
      <c r="AD995" s="35"/>
      <c r="AE995" s="35"/>
    </row>
    <row r="996" ht="12.0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  <c r="AA996" s="35"/>
      <c r="AB996" s="35"/>
      <c r="AC996" s="35"/>
      <c r="AD996" s="35"/>
      <c r="AE996" s="35"/>
    </row>
    <row r="997" ht="12.0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  <c r="AA997" s="35"/>
      <c r="AB997" s="35"/>
      <c r="AC997" s="35"/>
      <c r="AD997" s="35"/>
      <c r="AE997" s="35"/>
    </row>
    <row r="998" ht="12.0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  <c r="AA998" s="35"/>
      <c r="AB998" s="35"/>
      <c r="AC998" s="35"/>
      <c r="AD998" s="35"/>
      <c r="AE998" s="35"/>
    </row>
    <row r="999" ht="12.0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  <c r="AA999" s="35"/>
      <c r="AB999" s="35"/>
      <c r="AC999" s="35"/>
      <c r="AD999" s="35"/>
      <c r="AE999" s="35"/>
    </row>
    <row r="1000" ht="12.0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  <c r="AA1000" s="35"/>
      <c r="AB1000" s="35"/>
      <c r="AC1000" s="35"/>
      <c r="AD1000" s="35"/>
      <c r="AE1000" s="35"/>
    </row>
    <row r="1001" ht="12.0" customHeight="1">
      <c r="A1001" s="35"/>
      <c r="B1001" s="35"/>
      <c r="C1001" s="35"/>
      <c r="D1001" s="35"/>
      <c r="E1001" s="35"/>
      <c r="F1001" s="35"/>
      <c r="G1001" s="35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  <c r="R1001" s="35"/>
      <c r="S1001" s="35"/>
      <c r="T1001" s="35"/>
      <c r="U1001" s="35"/>
      <c r="V1001" s="35"/>
      <c r="W1001" s="35"/>
      <c r="X1001" s="35"/>
      <c r="Y1001" s="35"/>
      <c r="Z1001" s="35"/>
      <c r="AA1001" s="35"/>
      <c r="AB1001" s="35"/>
      <c r="AC1001" s="35"/>
      <c r="AD1001" s="35"/>
      <c r="AE1001" s="35"/>
    </row>
    <row r="1002" ht="12.0" customHeight="1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  <c r="R1002" s="35"/>
      <c r="S1002" s="35"/>
      <c r="T1002" s="35"/>
      <c r="U1002" s="35"/>
      <c r="V1002" s="35"/>
      <c r="W1002" s="35"/>
      <c r="X1002" s="35"/>
      <c r="Y1002" s="35"/>
      <c r="Z1002" s="35"/>
      <c r="AA1002" s="35"/>
      <c r="AB1002" s="35"/>
      <c r="AC1002" s="35"/>
      <c r="AD1002" s="35"/>
      <c r="AE1002" s="35"/>
    </row>
    <row r="1003" ht="12.0" customHeight="1">
      <c r="A1003" s="35"/>
      <c r="B1003" s="35"/>
      <c r="C1003" s="35"/>
      <c r="D1003" s="35"/>
      <c r="E1003" s="35"/>
      <c r="F1003" s="35"/>
      <c r="G1003" s="35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  <c r="R1003" s="35"/>
      <c r="S1003" s="35"/>
      <c r="T1003" s="35"/>
      <c r="U1003" s="35"/>
      <c r="V1003" s="35"/>
      <c r="W1003" s="35"/>
      <c r="X1003" s="35"/>
      <c r="Y1003" s="35"/>
      <c r="Z1003" s="35"/>
      <c r="AA1003" s="35"/>
      <c r="AB1003" s="35"/>
      <c r="AC1003" s="35"/>
      <c r="AD1003" s="35"/>
      <c r="AE1003" s="35"/>
    </row>
    <row r="1004" ht="12.0" customHeight="1">
      <c r="A1004" s="35"/>
      <c r="B1004" s="35"/>
      <c r="C1004" s="35"/>
      <c r="D1004" s="35"/>
      <c r="E1004" s="35"/>
      <c r="F1004" s="35"/>
      <c r="G1004" s="35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  <c r="R1004" s="35"/>
      <c r="S1004" s="35"/>
      <c r="T1004" s="35"/>
      <c r="U1004" s="35"/>
      <c r="V1004" s="35"/>
      <c r="W1004" s="35"/>
      <c r="X1004" s="35"/>
      <c r="Y1004" s="35"/>
      <c r="Z1004" s="35"/>
      <c r="AA1004" s="35"/>
      <c r="AB1004" s="35"/>
      <c r="AC1004" s="35"/>
      <c r="AD1004" s="35"/>
      <c r="AE1004" s="35"/>
    </row>
    <row r="1005" ht="12.0" customHeight="1">
      <c r="A1005" s="35"/>
      <c r="B1005" s="35"/>
      <c r="C1005" s="35"/>
      <c r="D1005" s="35"/>
      <c r="E1005" s="35"/>
      <c r="F1005" s="35"/>
      <c r="G1005" s="35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  <c r="R1005" s="35"/>
      <c r="S1005" s="35"/>
      <c r="T1005" s="35"/>
      <c r="U1005" s="35"/>
      <c r="V1005" s="35"/>
      <c r="W1005" s="35"/>
      <c r="X1005" s="35"/>
      <c r="Y1005" s="35"/>
      <c r="Z1005" s="35"/>
      <c r="AA1005" s="35"/>
      <c r="AB1005" s="35"/>
      <c r="AC1005" s="35"/>
      <c r="AD1005" s="35"/>
      <c r="AE1005" s="35"/>
    </row>
    <row r="1006" ht="12.0" customHeight="1">
      <c r="A1006" s="35"/>
      <c r="B1006" s="35"/>
      <c r="C1006" s="35"/>
      <c r="D1006" s="35"/>
      <c r="E1006" s="35"/>
      <c r="F1006" s="35"/>
      <c r="G1006" s="35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  <c r="R1006" s="35"/>
      <c r="S1006" s="35"/>
      <c r="T1006" s="35"/>
      <c r="U1006" s="35"/>
      <c r="V1006" s="35"/>
      <c r="W1006" s="35"/>
      <c r="X1006" s="35"/>
      <c r="Y1006" s="35"/>
      <c r="Z1006" s="35"/>
      <c r="AA1006" s="35"/>
      <c r="AB1006" s="35"/>
      <c r="AC1006" s="35"/>
      <c r="AD1006" s="35"/>
      <c r="AE1006" s="35"/>
    </row>
    <row r="1007" ht="12.0" customHeight="1">
      <c r="A1007" s="35"/>
      <c r="B1007" s="35"/>
      <c r="C1007" s="35"/>
      <c r="D1007" s="35"/>
      <c r="E1007" s="35"/>
      <c r="F1007" s="35"/>
      <c r="G1007" s="35"/>
      <c r="H1007" s="35"/>
      <c r="I1007" s="35"/>
      <c r="J1007" s="35"/>
      <c r="K1007" s="35"/>
      <c r="L1007" s="35"/>
      <c r="M1007" s="35"/>
      <c r="N1007" s="35"/>
      <c r="O1007" s="35"/>
      <c r="P1007" s="35"/>
      <c r="Q1007" s="35"/>
      <c r="R1007" s="35"/>
      <c r="S1007" s="35"/>
      <c r="T1007" s="35"/>
      <c r="U1007" s="35"/>
      <c r="V1007" s="35"/>
      <c r="W1007" s="35"/>
      <c r="X1007" s="35"/>
      <c r="Y1007" s="35"/>
      <c r="Z1007" s="35"/>
      <c r="AA1007" s="35"/>
      <c r="AB1007" s="35"/>
      <c r="AC1007" s="35"/>
      <c r="AD1007" s="35"/>
      <c r="AE1007" s="35"/>
    </row>
    <row r="1008" ht="12.0" customHeight="1">
      <c r="A1008" s="35"/>
      <c r="B1008" s="35"/>
      <c r="C1008" s="35"/>
      <c r="D1008" s="35"/>
      <c r="E1008" s="35"/>
      <c r="F1008" s="35"/>
      <c r="G1008" s="35"/>
      <c r="H1008" s="35"/>
      <c r="I1008" s="35"/>
      <c r="J1008" s="35"/>
      <c r="K1008" s="35"/>
      <c r="L1008" s="35"/>
      <c r="M1008" s="35"/>
      <c r="N1008" s="35"/>
      <c r="O1008" s="35"/>
      <c r="P1008" s="35"/>
      <c r="Q1008" s="35"/>
      <c r="R1008" s="35"/>
      <c r="S1008" s="35"/>
      <c r="T1008" s="35"/>
      <c r="U1008" s="35"/>
      <c r="V1008" s="35"/>
      <c r="W1008" s="35"/>
      <c r="X1008" s="35"/>
      <c r="Y1008" s="35"/>
      <c r="Z1008" s="35"/>
      <c r="AA1008" s="35"/>
      <c r="AB1008" s="35"/>
      <c r="AC1008" s="35"/>
      <c r="AD1008" s="35"/>
      <c r="AE1008" s="35"/>
    </row>
    <row r="1009" ht="12.0" customHeight="1">
      <c r="A1009" s="35"/>
      <c r="B1009" s="35"/>
      <c r="C1009" s="35"/>
      <c r="D1009" s="35"/>
      <c r="E1009" s="35"/>
      <c r="F1009" s="35"/>
      <c r="G1009" s="35"/>
      <c r="H1009" s="35"/>
      <c r="I1009" s="35"/>
      <c r="J1009" s="35"/>
      <c r="K1009" s="35"/>
      <c r="L1009" s="35"/>
      <c r="M1009" s="35"/>
      <c r="N1009" s="35"/>
      <c r="O1009" s="35"/>
      <c r="P1009" s="35"/>
      <c r="Q1009" s="35"/>
      <c r="R1009" s="35"/>
      <c r="S1009" s="35"/>
      <c r="T1009" s="35"/>
      <c r="U1009" s="35"/>
      <c r="V1009" s="35"/>
      <c r="W1009" s="35"/>
      <c r="X1009" s="35"/>
      <c r="Y1009" s="35"/>
      <c r="Z1009" s="35"/>
      <c r="AA1009" s="35"/>
      <c r="AB1009" s="35"/>
      <c r="AC1009" s="35"/>
      <c r="AD1009" s="35"/>
      <c r="AE1009" s="35"/>
    </row>
    <row r="1010" ht="12.0" customHeight="1">
      <c r="A1010" s="35"/>
      <c r="B1010" s="35"/>
      <c r="C1010" s="35"/>
      <c r="D1010" s="35"/>
      <c r="E1010" s="35"/>
      <c r="F1010" s="35"/>
      <c r="G1010" s="35"/>
      <c r="H1010" s="35"/>
      <c r="I1010" s="35"/>
      <c r="J1010" s="35"/>
      <c r="K1010" s="35"/>
      <c r="L1010" s="35"/>
      <c r="M1010" s="35"/>
      <c r="N1010" s="35"/>
      <c r="O1010" s="35"/>
      <c r="P1010" s="35"/>
      <c r="Q1010" s="35"/>
      <c r="R1010" s="35"/>
      <c r="S1010" s="35"/>
      <c r="T1010" s="35"/>
      <c r="U1010" s="35"/>
      <c r="V1010" s="35"/>
      <c r="W1010" s="35"/>
      <c r="X1010" s="35"/>
      <c r="Y1010" s="35"/>
      <c r="Z1010" s="35"/>
      <c r="AA1010" s="35"/>
      <c r="AB1010" s="35"/>
      <c r="AC1010" s="35"/>
      <c r="AD1010" s="35"/>
      <c r="AE1010" s="35"/>
    </row>
    <row r="1011" ht="12.0" customHeight="1">
      <c r="A1011" s="35"/>
      <c r="B1011" s="35"/>
      <c r="C1011" s="35"/>
      <c r="D1011" s="35"/>
      <c r="E1011" s="35"/>
      <c r="F1011" s="35"/>
      <c r="G1011" s="35"/>
      <c r="H1011" s="35"/>
      <c r="I1011" s="35"/>
      <c r="J1011" s="35"/>
      <c r="K1011" s="35"/>
      <c r="L1011" s="35"/>
      <c r="M1011" s="35"/>
      <c r="N1011" s="35"/>
      <c r="O1011" s="35"/>
      <c r="P1011" s="35"/>
      <c r="Q1011" s="35"/>
      <c r="R1011" s="35"/>
      <c r="S1011" s="35"/>
      <c r="T1011" s="35"/>
      <c r="U1011" s="35"/>
      <c r="V1011" s="35"/>
      <c r="W1011" s="35"/>
      <c r="X1011" s="35"/>
      <c r="Y1011" s="35"/>
      <c r="Z1011" s="35"/>
      <c r="AA1011" s="35"/>
      <c r="AB1011" s="35"/>
      <c r="AC1011" s="35"/>
      <c r="AD1011" s="35"/>
      <c r="AE1011" s="35"/>
    </row>
    <row r="1012" ht="12.0" customHeight="1">
      <c r="A1012" s="35"/>
      <c r="B1012" s="35"/>
      <c r="C1012" s="35"/>
      <c r="D1012" s="35"/>
      <c r="E1012" s="35"/>
      <c r="F1012" s="35"/>
      <c r="G1012" s="35"/>
      <c r="H1012" s="35"/>
      <c r="I1012" s="35"/>
      <c r="J1012" s="35"/>
      <c r="K1012" s="35"/>
      <c r="L1012" s="35"/>
      <c r="M1012" s="35"/>
      <c r="N1012" s="35"/>
      <c r="O1012" s="35"/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5"/>
      <c r="AA1012" s="35"/>
      <c r="AB1012" s="35"/>
      <c r="AC1012" s="35"/>
      <c r="AD1012" s="35"/>
      <c r="AE1012" s="35"/>
    </row>
    <row r="1013" ht="12.0" customHeight="1">
      <c r="A1013" s="35"/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5"/>
      <c r="W1013" s="35"/>
      <c r="X1013" s="35"/>
      <c r="Y1013" s="35"/>
      <c r="Z1013" s="35"/>
      <c r="AA1013" s="35"/>
      <c r="AB1013" s="35"/>
      <c r="AC1013" s="35"/>
      <c r="AD1013" s="35"/>
      <c r="AE1013" s="35"/>
    </row>
    <row r="1014" ht="12.0" customHeight="1">
      <c r="A1014" s="35"/>
      <c r="B1014" s="35"/>
      <c r="C1014" s="35"/>
      <c r="D1014" s="35"/>
      <c r="E1014" s="35"/>
      <c r="F1014" s="35"/>
      <c r="G1014" s="35"/>
      <c r="H1014" s="35"/>
      <c r="I1014" s="35"/>
      <c r="J1014" s="35"/>
      <c r="K1014" s="35"/>
      <c r="L1014" s="35"/>
      <c r="M1014" s="35"/>
      <c r="N1014" s="35"/>
      <c r="O1014" s="35"/>
      <c r="P1014" s="35"/>
      <c r="Q1014" s="35"/>
      <c r="R1014" s="35"/>
      <c r="S1014" s="35"/>
      <c r="T1014" s="35"/>
      <c r="U1014" s="35"/>
      <c r="V1014" s="35"/>
      <c r="W1014" s="35"/>
      <c r="X1014" s="35"/>
      <c r="Y1014" s="35"/>
      <c r="Z1014" s="35"/>
      <c r="AA1014" s="35"/>
      <c r="AB1014" s="35"/>
      <c r="AC1014" s="35"/>
      <c r="AD1014" s="35"/>
      <c r="AE1014" s="35"/>
    </row>
    <row r="1015" ht="12.0" customHeight="1">
      <c r="A1015" s="35"/>
      <c r="B1015" s="35"/>
      <c r="C1015" s="35"/>
      <c r="D1015" s="35"/>
      <c r="E1015" s="35"/>
      <c r="F1015" s="35"/>
      <c r="G1015" s="35"/>
      <c r="H1015" s="35"/>
      <c r="I1015" s="35"/>
      <c r="J1015" s="35"/>
      <c r="K1015" s="35"/>
      <c r="L1015" s="35"/>
      <c r="M1015" s="35"/>
      <c r="N1015" s="35"/>
      <c r="O1015" s="35"/>
      <c r="P1015" s="35"/>
      <c r="Q1015" s="35"/>
      <c r="R1015" s="35"/>
      <c r="S1015" s="35"/>
      <c r="T1015" s="35"/>
      <c r="U1015" s="35"/>
      <c r="V1015" s="35"/>
      <c r="W1015" s="35"/>
      <c r="X1015" s="35"/>
      <c r="Y1015" s="35"/>
      <c r="Z1015" s="35"/>
      <c r="AA1015" s="35"/>
      <c r="AB1015" s="35"/>
      <c r="AC1015" s="35"/>
      <c r="AD1015" s="35"/>
      <c r="AE1015" s="35"/>
    </row>
    <row r="1016" ht="12.0" customHeight="1">
      <c r="A1016" s="35"/>
      <c r="B1016" s="35"/>
      <c r="C1016" s="35"/>
      <c r="D1016" s="35"/>
      <c r="E1016" s="35"/>
      <c r="F1016" s="35"/>
      <c r="G1016" s="35"/>
      <c r="H1016" s="35"/>
      <c r="I1016" s="35"/>
      <c r="J1016" s="35"/>
      <c r="K1016" s="35"/>
      <c r="L1016" s="35"/>
      <c r="M1016" s="35"/>
      <c r="N1016" s="35"/>
      <c r="O1016" s="35"/>
      <c r="P1016" s="35"/>
      <c r="Q1016" s="35"/>
      <c r="R1016" s="35"/>
      <c r="S1016" s="35"/>
      <c r="T1016" s="35"/>
      <c r="U1016" s="35"/>
      <c r="V1016" s="35"/>
      <c r="W1016" s="35"/>
      <c r="X1016" s="35"/>
      <c r="Y1016" s="35"/>
      <c r="Z1016" s="35"/>
      <c r="AA1016" s="35"/>
      <c r="AB1016" s="35"/>
      <c r="AC1016" s="35"/>
      <c r="AD1016" s="35"/>
      <c r="AE1016" s="35"/>
    </row>
    <row r="1017" ht="12.0" customHeight="1">
      <c r="A1017" s="35"/>
      <c r="B1017" s="35"/>
      <c r="C1017" s="35"/>
      <c r="D1017" s="35"/>
      <c r="E1017" s="35"/>
      <c r="F1017" s="35"/>
      <c r="G1017" s="35"/>
      <c r="H1017" s="35"/>
      <c r="I1017" s="35"/>
      <c r="J1017" s="35"/>
      <c r="K1017" s="35"/>
      <c r="L1017" s="35"/>
      <c r="M1017" s="35"/>
      <c r="N1017" s="35"/>
      <c r="O1017" s="35"/>
      <c r="P1017" s="35"/>
      <c r="Q1017" s="35"/>
      <c r="R1017" s="35"/>
      <c r="S1017" s="35"/>
      <c r="T1017" s="35"/>
      <c r="U1017" s="35"/>
      <c r="V1017" s="35"/>
      <c r="W1017" s="35"/>
      <c r="X1017" s="35"/>
      <c r="Y1017" s="35"/>
      <c r="Z1017" s="35"/>
      <c r="AA1017" s="35"/>
      <c r="AB1017" s="35"/>
      <c r="AC1017" s="35"/>
      <c r="AD1017" s="35"/>
      <c r="AE1017" s="35"/>
    </row>
    <row r="1018" ht="12.0" customHeight="1">
      <c r="A1018" s="35"/>
      <c r="B1018" s="35"/>
      <c r="C1018" s="35"/>
      <c r="D1018" s="35"/>
      <c r="E1018" s="35"/>
      <c r="F1018" s="35"/>
      <c r="G1018" s="35"/>
      <c r="H1018" s="35"/>
      <c r="I1018" s="35"/>
      <c r="J1018" s="35"/>
      <c r="K1018" s="35"/>
      <c r="L1018" s="35"/>
      <c r="M1018" s="35"/>
      <c r="N1018" s="35"/>
      <c r="O1018" s="35"/>
      <c r="P1018" s="35"/>
      <c r="Q1018" s="35"/>
      <c r="R1018" s="35"/>
      <c r="S1018" s="35"/>
      <c r="T1018" s="35"/>
      <c r="U1018" s="35"/>
      <c r="V1018" s="35"/>
      <c r="W1018" s="35"/>
      <c r="X1018" s="35"/>
      <c r="Y1018" s="35"/>
      <c r="Z1018" s="35"/>
      <c r="AA1018" s="35"/>
      <c r="AB1018" s="35"/>
      <c r="AC1018" s="35"/>
      <c r="AD1018" s="35"/>
      <c r="AE1018" s="35"/>
    </row>
    <row r="1019" ht="12.0" customHeight="1">
      <c r="A1019" s="35"/>
      <c r="B1019" s="35"/>
      <c r="C1019" s="35"/>
      <c r="D1019" s="35"/>
      <c r="E1019" s="35"/>
      <c r="F1019" s="35"/>
      <c r="G1019" s="35"/>
      <c r="H1019" s="35"/>
      <c r="I1019" s="35"/>
      <c r="J1019" s="35"/>
      <c r="K1019" s="35"/>
      <c r="L1019" s="35"/>
      <c r="M1019" s="35"/>
      <c r="N1019" s="35"/>
      <c r="O1019" s="35"/>
      <c r="P1019" s="35"/>
      <c r="Q1019" s="35"/>
      <c r="R1019" s="35"/>
      <c r="S1019" s="35"/>
      <c r="T1019" s="35"/>
      <c r="U1019" s="35"/>
      <c r="V1019" s="35"/>
      <c r="W1019" s="35"/>
      <c r="X1019" s="35"/>
      <c r="Y1019" s="35"/>
      <c r="Z1019" s="35"/>
      <c r="AA1019" s="35"/>
      <c r="AB1019" s="35"/>
      <c r="AC1019" s="35"/>
      <c r="AD1019" s="35"/>
      <c r="AE1019" s="35"/>
    </row>
    <row r="1020" ht="12.0" customHeight="1">
      <c r="A1020" s="35"/>
      <c r="B1020" s="35"/>
      <c r="C1020" s="35"/>
      <c r="D1020" s="35"/>
      <c r="E1020" s="35"/>
      <c r="F1020" s="35"/>
      <c r="G1020" s="35"/>
      <c r="H1020" s="35"/>
      <c r="I1020" s="35"/>
      <c r="J1020" s="35"/>
      <c r="K1020" s="35"/>
      <c r="L1020" s="35"/>
      <c r="M1020" s="35"/>
      <c r="N1020" s="35"/>
      <c r="O1020" s="35"/>
      <c r="P1020" s="35"/>
      <c r="Q1020" s="35"/>
      <c r="R1020" s="35"/>
      <c r="S1020" s="35"/>
      <c r="T1020" s="35"/>
      <c r="U1020" s="35"/>
      <c r="V1020" s="35"/>
      <c r="W1020" s="35"/>
      <c r="X1020" s="35"/>
      <c r="Y1020" s="35"/>
      <c r="Z1020" s="35"/>
      <c r="AA1020" s="35"/>
      <c r="AB1020" s="35"/>
      <c r="AC1020" s="35"/>
      <c r="AD1020" s="35"/>
      <c r="AE1020" s="35"/>
    </row>
    <row r="1021" ht="12.0" customHeight="1">
      <c r="A1021" s="35"/>
      <c r="B1021" s="35"/>
      <c r="C1021" s="35"/>
      <c r="D1021" s="35"/>
      <c r="E1021" s="35"/>
      <c r="F1021" s="35"/>
      <c r="G1021" s="35"/>
      <c r="H1021" s="35"/>
      <c r="I1021" s="35"/>
      <c r="J1021" s="35"/>
      <c r="K1021" s="35"/>
      <c r="L1021" s="35"/>
      <c r="M1021" s="35"/>
      <c r="N1021" s="35"/>
      <c r="O1021" s="3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5"/>
      <c r="Z1021" s="35"/>
      <c r="AA1021" s="35"/>
      <c r="AB1021" s="35"/>
      <c r="AC1021" s="35"/>
      <c r="AD1021" s="35"/>
      <c r="AE1021" s="35"/>
    </row>
    <row r="1022" ht="12.0" customHeight="1">
      <c r="A1022" s="35"/>
      <c r="B1022" s="35"/>
      <c r="C1022" s="35"/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  <c r="N1022" s="35"/>
      <c r="O1022" s="3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5"/>
      <c r="Z1022" s="35"/>
      <c r="AA1022" s="35"/>
      <c r="AB1022" s="35"/>
      <c r="AC1022" s="35"/>
      <c r="AD1022" s="35"/>
      <c r="AE1022" s="35"/>
    </row>
    <row r="1023" ht="12.0" customHeight="1">
      <c r="A1023" s="35"/>
      <c r="B1023" s="35"/>
      <c r="C1023" s="35"/>
      <c r="D1023" s="35"/>
      <c r="E1023" s="35"/>
      <c r="F1023" s="35"/>
      <c r="G1023" s="35"/>
      <c r="H1023" s="35"/>
      <c r="I1023" s="35"/>
      <c r="J1023" s="35"/>
      <c r="K1023" s="35"/>
      <c r="L1023" s="35"/>
      <c r="M1023" s="35"/>
      <c r="N1023" s="35"/>
      <c r="O1023" s="35"/>
      <c r="P1023" s="35"/>
      <c r="Q1023" s="35"/>
      <c r="R1023" s="35"/>
      <c r="S1023" s="35"/>
      <c r="T1023" s="35"/>
      <c r="U1023" s="35"/>
      <c r="V1023" s="35"/>
      <c r="W1023" s="35"/>
      <c r="X1023" s="35"/>
      <c r="Y1023" s="35"/>
      <c r="Z1023" s="35"/>
      <c r="AA1023" s="35"/>
      <c r="AB1023" s="35"/>
      <c r="AC1023" s="35"/>
      <c r="AD1023" s="35"/>
      <c r="AE1023" s="35"/>
    </row>
    <row r="1024" ht="12.0" customHeight="1">
      <c r="A1024" s="35"/>
      <c r="B1024" s="35"/>
      <c r="C1024" s="35"/>
      <c r="D1024" s="35"/>
      <c r="E1024" s="35"/>
      <c r="F1024" s="35"/>
      <c r="G1024" s="35"/>
      <c r="H1024" s="35"/>
      <c r="I1024" s="35"/>
      <c r="J1024" s="35"/>
      <c r="K1024" s="35"/>
      <c r="L1024" s="35"/>
      <c r="M1024" s="35"/>
      <c r="N1024" s="35"/>
      <c r="O1024" s="35"/>
      <c r="P1024" s="35"/>
      <c r="Q1024" s="35"/>
      <c r="R1024" s="35"/>
      <c r="S1024" s="35"/>
      <c r="T1024" s="35"/>
      <c r="U1024" s="35"/>
      <c r="V1024" s="35"/>
      <c r="W1024" s="35"/>
      <c r="X1024" s="35"/>
      <c r="Y1024" s="35"/>
      <c r="Z1024" s="35"/>
      <c r="AA1024" s="35"/>
      <c r="AB1024" s="35"/>
      <c r="AC1024" s="35"/>
      <c r="AD1024" s="35"/>
      <c r="AE1024" s="35"/>
    </row>
    <row r="1025" ht="12.0" customHeight="1">
      <c r="A1025" s="35"/>
      <c r="B1025" s="35"/>
      <c r="C1025" s="35"/>
      <c r="D1025" s="35"/>
      <c r="E1025" s="35"/>
      <c r="F1025" s="35"/>
      <c r="G1025" s="35"/>
      <c r="H1025" s="35"/>
      <c r="I1025" s="35"/>
      <c r="J1025" s="35"/>
      <c r="K1025" s="35"/>
      <c r="L1025" s="35"/>
      <c r="M1025" s="35"/>
      <c r="N1025" s="35"/>
      <c r="O1025" s="35"/>
      <c r="P1025" s="35"/>
      <c r="Q1025" s="35"/>
      <c r="R1025" s="35"/>
      <c r="S1025" s="35"/>
      <c r="T1025" s="35"/>
      <c r="U1025" s="35"/>
      <c r="V1025" s="35"/>
      <c r="W1025" s="35"/>
      <c r="X1025" s="35"/>
      <c r="Y1025" s="35"/>
      <c r="Z1025" s="35"/>
      <c r="AA1025" s="35"/>
      <c r="AB1025" s="35"/>
      <c r="AC1025" s="35"/>
      <c r="AD1025" s="35"/>
      <c r="AE1025" s="35"/>
    </row>
    <row r="1026" ht="12.0" customHeight="1">
      <c r="A1026" s="35"/>
      <c r="B1026" s="35"/>
      <c r="C1026" s="35"/>
      <c r="D1026" s="35"/>
      <c r="E1026" s="35"/>
      <c r="F1026" s="35"/>
      <c r="G1026" s="35"/>
      <c r="H1026" s="35"/>
      <c r="I1026" s="35"/>
      <c r="J1026" s="35"/>
      <c r="K1026" s="35"/>
      <c r="L1026" s="35"/>
      <c r="M1026" s="35"/>
      <c r="N1026" s="35"/>
      <c r="O1026" s="35"/>
      <c r="P1026" s="35"/>
      <c r="Q1026" s="35"/>
      <c r="R1026" s="35"/>
      <c r="S1026" s="35"/>
      <c r="T1026" s="35"/>
      <c r="U1026" s="35"/>
      <c r="V1026" s="35"/>
      <c r="W1026" s="35"/>
      <c r="X1026" s="35"/>
      <c r="Y1026" s="35"/>
      <c r="Z1026" s="35"/>
      <c r="AA1026" s="35"/>
      <c r="AB1026" s="35"/>
      <c r="AC1026" s="35"/>
      <c r="AD1026" s="35"/>
      <c r="AE1026" s="35"/>
    </row>
    <row r="1027" ht="12.0" customHeight="1">
      <c r="A1027" s="35"/>
      <c r="B1027" s="35"/>
      <c r="C1027" s="35"/>
      <c r="D1027" s="35"/>
      <c r="E1027" s="35"/>
      <c r="F1027" s="35"/>
      <c r="G1027" s="35"/>
      <c r="H1027" s="35"/>
      <c r="I1027" s="35"/>
      <c r="J1027" s="35"/>
      <c r="K1027" s="35"/>
      <c r="L1027" s="35"/>
      <c r="M1027" s="35"/>
      <c r="N1027" s="35"/>
      <c r="O1027" s="35"/>
      <c r="P1027" s="35"/>
      <c r="Q1027" s="35"/>
      <c r="R1027" s="35"/>
      <c r="S1027" s="35"/>
      <c r="T1027" s="35"/>
      <c r="U1027" s="35"/>
      <c r="V1027" s="35"/>
      <c r="W1027" s="35"/>
      <c r="X1027" s="35"/>
      <c r="Y1027" s="35"/>
      <c r="Z1027" s="35"/>
      <c r="AA1027" s="35"/>
      <c r="AB1027" s="35"/>
      <c r="AC1027" s="35"/>
      <c r="AD1027" s="35"/>
      <c r="AE1027" s="35"/>
    </row>
    <row r="1028" ht="12.0" customHeight="1">
      <c r="A1028" s="35"/>
      <c r="B1028" s="35"/>
      <c r="C1028" s="35"/>
      <c r="D1028" s="35"/>
      <c r="E1028" s="35"/>
      <c r="F1028" s="35"/>
      <c r="G1028" s="35"/>
      <c r="H1028" s="35"/>
      <c r="I1028" s="35"/>
      <c r="J1028" s="35"/>
      <c r="K1028" s="35"/>
      <c r="L1028" s="35"/>
      <c r="M1028" s="35"/>
      <c r="N1028" s="35"/>
      <c r="O1028" s="35"/>
      <c r="P1028" s="35"/>
      <c r="Q1028" s="35"/>
      <c r="R1028" s="35"/>
      <c r="S1028" s="35"/>
      <c r="T1028" s="35"/>
      <c r="U1028" s="35"/>
      <c r="V1028" s="35"/>
      <c r="W1028" s="35"/>
      <c r="X1028" s="35"/>
      <c r="Y1028" s="35"/>
      <c r="Z1028" s="35"/>
      <c r="AA1028" s="35"/>
      <c r="AB1028" s="35"/>
      <c r="AC1028" s="35"/>
      <c r="AD1028" s="35"/>
      <c r="AE1028" s="35"/>
    </row>
    <row r="1029" ht="12.0" customHeight="1">
      <c r="A1029" s="35"/>
      <c r="B1029" s="35"/>
      <c r="C1029" s="35"/>
      <c r="D1029" s="35"/>
      <c r="E1029" s="35"/>
      <c r="F1029" s="35"/>
      <c r="G1029" s="35"/>
      <c r="H1029" s="35"/>
      <c r="I1029" s="35"/>
      <c r="J1029" s="35"/>
      <c r="K1029" s="35"/>
      <c r="L1029" s="35"/>
      <c r="M1029" s="35"/>
      <c r="N1029" s="35"/>
      <c r="O1029" s="35"/>
      <c r="P1029" s="35"/>
      <c r="Q1029" s="35"/>
      <c r="R1029" s="35"/>
      <c r="S1029" s="35"/>
      <c r="T1029" s="35"/>
      <c r="U1029" s="35"/>
      <c r="V1029" s="35"/>
      <c r="W1029" s="35"/>
      <c r="X1029" s="35"/>
      <c r="Y1029" s="35"/>
      <c r="Z1029" s="35"/>
      <c r="AA1029" s="35"/>
      <c r="AB1029" s="35"/>
      <c r="AC1029" s="35"/>
      <c r="AD1029" s="35"/>
      <c r="AE1029" s="35"/>
    </row>
    <row r="1030" ht="12.0" customHeight="1">
      <c r="A1030" s="35"/>
      <c r="B1030" s="35"/>
      <c r="C1030" s="35"/>
      <c r="D1030" s="35"/>
      <c r="E1030" s="35"/>
      <c r="F1030" s="35"/>
      <c r="G1030" s="35"/>
      <c r="H1030" s="35"/>
      <c r="I1030" s="35"/>
      <c r="J1030" s="35"/>
      <c r="K1030" s="35"/>
      <c r="L1030" s="35"/>
      <c r="M1030" s="35"/>
      <c r="N1030" s="35"/>
      <c r="O1030" s="35"/>
      <c r="P1030" s="35"/>
      <c r="Q1030" s="35"/>
      <c r="R1030" s="35"/>
      <c r="S1030" s="35"/>
      <c r="T1030" s="35"/>
      <c r="U1030" s="35"/>
      <c r="V1030" s="35"/>
      <c r="W1030" s="35"/>
      <c r="X1030" s="35"/>
      <c r="Y1030" s="35"/>
      <c r="Z1030" s="35"/>
      <c r="AA1030" s="35"/>
      <c r="AB1030" s="35"/>
      <c r="AC1030" s="35"/>
      <c r="AD1030" s="35"/>
      <c r="AE1030" s="35"/>
    </row>
    <row r="1031" ht="12.0" customHeight="1">
      <c r="A1031" s="35"/>
      <c r="B1031" s="35"/>
      <c r="C1031" s="35"/>
      <c r="D1031" s="35"/>
      <c r="E1031" s="35"/>
      <c r="F1031" s="35"/>
      <c r="G1031" s="35"/>
      <c r="H1031" s="35"/>
      <c r="I1031" s="35"/>
      <c r="J1031" s="35"/>
      <c r="K1031" s="35"/>
      <c r="L1031" s="35"/>
      <c r="M1031" s="35"/>
      <c r="N1031" s="35"/>
      <c r="O1031" s="35"/>
      <c r="P1031" s="35"/>
      <c r="Q1031" s="35"/>
      <c r="R1031" s="35"/>
      <c r="S1031" s="35"/>
      <c r="T1031" s="35"/>
      <c r="U1031" s="35"/>
      <c r="V1031" s="35"/>
      <c r="W1031" s="35"/>
      <c r="X1031" s="35"/>
      <c r="Y1031" s="35"/>
      <c r="Z1031" s="35"/>
      <c r="AA1031" s="35"/>
      <c r="AB1031" s="35"/>
      <c r="AC1031" s="35"/>
      <c r="AD1031" s="35"/>
      <c r="AE1031" s="35"/>
    </row>
    <row r="1032" ht="12.0" customHeight="1">
      <c r="A1032" s="35"/>
      <c r="B1032" s="35"/>
      <c r="C1032" s="35"/>
      <c r="D1032" s="35"/>
      <c r="E1032" s="35"/>
      <c r="F1032" s="35"/>
      <c r="G1032" s="35"/>
      <c r="H1032" s="35"/>
      <c r="I1032" s="35"/>
      <c r="J1032" s="35"/>
      <c r="K1032" s="35"/>
      <c r="L1032" s="35"/>
      <c r="M1032" s="35"/>
      <c r="N1032" s="35"/>
      <c r="O1032" s="35"/>
      <c r="P1032" s="35"/>
      <c r="Q1032" s="35"/>
      <c r="R1032" s="35"/>
      <c r="S1032" s="35"/>
      <c r="T1032" s="35"/>
      <c r="U1032" s="35"/>
      <c r="V1032" s="35"/>
      <c r="W1032" s="35"/>
      <c r="X1032" s="35"/>
      <c r="Y1032" s="35"/>
      <c r="Z1032" s="35"/>
      <c r="AA1032" s="35"/>
      <c r="AB1032" s="35"/>
      <c r="AC1032" s="35"/>
      <c r="AD1032" s="35"/>
      <c r="AE1032" s="35"/>
    </row>
    <row r="1033" ht="12.0" customHeight="1">
      <c r="A1033" s="35"/>
      <c r="B1033" s="35"/>
      <c r="C1033" s="35"/>
      <c r="D1033" s="35"/>
      <c r="E1033" s="35"/>
      <c r="F1033" s="35"/>
      <c r="G1033" s="35"/>
      <c r="H1033" s="35"/>
      <c r="I1033" s="35"/>
      <c r="J1033" s="35"/>
      <c r="K1033" s="35"/>
      <c r="L1033" s="35"/>
      <c r="M1033" s="35"/>
      <c r="N1033" s="35"/>
      <c r="O1033" s="35"/>
      <c r="P1033" s="35"/>
      <c r="Q1033" s="35"/>
      <c r="R1033" s="35"/>
      <c r="S1033" s="35"/>
      <c r="T1033" s="35"/>
      <c r="U1033" s="35"/>
      <c r="V1033" s="35"/>
      <c r="W1033" s="35"/>
      <c r="X1033" s="35"/>
      <c r="Y1033" s="35"/>
      <c r="Z1033" s="35"/>
      <c r="AA1033" s="35"/>
      <c r="AB1033" s="35"/>
      <c r="AC1033" s="35"/>
      <c r="AD1033" s="35"/>
      <c r="AE1033" s="35"/>
    </row>
    <row r="1034" ht="12.0" customHeight="1">
      <c r="A1034" s="35"/>
      <c r="B1034" s="35"/>
      <c r="C1034" s="35"/>
      <c r="D1034" s="35"/>
      <c r="E1034" s="35"/>
      <c r="F1034" s="35"/>
      <c r="G1034" s="35"/>
      <c r="H1034" s="35"/>
      <c r="I1034" s="35"/>
      <c r="J1034" s="35"/>
      <c r="K1034" s="35"/>
      <c r="L1034" s="35"/>
      <c r="M1034" s="35"/>
      <c r="N1034" s="35"/>
      <c r="O1034" s="35"/>
      <c r="P1034" s="35"/>
      <c r="Q1034" s="35"/>
      <c r="R1034" s="35"/>
      <c r="S1034" s="35"/>
      <c r="T1034" s="35"/>
      <c r="U1034" s="35"/>
      <c r="V1034" s="35"/>
      <c r="W1034" s="35"/>
      <c r="X1034" s="35"/>
      <c r="Y1034" s="35"/>
      <c r="Z1034" s="35"/>
      <c r="AA1034" s="35"/>
      <c r="AB1034" s="35"/>
      <c r="AC1034" s="35"/>
      <c r="AD1034" s="35"/>
      <c r="AE1034" s="35"/>
    </row>
    <row r="1035" ht="12.0" customHeight="1">
      <c r="A1035" s="35"/>
      <c r="B1035" s="35"/>
      <c r="C1035" s="35"/>
      <c r="D1035" s="35"/>
      <c r="E1035" s="35"/>
      <c r="F1035" s="35"/>
      <c r="G1035" s="35"/>
      <c r="H1035" s="35"/>
      <c r="I1035" s="35"/>
      <c r="J1035" s="35"/>
      <c r="K1035" s="35"/>
      <c r="L1035" s="35"/>
      <c r="M1035" s="35"/>
      <c r="N1035" s="35"/>
      <c r="O1035" s="35"/>
      <c r="P1035" s="35"/>
      <c r="Q1035" s="35"/>
      <c r="R1035" s="35"/>
      <c r="S1035" s="35"/>
      <c r="T1035" s="35"/>
      <c r="U1035" s="35"/>
      <c r="V1035" s="35"/>
      <c r="W1035" s="35"/>
      <c r="X1035" s="35"/>
      <c r="Y1035" s="35"/>
      <c r="Z1035" s="35"/>
      <c r="AA1035" s="35"/>
      <c r="AB1035" s="35"/>
      <c r="AC1035" s="35"/>
      <c r="AD1035" s="35"/>
      <c r="AE1035" s="35"/>
    </row>
    <row r="1036" ht="12.0" customHeight="1">
      <c r="A1036" s="35"/>
      <c r="B1036" s="35"/>
      <c r="C1036" s="35"/>
      <c r="D1036" s="35"/>
      <c r="E1036" s="35"/>
      <c r="F1036" s="35"/>
      <c r="G1036" s="35"/>
      <c r="H1036" s="35"/>
      <c r="I1036" s="35"/>
      <c r="J1036" s="35"/>
      <c r="K1036" s="35"/>
      <c r="L1036" s="35"/>
      <c r="M1036" s="35"/>
      <c r="N1036" s="35"/>
      <c r="O1036" s="35"/>
      <c r="P1036" s="35"/>
      <c r="Q1036" s="35"/>
      <c r="R1036" s="35"/>
      <c r="S1036" s="35"/>
      <c r="T1036" s="35"/>
      <c r="U1036" s="35"/>
      <c r="V1036" s="35"/>
      <c r="W1036" s="35"/>
      <c r="X1036" s="35"/>
      <c r="Y1036" s="35"/>
      <c r="Z1036" s="35"/>
      <c r="AA1036" s="35"/>
      <c r="AB1036" s="35"/>
      <c r="AC1036" s="35"/>
      <c r="AD1036" s="35"/>
      <c r="AE1036" s="35"/>
    </row>
    <row r="1037" ht="12.0" customHeight="1">
      <c r="A1037" s="35"/>
      <c r="B1037" s="35"/>
      <c r="C1037" s="35"/>
      <c r="D1037" s="35"/>
      <c r="E1037" s="35"/>
      <c r="F1037" s="35"/>
      <c r="G1037" s="35"/>
      <c r="H1037" s="35"/>
      <c r="I1037" s="35"/>
      <c r="J1037" s="35"/>
      <c r="K1037" s="35"/>
      <c r="L1037" s="35"/>
      <c r="M1037" s="35"/>
      <c r="N1037" s="35"/>
      <c r="O1037" s="35"/>
      <c r="P1037" s="35"/>
      <c r="Q1037" s="35"/>
      <c r="R1037" s="35"/>
      <c r="S1037" s="35"/>
      <c r="T1037" s="35"/>
      <c r="U1037" s="35"/>
      <c r="V1037" s="35"/>
      <c r="W1037" s="35"/>
      <c r="X1037" s="35"/>
      <c r="Y1037" s="35"/>
      <c r="Z1037" s="35"/>
      <c r="AA1037" s="35"/>
      <c r="AB1037" s="35"/>
      <c r="AC1037" s="35"/>
      <c r="AD1037" s="35"/>
      <c r="AE1037" s="35"/>
    </row>
    <row r="1038" ht="12.0" customHeight="1">
      <c r="A1038" s="35"/>
      <c r="B1038" s="35"/>
      <c r="C1038" s="35"/>
      <c r="D1038" s="35"/>
      <c r="E1038" s="35"/>
      <c r="F1038" s="35"/>
      <c r="G1038" s="35"/>
      <c r="H1038" s="35"/>
      <c r="I1038" s="35"/>
      <c r="J1038" s="35"/>
      <c r="K1038" s="35"/>
      <c r="L1038" s="35"/>
      <c r="M1038" s="35"/>
      <c r="N1038" s="35"/>
      <c r="O1038" s="35"/>
      <c r="P1038" s="35"/>
      <c r="Q1038" s="35"/>
      <c r="R1038" s="35"/>
      <c r="S1038" s="35"/>
      <c r="T1038" s="35"/>
      <c r="U1038" s="35"/>
      <c r="V1038" s="35"/>
      <c r="W1038" s="35"/>
      <c r="X1038" s="35"/>
      <c r="Y1038" s="35"/>
      <c r="Z1038" s="35"/>
      <c r="AA1038" s="35"/>
      <c r="AB1038" s="35"/>
      <c r="AC1038" s="35"/>
      <c r="AD1038" s="35"/>
      <c r="AE1038" s="35"/>
    </row>
    <row r="1039" ht="12.0" customHeight="1">
      <c r="A1039" s="35"/>
      <c r="B1039" s="35"/>
      <c r="C1039" s="35"/>
      <c r="D1039" s="35"/>
      <c r="E1039" s="35"/>
      <c r="F1039" s="35"/>
      <c r="G1039" s="35"/>
      <c r="H1039" s="35"/>
      <c r="I1039" s="35"/>
      <c r="J1039" s="35"/>
      <c r="K1039" s="35"/>
      <c r="L1039" s="35"/>
      <c r="M1039" s="35"/>
      <c r="N1039" s="35"/>
      <c r="O1039" s="35"/>
      <c r="P1039" s="35"/>
      <c r="Q1039" s="35"/>
      <c r="R1039" s="35"/>
      <c r="S1039" s="35"/>
      <c r="T1039" s="35"/>
      <c r="U1039" s="35"/>
      <c r="V1039" s="35"/>
      <c r="W1039" s="35"/>
      <c r="X1039" s="35"/>
      <c r="Y1039" s="35"/>
      <c r="Z1039" s="35"/>
      <c r="AA1039" s="35"/>
      <c r="AB1039" s="35"/>
      <c r="AC1039" s="35"/>
      <c r="AD1039" s="35"/>
      <c r="AE1039" s="35"/>
    </row>
    <row r="1040" ht="12.0" customHeight="1">
      <c r="A1040" s="35"/>
      <c r="B1040" s="35"/>
      <c r="C1040" s="35"/>
      <c r="D1040" s="35"/>
      <c r="E1040" s="35"/>
      <c r="F1040" s="35"/>
      <c r="G1040" s="35"/>
      <c r="H1040" s="35"/>
      <c r="I1040" s="35"/>
      <c r="J1040" s="35"/>
      <c r="K1040" s="35"/>
      <c r="L1040" s="35"/>
      <c r="M1040" s="35"/>
      <c r="N1040" s="35"/>
      <c r="O1040" s="35"/>
      <c r="P1040" s="35"/>
      <c r="Q1040" s="35"/>
      <c r="R1040" s="35"/>
      <c r="S1040" s="35"/>
      <c r="T1040" s="35"/>
      <c r="U1040" s="35"/>
      <c r="V1040" s="35"/>
      <c r="W1040" s="35"/>
      <c r="X1040" s="35"/>
      <c r="Y1040" s="35"/>
      <c r="Z1040" s="35"/>
      <c r="AA1040" s="35"/>
      <c r="AB1040" s="35"/>
      <c r="AC1040" s="35"/>
      <c r="AD1040" s="35"/>
      <c r="AE1040" s="35"/>
    </row>
    <row r="1041" ht="12.0" customHeight="1">
      <c r="A1041" s="35"/>
      <c r="B1041" s="35"/>
      <c r="C1041" s="35"/>
      <c r="D1041" s="35"/>
      <c r="E1041" s="35"/>
      <c r="F1041" s="35"/>
      <c r="G1041" s="35"/>
      <c r="H1041" s="35"/>
      <c r="I1041" s="35"/>
      <c r="J1041" s="35"/>
      <c r="K1041" s="35"/>
      <c r="L1041" s="35"/>
      <c r="M1041" s="35"/>
      <c r="N1041" s="35"/>
      <c r="O1041" s="35"/>
      <c r="P1041" s="35"/>
      <c r="Q1041" s="35"/>
      <c r="R1041" s="35"/>
      <c r="S1041" s="35"/>
      <c r="T1041" s="35"/>
      <c r="U1041" s="35"/>
      <c r="V1041" s="35"/>
      <c r="W1041" s="35"/>
      <c r="X1041" s="35"/>
      <c r="Y1041" s="35"/>
      <c r="Z1041" s="35"/>
      <c r="AA1041" s="35"/>
      <c r="AB1041" s="35"/>
      <c r="AC1041" s="35"/>
      <c r="AD1041" s="35"/>
      <c r="AE1041" s="35"/>
    </row>
    <row r="1042" ht="12.0" customHeight="1">
      <c r="A1042" s="35"/>
      <c r="B1042" s="35"/>
      <c r="C1042" s="35"/>
      <c r="D1042" s="35"/>
      <c r="E1042" s="35"/>
      <c r="F1042" s="35"/>
      <c r="G1042" s="35"/>
      <c r="H1042" s="35"/>
      <c r="I1042" s="35"/>
      <c r="J1042" s="35"/>
      <c r="K1042" s="35"/>
      <c r="L1042" s="35"/>
      <c r="M1042" s="35"/>
      <c r="N1042" s="35"/>
      <c r="O1042" s="35"/>
      <c r="P1042" s="35"/>
      <c r="Q1042" s="35"/>
      <c r="R1042" s="35"/>
      <c r="S1042" s="35"/>
      <c r="T1042" s="35"/>
      <c r="U1042" s="35"/>
      <c r="V1042" s="35"/>
      <c r="W1042" s="35"/>
      <c r="X1042" s="35"/>
      <c r="Y1042" s="35"/>
      <c r="Z1042" s="35"/>
      <c r="AA1042" s="35"/>
      <c r="AB1042" s="35"/>
      <c r="AC1042" s="35"/>
      <c r="AD1042" s="35"/>
      <c r="AE1042" s="35"/>
    </row>
    <row r="1043" ht="12.0" customHeight="1">
      <c r="A1043" s="35"/>
      <c r="B1043" s="35"/>
      <c r="C1043" s="35"/>
      <c r="D1043" s="35"/>
      <c r="E1043" s="35"/>
      <c r="F1043" s="35"/>
      <c r="G1043" s="35"/>
      <c r="H1043" s="35"/>
      <c r="I1043" s="35"/>
      <c r="J1043" s="35"/>
      <c r="K1043" s="35"/>
      <c r="L1043" s="35"/>
      <c r="M1043" s="35"/>
      <c r="N1043" s="35"/>
      <c r="O1043" s="35"/>
      <c r="P1043" s="35"/>
      <c r="Q1043" s="35"/>
      <c r="R1043" s="35"/>
      <c r="S1043" s="35"/>
      <c r="T1043" s="35"/>
      <c r="U1043" s="35"/>
      <c r="V1043" s="35"/>
      <c r="W1043" s="35"/>
      <c r="X1043" s="35"/>
      <c r="Y1043" s="35"/>
      <c r="Z1043" s="35"/>
      <c r="AA1043" s="35"/>
      <c r="AB1043" s="35"/>
      <c r="AC1043" s="35"/>
      <c r="AD1043" s="35"/>
      <c r="AE1043" s="35"/>
    </row>
    <row r="1044" ht="12.0" customHeight="1">
      <c r="A1044" s="35"/>
      <c r="B1044" s="35"/>
      <c r="C1044" s="35"/>
      <c r="D1044" s="35"/>
      <c r="E1044" s="35"/>
      <c r="F1044" s="35"/>
      <c r="G1044" s="35"/>
      <c r="H1044" s="35"/>
      <c r="I1044" s="35"/>
      <c r="J1044" s="35"/>
      <c r="K1044" s="35"/>
      <c r="L1044" s="35"/>
      <c r="M1044" s="35"/>
      <c r="N1044" s="35"/>
      <c r="O1044" s="35"/>
      <c r="P1044" s="35"/>
      <c r="Q1044" s="35"/>
      <c r="R1044" s="35"/>
      <c r="S1044" s="35"/>
      <c r="T1044" s="35"/>
      <c r="U1044" s="35"/>
      <c r="V1044" s="35"/>
      <c r="W1044" s="35"/>
      <c r="X1044" s="35"/>
      <c r="Y1044" s="35"/>
      <c r="Z1044" s="35"/>
      <c r="AA1044" s="35"/>
      <c r="AB1044" s="35"/>
      <c r="AC1044" s="35"/>
      <c r="AD1044" s="35"/>
      <c r="AE1044" s="35"/>
    </row>
    <row r="1045" ht="12.0" customHeight="1">
      <c r="A1045" s="35"/>
      <c r="B1045" s="35"/>
      <c r="C1045" s="35"/>
      <c r="D1045" s="35"/>
      <c r="E1045" s="35"/>
      <c r="F1045" s="35"/>
      <c r="G1045" s="35"/>
      <c r="H1045" s="35"/>
      <c r="I1045" s="35"/>
      <c r="J1045" s="35"/>
      <c r="K1045" s="35"/>
      <c r="L1045" s="35"/>
      <c r="M1045" s="35"/>
      <c r="N1045" s="35"/>
      <c r="O1045" s="35"/>
      <c r="P1045" s="35"/>
      <c r="Q1045" s="35"/>
      <c r="R1045" s="35"/>
      <c r="S1045" s="35"/>
      <c r="T1045" s="35"/>
      <c r="U1045" s="35"/>
      <c r="V1045" s="35"/>
      <c r="W1045" s="35"/>
      <c r="X1045" s="35"/>
      <c r="Y1045" s="35"/>
      <c r="Z1045" s="35"/>
      <c r="AA1045" s="35"/>
      <c r="AB1045" s="35"/>
      <c r="AC1045" s="35"/>
      <c r="AD1045" s="35"/>
      <c r="AE1045" s="35"/>
    </row>
    <row r="1046" ht="12.0" customHeight="1">
      <c r="A1046" s="35"/>
      <c r="B1046" s="35"/>
      <c r="C1046" s="35"/>
      <c r="D1046" s="35"/>
      <c r="E1046" s="35"/>
      <c r="F1046" s="35"/>
      <c r="G1046" s="35"/>
      <c r="H1046" s="35"/>
      <c r="I1046" s="35"/>
      <c r="J1046" s="35"/>
      <c r="K1046" s="35"/>
      <c r="L1046" s="35"/>
      <c r="M1046" s="35"/>
      <c r="N1046" s="35"/>
      <c r="O1046" s="35"/>
      <c r="P1046" s="35"/>
      <c r="Q1046" s="35"/>
      <c r="R1046" s="35"/>
      <c r="S1046" s="35"/>
      <c r="T1046" s="35"/>
      <c r="U1046" s="35"/>
      <c r="V1046" s="35"/>
      <c r="W1046" s="35"/>
      <c r="X1046" s="35"/>
      <c r="Y1046" s="35"/>
      <c r="Z1046" s="35"/>
      <c r="AA1046" s="35"/>
      <c r="AB1046" s="35"/>
      <c r="AC1046" s="35"/>
      <c r="AD1046" s="35"/>
      <c r="AE1046" s="35"/>
    </row>
    <row r="1047" ht="12.0" customHeight="1">
      <c r="A1047" s="35"/>
      <c r="B1047" s="35"/>
      <c r="C1047" s="35"/>
      <c r="D1047" s="35"/>
      <c r="E1047" s="35"/>
      <c r="F1047" s="35"/>
      <c r="G1047" s="35"/>
      <c r="H1047" s="35"/>
      <c r="I1047" s="35"/>
      <c r="J1047" s="35"/>
      <c r="K1047" s="35"/>
      <c r="L1047" s="35"/>
      <c r="M1047" s="35"/>
      <c r="N1047" s="35"/>
      <c r="O1047" s="35"/>
      <c r="P1047" s="35"/>
      <c r="Q1047" s="35"/>
      <c r="R1047" s="35"/>
      <c r="S1047" s="35"/>
      <c r="T1047" s="35"/>
      <c r="U1047" s="35"/>
      <c r="V1047" s="35"/>
      <c r="W1047" s="35"/>
      <c r="X1047" s="35"/>
      <c r="Y1047" s="35"/>
      <c r="Z1047" s="35"/>
      <c r="AA1047" s="35"/>
      <c r="AB1047" s="35"/>
      <c r="AC1047" s="35"/>
      <c r="AD1047" s="35"/>
      <c r="AE1047" s="35"/>
    </row>
    <row r="1048" ht="12.0" customHeight="1">
      <c r="A1048" s="35"/>
      <c r="B1048" s="35"/>
      <c r="C1048" s="35"/>
      <c r="D1048" s="35"/>
      <c r="E1048" s="35"/>
      <c r="F1048" s="35"/>
      <c r="G1048" s="35"/>
      <c r="H1048" s="35"/>
      <c r="I1048" s="35"/>
      <c r="J1048" s="35"/>
      <c r="K1048" s="35"/>
      <c r="L1048" s="35"/>
      <c r="M1048" s="35"/>
      <c r="N1048" s="35"/>
      <c r="O1048" s="35"/>
      <c r="P1048" s="35"/>
      <c r="Q1048" s="35"/>
      <c r="R1048" s="35"/>
      <c r="S1048" s="35"/>
      <c r="T1048" s="35"/>
      <c r="U1048" s="35"/>
      <c r="V1048" s="35"/>
      <c r="W1048" s="35"/>
      <c r="X1048" s="35"/>
      <c r="Y1048" s="35"/>
      <c r="Z1048" s="35"/>
      <c r="AA1048" s="35"/>
      <c r="AB1048" s="35"/>
      <c r="AC1048" s="35"/>
      <c r="AD1048" s="35"/>
      <c r="AE1048" s="35"/>
    </row>
    <row r="1049" ht="12.0" customHeight="1">
      <c r="A1049" s="35"/>
      <c r="B1049" s="35"/>
      <c r="C1049" s="35"/>
      <c r="D1049" s="35"/>
      <c r="E1049" s="35"/>
      <c r="F1049" s="35"/>
      <c r="G1049" s="35"/>
      <c r="H1049" s="35"/>
      <c r="I1049" s="35"/>
      <c r="J1049" s="35"/>
      <c r="K1049" s="35"/>
      <c r="L1049" s="35"/>
      <c r="M1049" s="35"/>
      <c r="N1049" s="35"/>
      <c r="O1049" s="35"/>
      <c r="P1049" s="35"/>
      <c r="Q1049" s="35"/>
      <c r="R1049" s="35"/>
      <c r="S1049" s="35"/>
      <c r="T1049" s="35"/>
      <c r="U1049" s="35"/>
      <c r="V1049" s="35"/>
      <c r="W1049" s="35"/>
      <c r="X1049" s="35"/>
      <c r="Y1049" s="35"/>
      <c r="Z1049" s="35"/>
      <c r="AA1049" s="35"/>
      <c r="AB1049" s="35"/>
      <c r="AC1049" s="35"/>
      <c r="AD1049" s="35"/>
      <c r="AE1049" s="35"/>
    </row>
    <row r="1050" ht="12.0" customHeight="1">
      <c r="A1050" s="35"/>
      <c r="B1050" s="35"/>
      <c r="C1050" s="35"/>
      <c r="D1050" s="35"/>
      <c r="E1050" s="35"/>
      <c r="F1050" s="35"/>
      <c r="G1050" s="35"/>
      <c r="H1050" s="35"/>
      <c r="I1050" s="35"/>
      <c r="J1050" s="35"/>
      <c r="K1050" s="35"/>
      <c r="L1050" s="35"/>
      <c r="M1050" s="35"/>
      <c r="N1050" s="35"/>
      <c r="O1050" s="35"/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5"/>
      <c r="AA1050" s="35"/>
      <c r="AB1050" s="35"/>
      <c r="AC1050" s="35"/>
      <c r="AD1050" s="35"/>
      <c r="AE1050" s="35"/>
    </row>
    <row r="1051" ht="12.0" customHeight="1">
      <c r="A1051" s="35"/>
      <c r="B1051" s="35"/>
      <c r="C1051" s="35"/>
      <c r="D1051" s="35"/>
      <c r="E1051" s="35"/>
      <c r="F1051" s="35"/>
      <c r="G1051" s="35"/>
      <c r="H1051" s="35"/>
      <c r="I1051" s="35"/>
      <c r="J1051" s="35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  <c r="AA1051" s="35"/>
      <c r="AB1051" s="35"/>
      <c r="AC1051" s="35"/>
      <c r="AD1051" s="35"/>
      <c r="AE1051" s="35"/>
    </row>
    <row r="1052" ht="12.0" customHeight="1">
      <c r="A1052" s="35"/>
      <c r="B1052" s="35"/>
      <c r="C1052" s="35"/>
      <c r="D1052" s="35"/>
      <c r="E1052" s="35"/>
      <c r="F1052" s="35"/>
      <c r="G1052" s="35"/>
      <c r="H1052" s="35"/>
      <c r="I1052" s="35"/>
      <c r="J1052" s="35"/>
      <c r="K1052" s="35"/>
      <c r="L1052" s="35"/>
      <c r="M1052" s="35"/>
      <c r="N1052" s="35"/>
      <c r="O1052" s="35"/>
      <c r="P1052" s="35"/>
      <c r="Q1052" s="35"/>
      <c r="R1052" s="35"/>
      <c r="S1052" s="35"/>
      <c r="T1052" s="35"/>
      <c r="U1052" s="35"/>
      <c r="V1052" s="35"/>
      <c r="W1052" s="35"/>
      <c r="X1052" s="35"/>
      <c r="Y1052" s="35"/>
      <c r="Z1052" s="35"/>
      <c r="AA1052" s="35"/>
      <c r="AB1052" s="35"/>
      <c r="AC1052" s="35"/>
      <c r="AD1052" s="35"/>
      <c r="AE1052" s="35"/>
    </row>
    <row r="1053" ht="12.0" customHeight="1">
      <c r="A1053" s="35"/>
      <c r="B1053" s="35"/>
      <c r="C1053" s="35"/>
      <c r="D1053" s="35"/>
      <c r="E1053" s="35"/>
      <c r="F1053" s="35"/>
      <c r="G1053" s="35"/>
      <c r="H1053" s="35"/>
      <c r="I1053" s="35"/>
      <c r="J1053" s="35"/>
      <c r="K1053" s="35"/>
      <c r="L1053" s="35"/>
      <c r="M1053" s="35"/>
      <c r="N1053" s="35"/>
      <c r="O1053" s="35"/>
      <c r="P1053" s="35"/>
      <c r="Q1053" s="35"/>
      <c r="R1053" s="35"/>
      <c r="S1053" s="35"/>
      <c r="T1053" s="35"/>
      <c r="U1053" s="35"/>
      <c r="V1053" s="35"/>
      <c r="W1053" s="35"/>
      <c r="X1053" s="35"/>
      <c r="Y1053" s="35"/>
      <c r="Z1053" s="35"/>
      <c r="AA1053" s="35"/>
      <c r="AB1053" s="35"/>
      <c r="AC1053" s="35"/>
      <c r="AD1053" s="35"/>
      <c r="AE1053" s="35"/>
    </row>
    <row r="1054" ht="12.0" customHeight="1">
      <c r="A1054" s="35"/>
      <c r="B1054" s="35"/>
      <c r="C1054" s="35"/>
      <c r="D1054" s="35"/>
      <c r="E1054" s="35"/>
      <c r="F1054" s="35"/>
      <c r="G1054" s="35"/>
      <c r="H1054" s="35"/>
      <c r="I1054" s="35"/>
      <c r="J1054" s="35"/>
      <c r="K1054" s="35"/>
      <c r="L1054" s="35"/>
      <c r="M1054" s="35"/>
      <c r="N1054" s="35"/>
      <c r="O1054" s="35"/>
      <c r="P1054" s="35"/>
      <c r="Q1054" s="35"/>
      <c r="R1054" s="35"/>
      <c r="S1054" s="35"/>
      <c r="T1054" s="35"/>
      <c r="U1054" s="35"/>
      <c r="V1054" s="35"/>
      <c r="W1054" s="35"/>
      <c r="X1054" s="35"/>
      <c r="Y1054" s="35"/>
      <c r="Z1054" s="35"/>
      <c r="AA1054" s="35"/>
      <c r="AB1054" s="35"/>
      <c r="AC1054" s="35"/>
      <c r="AD1054" s="35"/>
      <c r="AE1054" s="35"/>
    </row>
    <row r="1055" ht="12.0" customHeight="1">
      <c r="A1055" s="35"/>
      <c r="B1055" s="35"/>
      <c r="C1055" s="35"/>
      <c r="D1055" s="35"/>
      <c r="E1055" s="35"/>
      <c r="F1055" s="35"/>
      <c r="G1055" s="35"/>
      <c r="H1055" s="35"/>
      <c r="I1055" s="35"/>
      <c r="J1055" s="35"/>
      <c r="K1055" s="35"/>
      <c r="L1055" s="35"/>
      <c r="M1055" s="35"/>
      <c r="N1055" s="35"/>
      <c r="O1055" s="35"/>
      <c r="P1055" s="35"/>
      <c r="Q1055" s="35"/>
      <c r="R1055" s="35"/>
      <c r="S1055" s="35"/>
      <c r="T1055" s="35"/>
      <c r="U1055" s="35"/>
      <c r="V1055" s="35"/>
      <c r="W1055" s="35"/>
      <c r="X1055" s="35"/>
      <c r="Y1055" s="35"/>
      <c r="Z1055" s="35"/>
      <c r="AA1055" s="35"/>
      <c r="AB1055" s="35"/>
      <c r="AC1055" s="35"/>
      <c r="AD1055" s="35"/>
      <c r="AE1055" s="35"/>
    </row>
    <row r="1056" ht="12.0" customHeight="1">
      <c r="A1056" s="35"/>
      <c r="B1056" s="35"/>
      <c r="C1056" s="35"/>
      <c r="D1056" s="35"/>
      <c r="E1056" s="35"/>
      <c r="F1056" s="35"/>
      <c r="G1056" s="35"/>
      <c r="H1056" s="35"/>
      <c r="I1056" s="35"/>
      <c r="J1056" s="35"/>
      <c r="K1056" s="35"/>
      <c r="L1056" s="35"/>
      <c r="M1056" s="35"/>
      <c r="N1056" s="35"/>
      <c r="O1056" s="35"/>
      <c r="P1056" s="35"/>
      <c r="Q1056" s="35"/>
      <c r="R1056" s="35"/>
      <c r="S1056" s="35"/>
      <c r="T1056" s="35"/>
      <c r="U1056" s="35"/>
      <c r="V1056" s="35"/>
      <c r="W1056" s="35"/>
      <c r="X1056" s="35"/>
      <c r="Y1056" s="35"/>
      <c r="Z1056" s="35"/>
      <c r="AA1056" s="35"/>
      <c r="AB1056" s="35"/>
      <c r="AC1056" s="35"/>
      <c r="AD1056" s="35"/>
      <c r="AE1056" s="35"/>
    </row>
    <row r="1057" ht="12.0" customHeight="1">
      <c r="A1057" s="35"/>
      <c r="B1057" s="35"/>
      <c r="C1057" s="35"/>
      <c r="D1057" s="35"/>
      <c r="E1057" s="35"/>
      <c r="F1057" s="35"/>
      <c r="G1057" s="35"/>
      <c r="H1057" s="35"/>
      <c r="I1057" s="35"/>
      <c r="J1057" s="35"/>
      <c r="K1057" s="35"/>
      <c r="L1057" s="35"/>
      <c r="M1057" s="35"/>
      <c r="N1057" s="35"/>
      <c r="O1057" s="35"/>
      <c r="P1057" s="35"/>
      <c r="Q1057" s="35"/>
      <c r="R1057" s="35"/>
      <c r="S1057" s="35"/>
      <c r="T1057" s="35"/>
      <c r="U1057" s="35"/>
      <c r="V1057" s="35"/>
      <c r="W1057" s="35"/>
      <c r="X1057" s="35"/>
      <c r="Y1057" s="35"/>
      <c r="Z1057" s="35"/>
      <c r="AA1057" s="35"/>
      <c r="AB1057" s="35"/>
      <c r="AC1057" s="35"/>
      <c r="AD1057" s="35"/>
      <c r="AE1057" s="35"/>
    </row>
    <row r="1058" ht="12.0" customHeight="1">
      <c r="A1058" s="35"/>
      <c r="B1058" s="35"/>
      <c r="C1058" s="35"/>
      <c r="D1058" s="35"/>
      <c r="E1058" s="35"/>
      <c r="F1058" s="35"/>
      <c r="G1058" s="35"/>
      <c r="H1058" s="35"/>
      <c r="I1058" s="35"/>
      <c r="J1058" s="35"/>
      <c r="K1058" s="35"/>
      <c r="L1058" s="35"/>
      <c r="M1058" s="35"/>
      <c r="N1058" s="35"/>
      <c r="O1058" s="35"/>
      <c r="P1058" s="35"/>
      <c r="Q1058" s="35"/>
      <c r="R1058" s="35"/>
      <c r="S1058" s="35"/>
      <c r="T1058" s="35"/>
      <c r="U1058" s="35"/>
      <c r="V1058" s="35"/>
      <c r="W1058" s="35"/>
      <c r="X1058" s="35"/>
      <c r="Y1058" s="35"/>
      <c r="Z1058" s="35"/>
      <c r="AA1058" s="35"/>
      <c r="AB1058" s="35"/>
      <c r="AC1058" s="35"/>
      <c r="AD1058" s="35"/>
      <c r="AE1058" s="35"/>
    </row>
    <row r="1059" ht="12.0" customHeight="1">
      <c r="A1059" s="35"/>
      <c r="B1059" s="35"/>
      <c r="C1059" s="35"/>
      <c r="D1059" s="35"/>
      <c r="E1059" s="35"/>
      <c r="F1059" s="35"/>
      <c r="G1059" s="35"/>
      <c r="H1059" s="35"/>
      <c r="I1059" s="35"/>
      <c r="J1059" s="35"/>
      <c r="K1059" s="35"/>
      <c r="L1059" s="35"/>
      <c r="M1059" s="35"/>
      <c r="N1059" s="35"/>
      <c r="O1059" s="35"/>
      <c r="P1059" s="35"/>
      <c r="Q1059" s="35"/>
      <c r="R1059" s="35"/>
      <c r="S1059" s="35"/>
      <c r="T1059" s="35"/>
      <c r="U1059" s="35"/>
      <c r="V1059" s="35"/>
      <c r="W1059" s="35"/>
      <c r="X1059" s="35"/>
      <c r="Y1059" s="35"/>
      <c r="Z1059" s="35"/>
      <c r="AA1059" s="35"/>
      <c r="AB1059" s="35"/>
      <c r="AC1059" s="35"/>
      <c r="AD1059" s="35"/>
      <c r="AE1059" s="35"/>
    </row>
    <row r="1060" ht="12.0" customHeight="1">
      <c r="A1060" s="35"/>
      <c r="B1060" s="35"/>
      <c r="C1060" s="35"/>
      <c r="D1060" s="35"/>
      <c r="E1060" s="35"/>
      <c r="F1060" s="35"/>
      <c r="G1060" s="35"/>
      <c r="H1060" s="35"/>
      <c r="I1060" s="35"/>
      <c r="J1060" s="35"/>
      <c r="K1060" s="35"/>
      <c r="L1060" s="35"/>
      <c r="M1060" s="35"/>
      <c r="N1060" s="35"/>
      <c r="O1060" s="35"/>
      <c r="P1060" s="35"/>
      <c r="Q1060" s="35"/>
      <c r="R1060" s="35"/>
      <c r="S1060" s="35"/>
      <c r="T1060" s="35"/>
      <c r="U1060" s="35"/>
      <c r="V1060" s="35"/>
      <c r="W1060" s="35"/>
      <c r="X1060" s="35"/>
      <c r="Y1060" s="35"/>
      <c r="Z1060" s="35"/>
      <c r="AA1060" s="35"/>
      <c r="AB1060" s="35"/>
      <c r="AC1060" s="35"/>
      <c r="AD1060" s="35"/>
      <c r="AE1060" s="35"/>
    </row>
    <row r="1061" ht="12.0" customHeight="1">
      <c r="A1061" s="35"/>
      <c r="B1061" s="35"/>
      <c r="C1061" s="35"/>
      <c r="D1061" s="35"/>
      <c r="E1061" s="35"/>
      <c r="F1061" s="35"/>
      <c r="G1061" s="35"/>
      <c r="H1061" s="35"/>
      <c r="I1061" s="35"/>
      <c r="J1061" s="35"/>
      <c r="K1061" s="35"/>
      <c r="L1061" s="35"/>
      <c r="M1061" s="35"/>
      <c r="N1061" s="35"/>
      <c r="O1061" s="35"/>
      <c r="P1061" s="35"/>
      <c r="Q1061" s="35"/>
      <c r="R1061" s="35"/>
      <c r="S1061" s="35"/>
      <c r="T1061" s="35"/>
      <c r="U1061" s="35"/>
      <c r="V1061" s="35"/>
      <c r="W1061" s="35"/>
      <c r="X1061" s="35"/>
      <c r="Y1061" s="35"/>
      <c r="Z1061" s="35"/>
      <c r="AA1061" s="35"/>
      <c r="AB1061" s="35"/>
      <c r="AC1061" s="35"/>
      <c r="AD1061" s="35"/>
      <c r="AE1061" s="35"/>
    </row>
    <row r="1062" ht="12.0" customHeight="1">
      <c r="A1062" s="35"/>
      <c r="B1062" s="35"/>
      <c r="C1062" s="35"/>
      <c r="D1062" s="35"/>
      <c r="E1062" s="35"/>
      <c r="F1062" s="35"/>
      <c r="G1062" s="35"/>
      <c r="H1062" s="35"/>
      <c r="I1062" s="35"/>
      <c r="J1062" s="35"/>
      <c r="K1062" s="35"/>
      <c r="L1062" s="35"/>
      <c r="M1062" s="35"/>
      <c r="N1062" s="35"/>
      <c r="O1062" s="35"/>
      <c r="P1062" s="35"/>
      <c r="Q1062" s="35"/>
      <c r="R1062" s="35"/>
      <c r="S1062" s="35"/>
      <c r="T1062" s="35"/>
      <c r="U1062" s="35"/>
      <c r="V1062" s="35"/>
      <c r="W1062" s="35"/>
      <c r="X1062" s="35"/>
      <c r="Y1062" s="35"/>
      <c r="Z1062" s="35"/>
      <c r="AA1062" s="35"/>
      <c r="AB1062" s="35"/>
      <c r="AC1062" s="35"/>
      <c r="AD1062" s="35"/>
      <c r="AE1062" s="35"/>
    </row>
    <row r="1063" ht="12.0" customHeight="1">
      <c r="A1063" s="35"/>
      <c r="B1063" s="35"/>
      <c r="C1063" s="35"/>
      <c r="D1063" s="35"/>
      <c r="E1063" s="35"/>
      <c r="F1063" s="35"/>
      <c r="G1063" s="35"/>
      <c r="H1063" s="35"/>
      <c r="I1063" s="35"/>
      <c r="J1063" s="35"/>
      <c r="K1063" s="35"/>
      <c r="L1063" s="35"/>
      <c r="M1063" s="35"/>
      <c r="N1063" s="35"/>
      <c r="O1063" s="35"/>
      <c r="P1063" s="35"/>
      <c r="Q1063" s="35"/>
      <c r="R1063" s="35"/>
      <c r="S1063" s="35"/>
      <c r="T1063" s="35"/>
      <c r="U1063" s="35"/>
      <c r="V1063" s="35"/>
      <c r="W1063" s="35"/>
      <c r="X1063" s="35"/>
      <c r="Y1063" s="35"/>
      <c r="Z1063" s="35"/>
      <c r="AA1063" s="35"/>
      <c r="AB1063" s="35"/>
      <c r="AC1063" s="35"/>
      <c r="AD1063" s="35"/>
      <c r="AE1063" s="35"/>
    </row>
    <row r="1064" ht="12.0" customHeight="1">
      <c r="A1064" s="35"/>
      <c r="B1064" s="35"/>
      <c r="C1064" s="35"/>
      <c r="D1064" s="35"/>
      <c r="E1064" s="35"/>
      <c r="F1064" s="35"/>
      <c r="G1064" s="35"/>
      <c r="H1064" s="35"/>
      <c r="I1064" s="35"/>
      <c r="J1064" s="35"/>
      <c r="K1064" s="35"/>
      <c r="L1064" s="35"/>
      <c r="M1064" s="35"/>
      <c r="N1064" s="35"/>
      <c r="O1064" s="35"/>
      <c r="P1064" s="35"/>
      <c r="Q1064" s="35"/>
      <c r="R1064" s="35"/>
      <c r="S1064" s="35"/>
      <c r="T1064" s="35"/>
      <c r="U1064" s="35"/>
      <c r="V1064" s="35"/>
      <c r="W1064" s="35"/>
      <c r="X1064" s="35"/>
      <c r="Y1064" s="35"/>
      <c r="Z1064" s="35"/>
      <c r="AA1064" s="35"/>
      <c r="AB1064" s="35"/>
      <c r="AC1064" s="35"/>
      <c r="AD1064" s="35"/>
      <c r="AE1064" s="35"/>
    </row>
    <row r="1065" ht="12.0" customHeight="1">
      <c r="A1065" s="35"/>
      <c r="B1065" s="35"/>
      <c r="C1065" s="35"/>
      <c r="D1065" s="35"/>
      <c r="E1065" s="35"/>
      <c r="F1065" s="35"/>
      <c r="G1065" s="35"/>
      <c r="H1065" s="35"/>
      <c r="I1065" s="35"/>
      <c r="J1065" s="35"/>
      <c r="K1065" s="35"/>
      <c r="L1065" s="35"/>
      <c r="M1065" s="35"/>
      <c r="N1065" s="35"/>
      <c r="O1065" s="35"/>
      <c r="P1065" s="35"/>
      <c r="Q1065" s="35"/>
      <c r="R1065" s="35"/>
      <c r="S1065" s="35"/>
      <c r="T1065" s="35"/>
      <c r="U1065" s="35"/>
      <c r="V1065" s="35"/>
      <c r="W1065" s="35"/>
      <c r="X1065" s="35"/>
      <c r="Y1065" s="35"/>
      <c r="Z1065" s="35"/>
      <c r="AA1065" s="35"/>
      <c r="AB1065" s="35"/>
      <c r="AC1065" s="35"/>
      <c r="AD1065" s="35"/>
      <c r="AE1065" s="35"/>
    </row>
    <row r="1066" ht="12.0" customHeight="1">
      <c r="A1066" s="35"/>
      <c r="B1066" s="35"/>
      <c r="C1066" s="35"/>
      <c r="D1066" s="35"/>
      <c r="E1066" s="35"/>
      <c r="F1066" s="35"/>
      <c r="G1066" s="35"/>
      <c r="H1066" s="35"/>
      <c r="I1066" s="35"/>
      <c r="J1066" s="35"/>
      <c r="K1066" s="35"/>
      <c r="L1066" s="35"/>
      <c r="M1066" s="35"/>
      <c r="N1066" s="35"/>
      <c r="O1066" s="35"/>
      <c r="P1066" s="35"/>
      <c r="Q1066" s="35"/>
      <c r="R1066" s="35"/>
      <c r="S1066" s="35"/>
      <c r="T1066" s="35"/>
      <c r="U1066" s="35"/>
      <c r="V1066" s="35"/>
      <c r="W1066" s="35"/>
      <c r="X1066" s="35"/>
      <c r="Y1066" s="35"/>
      <c r="Z1066" s="35"/>
      <c r="AA1066" s="35"/>
      <c r="AB1066" s="35"/>
      <c r="AC1066" s="35"/>
      <c r="AD1066" s="35"/>
      <c r="AE1066" s="35"/>
    </row>
    <row r="1067" ht="12.0" customHeight="1">
      <c r="A1067" s="35"/>
      <c r="B1067" s="35"/>
      <c r="C1067" s="35"/>
      <c r="D1067" s="35"/>
      <c r="E1067" s="35"/>
      <c r="F1067" s="35"/>
      <c r="G1067" s="35"/>
      <c r="H1067" s="35"/>
      <c r="I1067" s="35"/>
      <c r="J1067" s="35"/>
      <c r="K1067" s="35"/>
      <c r="L1067" s="35"/>
      <c r="M1067" s="35"/>
      <c r="N1067" s="35"/>
      <c r="O1067" s="35"/>
      <c r="P1067" s="35"/>
      <c r="Q1067" s="35"/>
      <c r="R1067" s="35"/>
      <c r="S1067" s="35"/>
      <c r="T1067" s="35"/>
      <c r="U1067" s="35"/>
      <c r="V1067" s="35"/>
      <c r="W1067" s="35"/>
      <c r="X1067" s="35"/>
      <c r="Y1067" s="35"/>
      <c r="Z1067" s="35"/>
      <c r="AA1067" s="35"/>
      <c r="AB1067" s="35"/>
      <c r="AC1067" s="35"/>
      <c r="AD1067" s="35"/>
      <c r="AE1067" s="35"/>
    </row>
    <row r="1068" ht="12.0" customHeight="1">
      <c r="A1068" s="35"/>
      <c r="B1068" s="35"/>
      <c r="C1068" s="35"/>
      <c r="D1068" s="35"/>
      <c r="E1068" s="35"/>
      <c r="F1068" s="35"/>
      <c r="G1068" s="35"/>
      <c r="H1068" s="35"/>
      <c r="I1068" s="35"/>
      <c r="J1068" s="35"/>
      <c r="K1068" s="35"/>
      <c r="L1068" s="35"/>
      <c r="M1068" s="35"/>
      <c r="N1068" s="35"/>
      <c r="O1068" s="35"/>
      <c r="P1068" s="35"/>
      <c r="Q1068" s="35"/>
      <c r="R1068" s="35"/>
      <c r="S1068" s="35"/>
      <c r="T1068" s="35"/>
      <c r="U1068" s="35"/>
      <c r="V1068" s="35"/>
      <c r="W1068" s="35"/>
      <c r="X1068" s="35"/>
      <c r="Y1068" s="35"/>
      <c r="Z1068" s="35"/>
      <c r="AA1068" s="35"/>
      <c r="AB1068" s="35"/>
      <c r="AC1068" s="35"/>
      <c r="AD1068" s="35"/>
      <c r="AE1068" s="35"/>
    </row>
    <row r="1069" ht="12.0" customHeight="1">
      <c r="A1069" s="35"/>
      <c r="B1069" s="35"/>
      <c r="C1069" s="35"/>
      <c r="D1069" s="35"/>
      <c r="E1069" s="35"/>
      <c r="F1069" s="35"/>
      <c r="G1069" s="35"/>
      <c r="H1069" s="35"/>
      <c r="I1069" s="35"/>
      <c r="J1069" s="35"/>
      <c r="K1069" s="35"/>
      <c r="L1069" s="35"/>
      <c r="M1069" s="35"/>
      <c r="N1069" s="35"/>
      <c r="O1069" s="35"/>
      <c r="P1069" s="35"/>
      <c r="Q1069" s="35"/>
      <c r="R1069" s="35"/>
      <c r="S1069" s="35"/>
      <c r="T1069" s="35"/>
      <c r="U1069" s="35"/>
      <c r="V1069" s="35"/>
      <c r="W1069" s="35"/>
      <c r="X1069" s="35"/>
      <c r="Y1069" s="35"/>
      <c r="Z1069" s="35"/>
      <c r="AA1069" s="35"/>
      <c r="AB1069" s="35"/>
      <c r="AC1069" s="35"/>
      <c r="AD1069" s="35"/>
      <c r="AE1069" s="35"/>
    </row>
    <row r="1070" ht="12.0" customHeight="1">
      <c r="A1070" s="35"/>
      <c r="B1070" s="35"/>
      <c r="C1070" s="35"/>
      <c r="D1070" s="35"/>
      <c r="E1070" s="35"/>
      <c r="F1070" s="35"/>
      <c r="G1070" s="35"/>
      <c r="H1070" s="35"/>
      <c r="I1070" s="35"/>
      <c r="J1070" s="35"/>
      <c r="K1070" s="35"/>
      <c r="L1070" s="35"/>
      <c r="M1070" s="35"/>
      <c r="N1070" s="35"/>
      <c r="O1070" s="35"/>
      <c r="P1070" s="35"/>
      <c r="Q1070" s="35"/>
      <c r="R1070" s="35"/>
      <c r="S1070" s="35"/>
      <c r="T1070" s="35"/>
      <c r="U1070" s="35"/>
      <c r="V1070" s="35"/>
      <c r="W1070" s="35"/>
      <c r="X1070" s="35"/>
      <c r="Y1070" s="35"/>
      <c r="Z1070" s="35"/>
      <c r="AA1070" s="35"/>
      <c r="AB1070" s="35"/>
      <c r="AC1070" s="35"/>
      <c r="AD1070" s="35"/>
      <c r="AE1070" s="35"/>
    </row>
    <row r="1071" ht="12.0" customHeight="1">
      <c r="A1071" s="35"/>
      <c r="B1071" s="35"/>
      <c r="C1071" s="35"/>
      <c r="D1071" s="35"/>
      <c r="E1071" s="35"/>
      <c r="F1071" s="35"/>
      <c r="G1071" s="35"/>
      <c r="H1071" s="35"/>
      <c r="I1071" s="35"/>
      <c r="J1071" s="35"/>
      <c r="K1071" s="35"/>
      <c r="L1071" s="35"/>
      <c r="M1071" s="35"/>
      <c r="N1071" s="35"/>
      <c r="O1071" s="35"/>
      <c r="P1071" s="35"/>
      <c r="Q1071" s="35"/>
      <c r="R1071" s="35"/>
      <c r="S1071" s="35"/>
      <c r="T1071" s="35"/>
      <c r="U1071" s="35"/>
      <c r="V1071" s="35"/>
      <c r="W1071" s="35"/>
      <c r="X1071" s="35"/>
      <c r="Y1071" s="35"/>
      <c r="Z1071" s="35"/>
      <c r="AA1071" s="35"/>
      <c r="AB1071" s="35"/>
      <c r="AC1071" s="35"/>
      <c r="AD1071" s="35"/>
      <c r="AE1071" s="35"/>
    </row>
    <row r="1072" ht="12.0" customHeight="1">
      <c r="A1072" s="35"/>
      <c r="B1072" s="35"/>
      <c r="C1072" s="35"/>
      <c r="D1072" s="35"/>
      <c r="E1072" s="35"/>
      <c r="F1072" s="35"/>
      <c r="G1072" s="35"/>
      <c r="H1072" s="35"/>
      <c r="I1072" s="35"/>
      <c r="J1072" s="35"/>
      <c r="K1072" s="35"/>
      <c r="L1072" s="35"/>
      <c r="M1072" s="35"/>
      <c r="N1072" s="35"/>
      <c r="O1072" s="35"/>
      <c r="P1072" s="35"/>
      <c r="Q1072" s="35"/>
      <c r="R1072" s="35"/>
      <c r="S1072" s="35"/>
      <c r="T1072" s="35"/>
      <c r="U1072" s="35"/>
      <c r="V1072" s="35"/>
      <c r="W1072" s="35"/>
      <c r="X1072" s="35"/>
      <c r="Y1072" s="35"/>
      <c r="Z1072" s="35"/>
      <c r="AA1072" s="35"/>
      <c r="AB1072" s="35"/>
      <c r="AC1072" s="35"/>
      <c r="AD1072" s="35"/>
      <c r="AE1072" s="35"/>
    </row>
    <row r="1073" ht="12.0" customHeight="1">
      <c r="A1073" s="35"/>
      <c r="B1073" s="35"/>
      <c r="C1073" s="35"/>
      <c r="D1073" s="35"/>
      <c r="E1073" s="35"/>
      <c r="F1073" s="35"/>
      <c r="G1073" s="35"/>
      <c r="H1073" s="35"/>
      <c r="I1073" s="35"/>
      <c r="J1073" s="35"/>
      <c r="K1073" s="35"/>
      <c r="L1073" s="35"/>
      <c r="M1073" s="35"/>
      <c r="N1073" s="35"/>
      <c r="O1073" s="35"/>
      <c r="P1073" s="35"/>
      <c r="Q1073" s="35"/>
      <c r="R1073" s="35"/>
      <c r="S1073" s="35"/>
      <c r="T1073" s="35"/>
      <c r="U1073" s="35"/>
      <c r="V1073" s="35"/>
      <c r="W1073" s="35"/>
      <c r="X1073" s="35"/>
      <c r="Y1073" s="35"/>
      <c r="Z1073" s="35"/>
      <c r="AA1073" s="35"/>
      <c r="AB1073" s="35"/>
      <c r="AC1073" s="35"/>
      <c r="AD1073" s="35"/>
      <c r="AE1073" s="35"/>
    </row>
    <row r="1074" ht="12.0" customHeight="1">
      <c r="A1074" s="35"/>
      <c r="B1074" s="35"/>
      <c r="C1074" s="35"/>
      <c r="D1074" s="35"/>
      <c r="E1074" s="35"/>
      <c r="F1074" s="35"/>
      <c r="G1074" s="35"/>
      <c r="H1074" s="35"/>
      <c r="I1074" s="35"/>
      <c r="J1074" s="35"/>
      <c r="K1074" s="35"/>
      <c r="L1074" s="35"/>
      <c r="M1074" s="35"/>
      <c r="N1074" s="35"/>
      <c r="O1074" s="35"/>
      <c r="P1074" s="35"/>
      <c r="Q1074" s="35"/>
      <c r="R1074" s="35"/>
      <c r="S1074" s="35"/>
      <c r="T1074" s="35"/>
      <c r="U1074" s="35"/>
      <c r="V1074" s="35"/>
      <c r="W1074" s="35"/>
      <c r="X1074" s="35"/>
      <c r="Y1074" s="35"/>
      <c r="Z1074" s="35"/>
      <c r="AA1074" s="35"/>
      <c r="AB1074" s="35"/>
      <c r="AC1074" s="35"/>
      <c r="AD1074" s="35"/>
      <c r="AE1074" s="35"/>
    </row>
    <row r="1075" ht="12.0" customHeight="1">
      <c r="A1075" s="35"/>
      <c r="B1075" s="35"/>
      <c r="C1075" s="35"/>
      <c r="D1075" s="35"/>
      <c r="E1075" s="35"/>
      <c r="F1075" s="35"/>
      <c r="G1075" s="35"/>
      <c r="H1075" s="35"/>
      <c r="I1075" s="35"/>
      <c r="J1075" s="35"/>
      <c r="K1075" s="35"/>
      <c r="L1075" s="35"/>
      <c r="M1075" s="35"/>
      <c r="N1075" s="35"/>
      <c r="O1075" s="35"/>
      <c r="P1075" s="35"/>
      <c r="Q1075" s="35"/>
      <c r="R1075" s="35"/>
      <c r="S1075" s="35"/>
      <c r="T1075" s="35"/>
      <c r="U1075" s="35"/>
      <c r="V1075" s="35"/>
      <c r="W1075" s="35"/>
      <c r="X1075" s="35"/>
      <c r="Y1075" s="35"/>
      <c r="Z1075" s="35"/>
      <c r="AA1075" s="35"/>
      <c r="AB1075" s="35"/>
      <c r="AC1075" s="35"/>
      <c r="AD1075" s="35"/>
      <c r="AE1075" s="35"/>
    </row>
    <row r="1076" ht="12.0" customHeight="1">
      <c r="A1076" s="35"/>
      <c r="B1076" s="35"/>
      <c r="C1076" s="35"/>
      <c r="D1076" s="35"/>
      <c r="E1076" s="35"/>
      <c r="F1076" s="35"/>
      <c r="G1076" s="35"/>
      <c r="H1076" s="35"/>
      <c r="I1076" s="35"/>
      <c r="J1076" s="35"/>
      <c r="K1076" s="35"/>
      <c r="L1076" s="35"/>
      <c r="M1076" s="35"/>
      <c r="N1076" s="35"/>
      <c r="O1076" s="35"/>
      <c r="P1076" s="35"/>
      <c r="Q1076" s="35"/>
      <c r="R1076" s="35"/>
      <c r="S1076" s="35"/>
      <c r="T1076" s="35"/>
      <c r="U1076" s="35"/>
      <c r="V1076" s="35"/>
      <c r="W1076" s="35"/>
      <c r="X1076" s="35"/>
      <c r="Y1076" s="35"/>
      <c r="Z1076" s="35"/>
      <c r="AA1076" s="35"/>
      <c r="AB1076" s="35"/>
      <c r="AC1076" s="35"/>
      <c r="AD1076" s="35"/>
      <c r="AE1076" s="35"/>
    </row>
    <row r="1077" ht="12.0" customHeight="1">
      <c r="A1077" s="35"/>
      <c r="B1077" s="35"/>
      <c r="C1077" s="35"/>
      <c r="D1077" s="35"/>
      <c r="E1077" s="35"/>
      <c r="F1077" s="35"/>
      <c r="G1077" s="35"/>
      <c r="H1077" s="35"/>
      <c r="I1077" s="35"/>
      <c r="J1077" s="35"/>
      <c r="K1077" s="35"/>
      <c r="L1077" s="35"/>
      <c r="M1077" s="35"/>
      <c r="N1077" s="35"/>
      <c r="O1077" s="35"/>
      <c r="P1077" s="35"/>
      <c r="Q1077" s="35"/>
      <c r="R1077" s="35"/>
      <c r="S1077" s="35"/>
      <c r="T1077" s="35"/>
      <c r="U1077" s="35"/>
      <c r="V1077" s="35"/>
      <c r="W1077" s="35"/>
      <c r="X1077" s="35"/>
      <c r="Y1077" s="35"/>
      <c r="Z1077" s="35"/>
      <c r="AA1077" s="35"/>
      <c r="AB1077" s="35"/>
      <c r="AC1077" s="35"/>
      <c r="AD1077" s="35"/>
      <c r="AE1077" s="35"/>
    </row>
    <row r="1078" ht="12.0" customHeight="1">
      <c r="A1078" s="35"/>
      <c r="B1078" s="35"/>
      <c r="C1078" s="35"/>
      <c r="D1078" s="35"/>
      <c r="E1078" s="35"/>
      <c r="F1078" s="35"/>
      <c r="G1078" s="35"/>
      <c r="H1078" s="35"/>
      <c r="I1078" s="35"/>
      <c r="J1078" s="35"/>
      <c r="K1078" s="35"/>
      <c r="L1078" s="35"/>
      <c r="M1078" s="35"/>
      <c r="N1078" s="35"/>
      <c r="O1078" s="35"/>
      <c r="P1078" s="35"/>
      <c r="Q1078" s="35"/>
      <c r="R1078" s="35"/>
      <c r="S1078" s="35"/>
      <c r="T1078" s="35"/>
      <c r="U1078" s="35"/>
      <c r="V1078" s="35"/>
      <c r="W1078" s="35"/>
      <c r="X1078" s="35"/>
      <c r="Y1078" s="35"/>
      <c r="Z1078" s="35"/>
      <c r="AA1078" s="35"/>
      <c r="AB1078" s="35"/>
      <c r="AC1078" s="35"/>
      <c r="AD1078" s="35"/>
      <c r="AE1078" s="35"/>
    </row>
    <row r="1079" ht="12.0" customHeight="1">
      <c r="A1079" s="35"/>
      <c r="B1079" s="35"/>
      <c r="C1079" s="35"/>
      <c r="D1079" s="35"/>
      <c r="E1079" s="35"/>
      <c r="F1079" s="35"/>
      <c r="G1079" s="35"/>
      <c r="H1079" s="35"/>
      <c r="I1079" s="35"/>
      <c r="J1079" s="35"/>
      <c r="K1079" s="35"/>
      <c r="L1079" s="35"/>
      <c r="M1079" s="35"/>
      <c r="N1079" s="35"/>
      <c r="O1079" s="35"/>
      <c r="P1079" s="35"/>
      <c r="Q1079" s="35"/>
      <c r="R1079" s="35"/>
      <c r="S1079" s="35"/>
      <c r="T1079" s="35"/>
      <c r="U1079" s="35"/>
      <c r="V1079" s="35"/>
      <c r="W1079" s="35"/>
      <c r="X1079" s="35"/>
      <c r="Y1079" s="35"/>
      <c r="Z1079" s="35"/>
      <c r="AA1079" s="35"/>
      <c r="AB1079" s="35"/>
      <c r="AC1079" s="35"/>
      <c r="AD1079" s="35"/>
      <c r="AE1079" s="35"/>
    </row>
    <row r="1080" ht="12.0" customHeight="1">
      <c r="A1080" s="35"/>
      <c r="B1080" s="35"/>
      <c r="C1080" s="35"/>
      <c r="D1080" s="35"/>
      <c r="E1080" s="35"/>
      <c r="F1080" s="35"/>
      <c r="G1080" s="35"/>
      <c r="H1080" s="35"/>
      <c r="I1080" s="35"/>
      <c r="J1080" s="35"/>
      <c r="K1080" s="35"/>
      <c r="L1080" s="35"/>
      <c r="M1080" s="35"/>
      <c r="N1080" s="35"/>
      <c r="O1080" s="35"/>
      <c r="P1080" s="35"/>
      <c r="Q1080" s="35"/>
      <c r="R1080" s="35"/>
      <c r="S1080" s="35"/>
      <c r="T1080" s="35"/>
      <c r="U1080" s="35"/>
      <c r="V1080" s="35"/>
      <c r="W1080" s="35"/>
      <c r="X1080" s="35"/>
      <c r="Y1080" s="35"/>
      <c r="Z1080" s="35"/>
      <c r="AA1080" s="35"/>
      <c r="AB1080" s="35"/>
      <c r="AC1080" s="35"/>
      <c r="AD1080" s="35"/>
      <c r="AE1080" s="35"/>
    </row>
    <row r="1081" ht="12.0" customHeight="1">
      <c r="A1081" s="35"/>
      <c r="B1081" s="35"/>
      <c r="C1081" s="35"/>
      <c r="D1081" s="35"/>
      <c r="E1081" s="35"/>
      <c r="F1081" s="35"/>
      <c r="G1081" s="35"/>
      <c r="H1081" s="35"/>
      <c r="I1081" s="35"/>
      <c r="J1081" s="35"/>
      <c r="K1081" s="35"/>
      <c r="L1081" s="35"/>
      <c r="M1081" s="35"/>
      <c r="N1081" s="35"/>
      <c r="O1081" s="35"/>
      <c r="P1081" s="35"/>
      <c r="Q1081" s="35"/>
      <c r="R1081" s="35"/>
      <c r="S1081" s="35"/>
      <c r="T1081" s="35"/>
      <c r="U1081" s="35"/>
      <c r="V1081" s="35"/>
      <c r="W1081" s="35"/>
      <c r="X1081" s="35"/>
      <c r="Y1081" s="35"/>
      <c r="Z1081" s="35"/>
      <c r="AA1081" s="35"/>
      <c r="AB1081" s="35"/>
      <c r="AC1081" s="35"/>
      <c r="AD1081" s="35"/>
      <c r="AE1081" s="35"/>
    </row>
    <row r="1082" ht="12.0" customHeight="1">
      <c r="A1082" s="35"/>
      <c r="B1082" s="35"/>
      <c r="C1082" s="35"/>
      <c r="D1082" s="35"/>
      <c r="E1082" s="35"/>
      <c r="F1082" s="35"/>
      <c r="G1082" s="35"/>
      <c r="H1082" s="35"/>
      <c r="I1082" s="35"/>
      <c r="J1082" s="35"/>
      <c r="K1082" s="35"/>
      <c r="L1082" s="35"/>
      <c r="M1082" s="35"/>
      <c r="N1082" s="35"/>
      <c r="O1082" s="35"/>
      <c r="P1082" s="35"/>
      <c r="Q1082" s="35"/>
      <c r="R1082" s="35"/>
      <c r="S1082" s="35"/>
      <c r="T1082" s="35"/>
      <c r="U1082" s="35"/>
      <c r="V1082" s="35"/>
      <c r="W1082" s="35"/>
      <c r="X1082" s="35"/>
      <c r="Y1082" s="35"/>
      <c r="Z1082" s="35"/>
      <c r="AA1082" s="35"/>
      <c r="AB1082" s="35"/>
      <c r="AC1082" s="35"/>
      <c r="AD1082" s="35"/>
      <c r="AE1082" s="35"/>
    </row>
    <row r="1083" ht="12.0" customHeight="1">
      <c r="A1083" s="35"/>
      <c r="B1083" s="35"/>
      <c r="C1083" s="35"/>
      <c r="D1083" s="35"/>
      <c r="E1083" s="35"/>
      <c r="F1083" s="35"/>
      <c r="G1083" s="35"/>
      <c r="H1083" s="35"/>
      <c r="I1083" s="35"/>
      <c r="J1083" s="35"/>
      <c r="K1083" s="35"/>
      <c r="L1083" s="35"/>
      <c r="M1083" s="35"/>
      <c r="N1083" s="35"/>
      <c r="O1083" s="35"/>
      <c r="P1083" s="35"/>
      <c r="Q1083" s="35"/>
      <c r="R1083" s="35"/>
      <c r="S1083" s="35"/>
      <c r="T1083" s="35"/>
      <c r="U1083" s="35"/>
      <c r="V1083" s="35"/>
      <c r="W1083" s="35"/>
      <c r="X1083" s="35"/>
      <c r="Y1083" s="35"/>
      <c r="Z1083" s="35"/>
      <c r="AA1083" s="35"/>
      <c r="AB1083" s="35"/>
      <c r="AC1083" s="35"/>
      <c r="AD1083" s="35"/>
      <c r="AE1083" s="35"/>
    </row>
    <row r="1084" ht="12.0" customHeight="1">
      <c r="A1084" s="35"/>
      <c r="B1084" s="35"/>
      <c r="C1084" s="35"/>
      <c r="D1084" s="35"/>
      <c r="E1084" s="35"/>
      <c r="F1084" s="35"/>
      <c r="G1084" s="35"/>
      <c r="H1084" s="35"/>
      <c r="I1084" s="35"/>
      <c r="J1084" s="35"/>
      <c r="K1084" s="35"/>
      <c r="L1084" s="35"/>
      <c r="M1084" s="35"/>
      <c r="N1084" s="35"/>
      <c r="O1084" s="35"/>
      <c r="P1084" s="35"/>
      <c r="Q1084" s="35"/>
      <c r="R1084" s="35"/>
      <c r="S1084" s="35"/>
      <c r="T1084" s="35"/>
      <c r="U1084" s="35"/>
      <c r="V1084" s="35"/>
      <c r="W1084" s="35"/>
      <c r="X1084" s="35"/>
      <c r="Y1084" s="35"/>
      <c r="Z1084" s="35"/>
      <c r="AA1084" s="35"/>
      <c r="AB1084" s="35"/>
      <c r="AC1084" s="35"/>
      <c r="AD1084" s="35"/>
      <c r="AE1084" s="35"/>
    </row>
    <row r="1085" ht="12.0" customHeight="1">
      <c r="A1085" s="35"/>
      <c r="B1085" s="35"/>
      <c r="C1085" s="35"/>
      <c r="D1085" s="35"/>
      <c r="E1085" s="35"/>
      <c r="F1085" s="35"/>
      <c r="G1085" s="35"/>
      <c r="H1085" s="35"/>
      <c r="I1085" s="35"/>
      <c r="J1085" s="35"/>
      <c r="K1085" s="35"/>
      <c r="L1085" s="35"/>
      <c r="M1085" s="35"/>
      <c r="N1085" s="35"/>
      <c r="O1085" s="35"/>
      <c r="P1085" s="35"/>
      <c r="Q1085" s="35"/>
      <c r="R1085" s="35"/>
      <c r="S1085" s="35"/>
      <c r="T1085" s="35"/>
      <c r="U1085" s="35"/>
      <c r="V1085" s="35"/>
      <c r="W1085" s="35"/>
      <c r="X1085" s="35"/>
      <c r="Y1085" s="35"/>
      <c r="Z1085" s="35"/>
      <c r="AA1085" s="35"/>
      <c r="AB1085" s="35"/>
      <c r="AC1085" s="35"/>
      <c r="AD1085" s="35"/>
      <c r="AE1085" s="35"/>
    </row>
    <row r="1086" ht="12.0" customHeight="1">
      <c r="A1086" s="35"/>
      <c r="B1086" s="35"/>
      <c r="C1086" s="35"/>
      <c r="D1086" s="35"/>
      <c r="E1086" s="35"/>
      <c r="F1086" s="35"/>
      <c r="G1086" s="35"/>
      <c r="H1086" s="35"/>
      <c r="I1086" s="35"/>
      <c r="J1086" s="35"/>
      <c r="K1086" s="35"/>
      <c r="L1086" s="35"/>
      <c r="M1086" s="35"/>
      <c r="N1086" s="35"/>
      <c r="O1086" s="35"/>
      <c r="P1086" s="35"/>
      <c r="Q1086" s="35"/>
      <c r="R1086" s="35"/>
      <c r="S1086" s="35"/>
      <c r="T1086" s="35"/>
      <c r="U1086" s="35"/>
      <c r="V1086" s="35"/>
      <c r="W1086" s="35"/>
      <c r="X1086" s="35"/>
      <c r="Y1086" s="35"/>
      <c r="Z1086" s="35"/>
      <c r="AA1086" s="35"/>
      <c r="AB1086" s="35"/>
      <c r="AC1086" s="35"/>
      <c r="AD1086" s="35"/>
      <c r="AE1086" s="35"/>
    </row>
    <row r="1087" ht="12.0" customHeight="1">
      <c r="A1087" s="35"/>
      <c r="B1087" s="35"/>
      <c r="C1087" s="35"/>
      <c r="D1087" s="35"/>
      <c r="E1087" s="35"/>
      <c r="F1087" s="35"/>
      <c r="G1087" s="35"/>
      <c r="H1087" s="35"/>
      <c r="I1087" s="35"/>
      <c r="J1087" s="35"/>
      <c r="K1087" s="35"/>
      <c r="L1087" s="35"/>
      <c r="M1087" s="35"/>
      <c r="N1087" s="35"/>
      <c r="O1087" s="35"/>
      <c r="P1087" s="35"/>
      <c r="Q1087" s="35"/>
      <c r="R1087" s="35"/>
      <c r="S1087" s="35"/>
      <c r="T1087" s="35"/>
      <c r="U1087" s="35"/>
      <c r="V1087" s="35"/>
      <c r="W1087" s="35"/>
      <c r="X1087" s="35"/>
      <c r="Y1087" s="35"/>
      <c r="Z1087" s="35"/>
      <c r="AA1087" s="35"/>
      <c r="AB1087" s="35"/>
      <c r="AC1087" s="35"/>
      <c r="AD1087" s="35"/>
      <c r="AE1087" s="35"/>
    </row>
    <row r="1088" ht="12.0" customHeight="1">
      <c r="A1088" s="35"/>
      <c r="B1088" s="35"/>
      <c r="C1088" s="35"/>
      <c r="D1088" s="35"/>
      <c r="E1088" s="35"/>
      <c r="F1088" s="35"/>
      <c r="G1088" s="35"/>
      <c r="H1088" s="35"/>
      <c r="I1088" s="35"/>
      <c r="J1088" s="35"/>
      <c r="K1088" s="35"/>
      <c r="L1088" s="35"/>
      <c r="M1088" s="35"/>
      <c r="N1088" s="35"/>
      <c r="O1088" s="35"/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5"/>
      <c r="AA1088" s="35"/>
      <c r="AB1088" s="35"/>
      <c r="AC1088" s="35"/>
      <c r="AD1088" s="35"/>
      <c r="AE1088" s="35"/>
    </row>
    <row r="1089" ht="12.0" customHeight="1">
      <c r="A1089" s="35"/>
      <c r="B1089" s="35"/>
      <c r="C1089" s="35"/>
      <c r="D1089" s="35"/>
      <c r="E1089" s="35"/>
      <c r="F1089" s="35"/>
      <c r="G1089" s="35"/>
      <c r="H1089" s="35"/>
      <c r="I1089" s="35"/>
      <c r="J1089" s="35"/>
      <c r="K1089" s="35"/>
      <c r="L1089" s="35"/>
      <c r="M1089" s="35"/>
      <c r="N1089" s="35"/>
      <c r="O1089" s="35"/>
      <c r="P1089" s="35"/>
      <c r="Q1089" s="35"/>
      <c r="R1089" s="35"/>
      <c r="S1089" s="35"/>
      <c r="T1089" s="35"/>
      <c r="U1089" s="35"/>
      <c r="V1089" s="35"/>
      <c r="W1089" s="35"/>
      <c r="X1089" s="35"/>
      <c r="Y1089" s="35"/>
      <c r="Z1089" s="35"/>
      <c r="AA1089" s="35"/>
      <c r="AB1089" s="35"/>
      <c r="AC1089" s="35"/>
      <c r="AD1089" s="35"/>
      <c r="AE1089" s="35"/>
    </row>
    <row r="1090" ht="12.0" customHeight="1">
      <c r="A1090" s="35"/>
      <c r="B1090" s="35"/>
      <c r="C1090" s="35"/>
      <c r="D1090" s="35"/>
      <c r="E1090" s="35"/>
      <c r="F1090" s="35"/>
      <c r="G1090" s="35"/>
      <c r="H1090" s="35"/>
      <c r="I1090" s="35"/>
      <c r="J1090" s="35"/>
      <c r="K1090" s="35"/>
      <c r="L1090" s="35"/>
      <c r="M1090" s="35"/>
      <c r="N1090" s="35"/>
      <c r="O1090" s="35"/>
      <c r="P1090" s="35"/>
      <c r="Q1090" s="35"/>
      <c r="R1090" s="35"/>
      <c r="S1090" s="35"/>
      <c r="T1090" s="35"/>
      <c r="U1090" s="35"/>
      <c r="V1090" s="35"/>
      <c r="W1090" s="35"/>
      <c r="X1090" s="35"/>
      <c r="Y1090" s="35"/>
      <c r="Z1090" s="35"/>
      <c r="AA1090" s="35"/>
      <c r="AB1090" s="35"/>
      <c r="AC1090" s="35"/>
      <c r="AD1090" s="35"/>
      <c r="AE1090" s="35"/>
    </row>
    <row r="1091" ht="12.0" customHeight="1">
      <c r="A1091" s="35"/>
      <c r="B1091" s="35"/>
      <c r="C1091" s="35"/>
      <c r="D1091" s="35"/>
      <c r="E1091" s="35"/>
      <c r="F1091" s="35"/>
      <c r="G1091" s="35"/>
      <c r="H1091" s="35"/>
      <c r="I1091" s="35"/>
      <c r="J1091" s="35"/>
      <c r="K1091" s="35"/>
      <c r="L1091" s="35"/>
      <c r="M1091" s="35"/>
      <c r="N1091" s="35"/>
      <c r="O1091" s="35"/>
      <c r="P1091" s="35"/>
      <c r="Q1091" s="35"/>
      <c r="R1091" s="35"/>
      <c r="S1091" s="35"/>
      <c r="T1091" s="35"/>
      <c r="U1091" s="35"/>
      <c r="V1091" s="35"/>
      <c r="W1091" s="35"/>
      <c r="X1091" s="35"/>
      <c r="Y1091" s="35"/>
      <c r="Z1091" s="35"/>
      <c r="AA1091" s="35"/>
      <c r="AB1091" s="35"/>
      <c r="AC1091" s="35"/>
      <c r="AD1091" s="35"/>
      <c r="AE1091" s="35"/>
    </row>
    <row r="1092" ht="12.0" customHeight="1">
      <c r="A1092" s="35"/>
      <c r="B1092" s="35"/>
      <c r="C1092" s="35"/>
      <c r="D1092" s="35"/>
      <c r="E1092" s="35"/>
      <c r="F1092" s="35"/>
      <c r="G1092" s="35"/>
      <c r="H1092" s="35"/>
      <c r="I1092" s="35"/>
      <c r="J1092" s="35"/>
      <c r="K1092" s="35"/>
      <c r="L1092" s="35"/>
      <c r="M1092" s="35"/>
      <c r="N1092" s="35"/>
      <c r="O1092" s="35"/>
      <c r="P1092" s="35"/>
      <c r="Q1092" s="35"/>
      <c r="R1092" s="35"/>
      <c r="S1092" s="35"/>
      <c r="T1092" s="35"/>
      <c r="U1092" s="35"/>
      <c r="V1092" s="35"/>
      <c r="W1092" s="35"/>
      <c r="X1092" s="35"/>
      <c r="Y1092" s="35"/>
      <c r="Z1092" s="35"/>
      <c r="AA1092" s="35"/>
      <c r="AB1092" s="35"/>
      <c r="AC1092" s="35"/>
      <c r="AD1092" s="35"/>
      <c r="AE1092" s="35"/>
    </row>
    <row r="1093" ht="12.0" customHeight="1">
      <c r="A1093" s="35"/>
      <c r="B1093" s="35"/>
      <c r="C1093" s="35"/>
      <c r="D1093" s="35"/>
      <c r="E1093" s="35"/>
      <c r="F1093" s="35"/>
      <c r="G1093" s="35"/>
      <c r="H1093" s="35"/>
      <c r="I1093" s="35"/>
      <c r="J1093" s="35"/>
      <c r="K1093" s="35"/>
      <c r="L1093" s="35"/>
      <c r="M1093" s="35"/>
      <c r="N1093" s="35"/>
      <c r="O1093" s="35"/>
      <c r="P1093" s="35"/>
      <c r="Q1093" s="35"/>
      <c r="R1093" s="35"/>
      <c r="S1093" s="35"/>
      <c r="T1093" s="35"/>
      <c r="U1093" s="35"/>
      <c r="V1093" s="35"/>
      <c r="W1093" s="35"/>
      <c r="X1093" s="35"/>
      <c r="Y1093" s="35"/>
      <c r="Z1093" s="35"/>
      <c r="AA1093" s="35"/>
      <c r="AB1093" s="35"/>
      <c r="AC1093" s="35"/>
      <c r="AD1093" s="35"/>
      <c r="AE1093" s="35"/>
    </row>
    <row r="1094" ht="12.0" customHeight="1">
      <c r="A1094" s="35"/>
      <c r="B1094" s="35"/>
      <c r="C1094" s="35"/>
      <c r="D1094" s="35"/>
      <c r="E1094" s="35"/>
      <c r="F1094" s="35"/>
      <c r="G1094" s="35"/>
      <c r="H1094" s="35"/>
      <c r="I1094" s="35"/>
      <c r="J1094" s="35"/>
      <c r="K1094" s="35"/>
      <c r="L1094" s="35"/>
      <c r="M1094" s="35"/>
      <c r="N1094" s="35"/>
      <c r="O1094" s="35"/>
      <c r="P1094" s="35"/>
      <c r="Q1094" s="35"/>
      <c r="R1094" s="35"/>
      <c r="S1094" s="35"/>
      <c r="T1094" s="35"/>
      <c r="U1094" s="35"/>
      <c r="V1094" s="35"/>
      <c r="W1094" s="35"/>
      <c r="X1094" s="35"/>
      <c r="Y1094" s="35"/>
      <c r="Z1094" s="35"/>
      <c r="AA1094" s="35"/>
      <c r="AB1094" s="35"/>
      <c r="AC1094" s="35"/>
      <c r="AD1094" s="35"/>
      <c r="AE1094" s="35"/>
    </row>
    <row r="1095" ht="12.0" customHeight="1">
      <c r="A1095" s="35"/>
      <c r="B1095" s="35"/>
      <c r="C1095" s="35"/>
      <c r="D1095" s="35"/>
      <c r="E1095" s="35"/>
      <c r="F1095" s="35"/>
      <c r="G1095" s="35"/>
      <c r="H1095" s="35"/>
      <c r="I1095" s="35"/>
      <c r="J1095" s="35"/>
      <c r="K1095" s="35"/>
      <c r="L1095" s="35"/>
      <c r="M1095" s="35"/>
      <c r="N1095" s="35"/>
      <c r="O1095" s="35"/>
      <c r="P1095" s="35"/>
      <c r="Q1095" s="35"/>
      <c r="R1095" s="35"/>
      <c r="S1095" s="35"/>
      <c r="T1095" s="35"/>
      <c r="U1095" s="35"/>
      <c r="V1095" s="35"/>
      <c r="W1095" s="35"/>
      <c r="X1095" s="35"/>
      <c r="Y1095" s="35"/>
      <c r="Z1095" s="35"/>
      <c r="AA1095" s="35"/>
      <c r="AB1095" s="35"/>
      <c r="AC1095" s="35"/>
      <c r="AD1095" s="35"/>
      <c r="AE1095" s="35"/>
    </row>
    <row r="1096" ht="12.0" customHeight="1">
      <c r="A1096" s="35"/>
      <c r="B1096" s="35"/>
      <c r="C1096" s="35"/>
      <c r="D1096" s="35"/>
      <c r="E1096" s="35"/>
      <c r="F1096" s="35"/>
      <c r="G1096" s="35"/>
      <c r="H1096" s="35"/>
      <c r="I1096" s="35"/>
      <c r="J1096" s="35"/>
      <c r="K1096" s="35"/>
      <c r="L1096" s="35"/>
      <c r="M1096" s="35"/>
      <c r="N1096" s="35"/>
      <c r="O1096" s="35"/>
      <c r="P1096" s="35"/>
      <c r="Q1096" s="35"/>
      <c r="R1096" s="35"/>
      <c r="S1096" s="35"/>
      <c r="T1096" s="35"/>
      <c r="U1096" s="35"/>
      <c r="V1096" s="35"/>
      <c r="W1096" s="35"/>
      <c r="X1096" s="35"/>
      <c r="Y1096" s="35"/>
      <c r="Z1096" s="35"/>
      <c r="AA1096" s="35"/>
      <c r="AB1096" s="35"/>
      <c r="AC1096" s="35"/>
      <c r="AD1096" s="35"/>
      <c r="AE1096" s="35"/>
    </row>
    <row r="1097" ht="12.0" customHeight="1">
      <c r="A1097" s="35"/>
      <c r="B1097" s="35"/>
      <c r="C1097" s="35"/>
      <c r="D1097" s="35"/>
      <c r="E1097" s="35"/>
      <c r="F1097" s="35"/>
      <c r="G1097" s="35"/>
      <c r="H1097" s="35"/>
      <c r="I1097" s="35"/>
      <c r="J1097" s="35"/>
      <c r="K1097" s="35"/>
      <c r="L1097" s="35"/>
      <c r="M1097" s="35"/>
      <c r="N1097" s="35"/>
      <c r="O1097" s="35"/>
      <c r="P1097" s="35"/>
      <c r="Q1097" s="35"/>
      <c r="R1097" s="35"/>
      <c r="S1097" s="35"/>
      <c r="T1097" s="35"/>
      <c r="U1097" s="35"/>
      <c r="V1097" s="35"/>
      <c r="W1097" s="35"/>
      <c r="X1097" s="35"/>
      <c r="Y1097" s="35"/>
      <c r="Z1097" s="35"/>
      <c r="AA1097" s="35"/>
      <c r="AB1097" s="35"/>
      <c r="AC1097" s="35"/>
      <c r="AD1097" s="35"/>
      <c r="AE1097" s="35"/>
    </row>
    <row r="1098" ht="12.0" customHeight="1">
      <c r="A1098" s="35"/>
      <c r="B1098" s="35"/>
      <c r="C1098" s="35"/>
      <c r="D1098" s="35"/>
      <c r="E1098" s="35"/>
      <c r="F1098" s="35"/>
      <c r="G1098" s="35"/>
      <c r="H1098" s="35"/>
      <c r="I1098" s="35"/>
      <c r="J1098" s="35"/>
      <c r="K1098" s="35"/>
      <c r="L1098" s="35"/>
      <c r="M1098" s="35"/>
      <c r="N1098" s="35"/>
      <c r="O1098" s="35"/>
      <c r="P1098" s="35"/>
      <c r="Q1098" s="35"/>
      <c r="R1098" s="35"/>
      <c r="S1098" s="35"/>
      <c r="T1098" s="35"/>
      <c r="U1098" s="35"/>
      <c r="V1098" s="35"/>
      <c r="W1098" s="35"/>
      <c r="X1098" s="35"/>
      <c r="Y1098" s="35"/>
      <c r="Z1098" s="35"/>
      <c r="AA1098" s="35"/>
      <c r="AB1098" s="35"/>
      <c r="AC1098" s="35"/>
      <c r="AD1098" s="35"/>
      <c r="AE1098" s="35"/>
    </row>
    <row r="1099" ht="12.0" customHeight="1">
      <c r="A1099" s="35"/>
      <c r="B1099" s="35"/>
      <c r="C1099" s="35"/>
      <c r="D1099" s="35"/>
      <c r="E1099" s="35"/>
      <c r="F1099" s="35"/>
      <c r="G1099" s="35"/>
      <c r="H1099" s="35"/>
      <c r="I1099" s="35"/>
      <c r="J1099" s="35"/>
      <c r="K1099" s="35"/>
      <c r="L1099" s="35"/>
      <c r="M1099" s="35"/>
      <c r="N1099" s="35"/>
      <c r="O1099" s="35"/>
      <c r="P1099" s="35"/>
      <c r="Q1099" s="35"/>
      <c r="R1099" s="35"/>
      <c r="S1099" s="35"/>
      <c r="T1099" s="35"/>
      <c r="U1099" s="35"/>
      <c r="V1099" s="35"/>
      <c r="W1099" s="35"/>
      <c r="X1099" s="35"/>
      <c r="Y1099" s="35"/>
      <c r="Z1099" s="35"/>
      <c r="AA1099" s="35"/>
      <c r="AB1099" s="35"/>
      <c r="AC1099" s="35"/>
      <c r="AD1099" s="35"/>
      <c r="AE1099" s="35"/>
    </row>
    <row r="1100" ht="12.0" customHeight="1">
      <c r="A1100" s="35"/>
      <c r="B1100" s="35"/>
      <c r="C1100" s="35"/>
      <c r="D1100" s="35"/>
      <c r="E1100" s="35"/>
      <c r="F1100" s="35"/>
      <c r="G1100" s="35"/>
      <c r="H1100" s="35"/>
      <c r="I1100" s="35"/>
      <c r="J1100" s="35"/>
      <c r="K1100" s="35"/>
      <c r="L1100" s="35"/>
      <c r="M1100" s="35"/>
      <c r="N1100" s="35"/>
      <c r="O1100" s="35"/>
      <c r="P1100" s="35"/>
      <c r="Q1100" s="35"/>
      <c r="R1100" s="35"/>
      <c r="S1100" s="35"/>
      <c r="T1100" s="35"/>
      <c r="U1100" s="35"/>
      <c r="V1100" s="35"/>
      <c r="W1100" s="35"/>
      <c r="X1100" s="35"/>
      <c r="Y1100" s="35"/>
      <c r="Z1100" s="35"/>
      <c r="AA1100" s="35"/>
      <c r="AB1100" s="35"/>
      <c r="AC1100" s="35"/>
      <c r="AD1100" s="35"/>
      <c r="AE1100" s="35"/>
    </row>
    <row r="1101" ht="12.0" customHeight="1">
      <c r="A1101" s="35"/>
      <c r="B1101" s="35"/>
      <c r="C1101" s="35"/>
      <c r="D1101" s="35"/>
      <c r="E1101" s="35"/>
      <c r="F1101" s="35"/>
      <c r="G1101" s="35"/>
      <c r="H1101" s="35"/>
      <c r="I1101" s="35"/>
      <c r="J1101" s="35"/>
      <c r="K1101" s="35"/>
      <c r="L1101" s="35"/>
      <c r="M1101" s="35"/>
      <c r="N1101" s="35"/>
      <c r="O1101" s="35"/>
      <c r="P1101" s="35"/>
      <c r="Q1101" s="35"/>
      <c r="R1101" s="35"/>
      <c r="S1101" s="35"/>
      <c r="T1101" s="35"/>
      <c r="U1101" s="35"/>
      <c r="V1101" s="35"/>
      <c r="W1101" s="35"/>
      <c r="X1101" s="35"/>
      <c r="Y1101" s="35"/>
      <c r="Z1101" s="35"/>
      <c r="AA1101" s="35"/>
      <c r="AB1101" s="35"/>
      <c r="AC1101" s="35"/>
      <c r="AD1101" s="35"/>
      <c r="AE1101" s="35"/>
    </row>
    <row r="1102" ht="12.0" customHeight="1">
      <c r="A1102" s="35"/>
      <c r="B1102" s="35"/>
      <c r="C1102" s="35"/>
      <c r="D1102" s="35"/>
      <c r="E1102" s="35"/>
      <c r="F1102" s="35"/>
      <c r="G1102" s="35"/>
      <c r="H1102" s="35"/>
      <c r="I1102" s="35"/>
      <c r="J1102" s="35"/>
      <c r="K1102" s="35"/>
      <c r="L1102" s="35"/>
      <c r="M1102" s="35"/>
      <c r="N1102" s="35"/>
      <c r="O1102" s="35"/>
      <c r="P1102" s="35"/>
      <c r="Q1102" s="35"/>
      <c r="R1102" s="35"/>
      <c r="S1102" s="35"/>
      <c r="T1102" s="35"/>
      <c r="U1102" s="35"/>
      <c r="V1102" s="35"/>
      <c r="W1102" s="35"/>
      <c r="X1102" s="35"/>
      <c r="Y1102" s="35"/>
      <c r="Z1102" s="35"/>
      <c r="AA1102" s="35"/>
      <c r="AB1102" s="35"/>
      <c r="AC1102" s="35"/>
      <c r="AD1102" s="35"/>
      <c r="AE1102" s="35"/>
    </row>
    <row r="1103" ht="12.0" customHeight="1">
      <c r="A1103" s="35"/>
      <c r="B1103" s="35"/>
      <c r="C1103" s="35"/>
      <c r="D1103" s="35"/>
      <c r="E1103" s="35"/>
      <c r="F1103" s="35"/>
      <c r="G1103" s="35"/>
      <c r="H1103" s="35"/>
      <c r="I1103" s="35"/>
      <c r="J1103" s="35"/>
      <c r="K1103" s="35"/>
      <c r="L1103" s="35"/>
      <c r="M1103" s="35"/>
      <c r="N1103" s="35"/>
      <c r="O1103" s="35"/>
      <c r="P1103" s="35"/>
      <c r="Q1103" s="35"/>
      <c r="R1103" s="35"/>
      <c r="S1103" s="35"/>
      <c r="T1103" s="35"/>
      <c r="U1103" s="35"/>
      <c r="V1103" s="35"/>
      <c r="W1103" s="35"/>
      <c r="X1103" s="35"/>
      <c r="Y1103" s="35"/>
      <c r="Z1103" s="35"/>
      <c r="AA1103" s="35"/>
      <c r="AB1103" s="35"/>
      <c r="AC1103" s="35"/>
      <c r="AD1103" s="35"/>
      <c r="AE1103" s="35"/>
    </row>
    <row r="1104" ht="12.0" customHeight="1">
      <c r="A1104" s="35"/>
      <c r="B1104" s="35"/>
      <c r="C1104" s="35"/>
      <c r="D1104" s="35"/>
      <c r="E1104" s="35"/>
      <c r="F1104" s="35"/>
      <c r="G1104" s="35"/>
      <c r="H1104" s="35"/>
      <c r="I1104" s="35"/>
      <c r="J1104" s="35"/>
      <c r="K1104" s="35"/>
      <c r="L1104" s="35"/>
      <c r="M1104" s="35"/>
      <c r="N1104" s="35"/>
      <c r="O1104" s="35"/>
      <c r="P1104" s="35"/>
      <c r="Q1104" s="35"/>
      <c r="R1104" s="35"/>
      <c r="S1104" s="35"/>
      <c r="T1104" s="35"/>
      <c r="U1104" s="35"/>
      <c r="V1104" s="35"/>
      <c r="W1104" s="35"/>
      <c r="X1104" s="35"/>
      <c r="Y1104" s="35"/>
      <c r="Z1104" s="35"/>
      <c r="AA1104" s="35"/>
      <c r="AB1104" s="35"/>
      <c r="AC1104" s="35"/>
      <c r="AD1104" s="35"/>
      <c r="AE1104" s="35"/>
    </row>
    <row r="1105" ht="12.0" customHeight="1">
      <c r="A1105" s="35"/>
      <c r="B1105" s="35"/>
      <c r="C1105" s="35"/>
      <c r="D1105" s="35"/>
      <c r="E1105" s="35"/>
      <c r="F1105" s="35"/>
      <c r="G1105" s="35"/>
      <c r="H1105" s="35"/>
      <c r="I1105" s="35"/>
      <c r="J1105" s="35"/>
      <c r="K1105" s="35"/>
      <c r="L1105" s="35"/>
      <c r="M1105" s="35"/>
      <c r="N1105" s="35"/>
      <c r="O1105" s="35"/>
      <c r="P1105" s="35"/>
      <c r="Q1105" s="35"/>
      <c r="R1105" s="35"/>
      <c r="S1105" s="35"/>
      <c r="T1105" s="35"/>
      <c r="U1105" s="35"/>
      <c r="V1105" s="35"/>
      <c r="W1105" s="35"/>
      <c r="X1105" s="35"/>
      <c r="Y1105" s="35"/>
      <c r="Z1105" s="35"/>
      <c r="AA1105" s="35"/>
      <c r="AB1105" s="35"/>
      <c r="AC1105" s="35"/>
      <c r="AD1105" s="35"/>
      <c r="AE1105" s="35"/>
    </row>
    <row r="1106" ht="12.0" customHeight="1">
      <c r="A1106" s="35"/>
      <c r="B1106" s="35"/>
      <c r="C1106" s="35"/>
      <c r="D1106" s="35"/>
      <c r="E1106" s="35"/>
      <c r="F1106" s="35"/>
      <c r="G1106" s="35"/>
      <c r="H1106" s="35"/>
      <c r="I1106" s="35"/>
      <c r="J1106" s="35"/>
      <c r="K1106" s="35"/>
      <c r="L1106" s="35"/>
      <c r="M1106" s="35"/>
      <c r="N1106" s="35"/>
      <c r="O1106" s="35"/>
      <c r="P1106" s="35"/>
      <c r="Q1106" s="35"/>
      <c r="R1106" s="35"/>
      <c r="S1106" s="35"/>
      <c r="T1106" s="35"/>
      <c r="U1106" s="35"/>
      <c r="V1106" s="35"/>
      <c r="W1106" s="35"/>
      <c r="X1106" s="35"/>
      <c r="Y1106" s="35"/>
      <c r="Z1106" s="35"/>
      <c r="AA1106" s="35"/>
      <c r="AB1106" s="35"/>
      <c r="AC1106" s="35"/>
      <c r="AD1106" s="35"/>
      <c r="AE1106" s="35"/>
    </row>
    <row r="1107" ht="12.0" customHeight="1">
      <c r="A1107" s="35"/>
      <c r="B1107" s="35"/>
      <c r="C1107" s="35"/>
      <c r="D1107" s="35"/>
      <c r="E1107" s="35"/>
      <c r="F1107" s="35"/>
      <c r="G1107" s="35"/>
      <c r="H1107" s="35"/>
      <c r="I1107" s="35"/>
      <c r="J1107" s="35"/>
      <c r="K1107" s="35"/>
      <c r="L1107" s="35"/>
      <c r="M1107" s="35"/>
      <c r="N1107" s="35"/>
      <c r="O1107" s="35"/>
      <c r="P1107" s="35"/>
      <c r="Q1107" s="35"/>
      <c r="R1107" s="35"/>
      <c r="S1107" s="35"/>
      <c r="T1107" s="35"/>
      <c r="U1107" s="35"/>
      <c r="V1107" s="35"/>
      <c r="W1107" s="35"/>
      <c r="X1107" s="35"/>
      <c r="Y1107" s="35"/>
      <c r="Z1107" s="35"/>
      <c r="AA1107" s="35"/>
      <c r="AB1107" s="35"/>
      <c r="AC1107" s="35"/>
      <c r="AD1107" s="35"/>
      <c r="AE1107" s="35"/>
    </row>
    <row r="1108" ht="12.0" customHeight="1">
      <c r="A1108" s="35"/>
      <c r="B1108" s="35"/>
      <c r="C1108" s="35"/>
      <c r="D1108" s="35"/>
      <c r="E1108" s="35"/>
      <c r="F1108" s="35"/>
      <c r="G1108" s="35"/>
      <c r="H1108" s="35"/>
      <c r="I1108" s="35"/>
      <c r="J1108" s="35"/>
      <c r="K1108" s="35"/>
      <c r="L1108" s="35"/>
      <c r="M1108" s="35"/>
      <c r="N1108" s="35"/>
      <c r="O1108" s="35"/>
      <c r="P1108" s="35"/>
      <c r="Q1108" s="35"/>
      <c r="R1108" s="35"/>
      <c r="S1108" s="35"/>
      <c r="T1108" s="35"/>
      <c r="U1108" s="35"/>
      <c r="V1108" s="35"/>
      <c r="W1108" s="35"/>
      <c r="X1108" s="35"/>
      <c r="Y1108" s="35"/>
      <c r="Z1108" s="35"/>
      <c r="AA1108" s="35"/>
      <c r="AB1108" s="35"/>
      <c r="AC1108" s="35"/>
      <c r="AD1108" s="35"/>
      <c r="AE1108" s="35"/>
    </row>
    <row r="1109" ht="12.0" customHeight="1">
      <c r="A1109" s="35"/>
      <c r="B1109" s="35"/>
      <c r="C1109" s="35"/>
      <c r="D1109" s="35"/>
      <c r="E1109" s="35"/>
      <c r="F1109" s="35"/>
      <c r="G1109" s="35"/>
      <c r="H1109" s="35"/>
      <c r="I1109" s="35"/>
      <c r="J1109" s="35"/>
      <c r="K1109" s="35"/>
      <c r="L1109" s="35"/>
      <c r="M1109" s="35"/>
      <c r="N1109" s="35"/>
      <c r="O1109" s="35"/>
      <c r="P1109" s="35"/>
      <c r="Q1109" s="35"/>
      <c r="R1109" s="35"/>
      <c r="S1109" s="35"/>
      <c r="T1109" s="35"/>
      <c r="U1109" s="35"/>
      <c r="V1109" s="35"/>
      <c r="W1109" s="35"/>
      <c r="X1109" s="35"/>
      <c r="Y1109" s="35"/>
      <c r="Z1109" s="35"/>
      <c r="AA1109" s="35"/>
      <c r="AB1109" s="35"/>
      <c r="AC1109" s="35"/>
      <c r="AD1109" s="35"/>
      <c r="AE1109" s="35"/>
    </row>
    <row r="1110" ht="12.0" customHeight="1">
      <c r="A1110" s="35"/>
      <c r="B1110" s="35"/>
      <c r="C1110" s="35"/>
      <c r="D1110" s="35"/>
      <c r="E1110" s="35"/>
      <c r="F1110" s="35"/>
      <c r="G1110" s="35"/>
      <c r="H1110" s="35"/>
      <c r="I1110" s="35"/>
      <c r="J1110" s="35"/>
      <c r="K1110" s="35"/>
      <c r="L1110" s="35"/>
      <c r="M1110" s="35"/>
      <c r="N1110" s="35"/>
      <c r="O1110" s="35"/>
      <c r="P1110" s="35"/>
      <c r="Q1110" s="35"/>
      <c r="R1110" s="35"/>
      <c r="S1110" s="35"/>
      <c r="T1110" s="35"/>
      <c r="U1110" s="35"/>
      <c r="V1110" s="35"/>
      <c r="W1110" s="35"/>
      <c r="X1110" s="35"/>
      <c r="Y1110" s="35"/>
      <c r="Z1110" s="35"/>
      <c r="AA1110" s="35"/>
      <c r="AB1110" s="35"/>
      <c r="AC1110" s="35"/>
      <c r="AD1110" s="35"/>
      <c r="AE1110" s="35"/>
    </row>
    <row r="1111" ht="12.0" customHeight="1">
      <c r="A1111" s="35"/>
      <c r="B1111" s="35"/>
      <c r="C1111" s="35"/>
      <c r="D1111" s="35"/>
      <c r="E1111" s="35"/>
      <c r="F1111" s="35"/>
      <c r="G1111" s="35"/>
      <c r="H1111" s="35"/>
      <c r="I1111" s="35"/>
      <c r="J1111" s="35"/>
      <c r="K1111" s="35"/>
      <c r="L1111" s="35"/>
      <c r="M1111" s="35"/>
      <c r="N1111" s="35"/>
      <c r="O1111" s="35"/>
      <c r="P1111" s="35"/>
      <c r="Q1111" s="35"/>
      <c r="R1111" s="35"/>
      <c r="S1111" s="35"/>
      <c r="T1111" s="35"/>
      <c r="U1111" s="35"/>
      <c r="V1111" s="35"/>
      <c r="W1111" s="35"/>
      <c r="X1111" s="35"/>
      <c r="Y1111" s="35"/>
      <c r="Z1111" s="35"/>
      <c r="AA1111" s="35"/>
      <c r="AB1111" s="35"/>
      <c r="AC1111" s="35"/>
      <c r="AD1111" s="35"/>
      <c r="AE1111" s="35"/>
    </row>
    <row r="1112" ht="12.0" customHeight="1">
      <c r="A1112" s="35"/>
      <c r="B1112" s="35"/>
      <c r="C1112" s="35"/>
      <c r="D1112" s="35"/>
      <c r="E1112" s="35"/>
      <c r="F1112" s="35"/>
      <c r="G1112" s="35"/>
      <c r="H1112" s="35"/>
      <c r="I1112" s="35"/>
      <c r="J1112" s="35"/>
      <c r="K1112" s="35"/>
      <c r="L1112" s="35"/>
      <c r="M1112" s="35"/>
      <c r="N1112" s="35"/>
      <c r="O1112" s="35"/>
      <c r="P1112" s="35"/>
      <c r="Q1112" s="35"/>
      <c r="R1112" s="35"/>
      <c r="S1112" s="35"/>
      <c r="T1112" s="35"/>
      <c r="U1112" s="35"/>
      <c r="V1112" s="35"/>
      <c r="W1112" s="35"/>
      <c r="X1112" s="35"/>
      <c r="Y1112" s="35"/>
      <c r="Z1112" s="35"/>
      <c r="AA1112" s="35"/>
      <c r="AB1112" s="35"/>
      <c r="AC1112" s="35"/>
      <c r="AD1112" s="35"/>
      <c r="AE1112" s="35"/>
    </row>
    <row r="1113" ht="12.0" customHeight="1">
      <c r="A1113" s="35"/>
      <c r="B1113" s="35"/>
      <c r="C1113" s="35"/>
      <c r="D1113" s="35"/>
      <c r="E1113" s="35"/>
      <c r="F1113" s="35"/>
      <c r="G1113" s="35"/>
      <c r="H1113" s="35"/>
      <c r="I1113" s="35"/>
      <c r="J1113" s="35"/>
      <c r="K1113" s="35"/>
      <c r="L1113" s="35"/>
      <c r="M1113" s="35"/>
      <c r="N1113" s="35"/>
      <c r="O1113" s="35"/>
      <c r="P1113" s="35"/>
      <c r="Q1113" s="35"/>
      <c r="R1113" s="35"/>
      <c r="S1113" s="35"/>
      <c r="T1113" s="35"/>
      <c r="U1113" s="35"/>
      <c r="V1113" s="35"/>
      <c r="W1113" s="35"/>
      <c r="X1113" s="35"/>
      <c r="Y1113" s="35"/>
      <c r="Z1113" s="35"/>
      <c r="AA1113" s="35"/>
      <c r="AB1113" s="35"/>
      <c r="AC1113" s="35"/>
      <c r="AD1113" s="35"/>
      <c r="AE1113" s="35"/>
    </row>
    <row r="1114" ht="12.0" customHeight="1">
      <c r="A1114" s="35"/>
      <c r="B1114" s="35"/>
      <c r="C1114" s="35"/>
      <c r="D1114" s="35"/>
      <c r="E1114" s="35"/>
      <c r="F1114" s="35"/>
      <c r="G1114" s="35"/>
      <c r="H1114" s="35"/>
      <c r="I1114" s="35"/>
      <c r="J1114" s="35"/>
      <c r="K1114" s="35"/>
      <c r="L1114" s="35"/>
      <c r="M1114" s="35"/>
      <c r="N1114" s="35"/>
      <c r="O1114" s="35"/>
      <c r="P1114" s="35"/>
      <c r="Q1114" s="35"/>
      <c r="R1114" s="35"/>
      <c r="S1114" s="35"/>
      <c r="T1114" s="35"/>
      <c r="U1114" s="35"/>
      <c r="V1114" s="35"/>
      <c r="W1114" s="35"/>
      <c r="X1114" s="35"/>
      <c r="Y1114" s="35"/>
      <c r="Z1114" s="35"/>
      <c r="AA1114" s="35"/>
      <c r="AB1114" s="35"/>
      <c r="AC1114" s="35"/>
      <c r="AD1114" s="35"/>
      <c r="AE1114" s="35"/>
    </row>
    <row r="1115" ht="12.0" customHeight="1">
      <c r="A1115" s="35"/>
      <c r="B1115" s="35"/>
      <c r="C1115" s="35"/>
      <c r="D1115" s="35"/>
      <c r="E1115" s="35"/>
      <c r="F1115" s="35"/>
      <c r="G1115" s="35"/>
      <c r="H1115" s="35"/>
      <c r="I1115" s="35"/>
      <c r="J1115" s="35"/>
      <c r="K1115" s="35"/>
      <c r="L1115" s="35"/>
      <c r="M1115" s="35"/>
      <c r="N1115" s="35"/>
      <c r="O1115" s="35"/>
      <c r="P1115" s="35"/>
      <c r="Q1115" s="35"/>
      <c r="R1115" s="35"/>
      <c r="S1115" s="35"/>
      <c r="T1115" s="35"/>
      <c r="U1115" s="35"/>
      <c r="V1115" s="35"/>
      <c r="W1115" s="35"/>
      <c r="X1115" s="35"/>
      <c r="Y1115" s="35"/>
      <c r="Z1115" s="35"/>
      <c r="AA1115" s="35"/>
      <c r="AB1115" s="35"/>
      <c r="AC1115" s="35"/>
      <c r="AD1115" s="35"/>
      <c r="AE1115" s="35"/>
    </row>
    <row r="1116" ht="12.0" customHeight="1">
      <c r="A1116" s="35"/>
      <c r="B1116" s="35"/>
      <c r="C1116" s="35"/>
      <c r="D1116" s="35"/>
      <c r="E1116" s="35"/>
      <c r="F1116" s="35"/>
      <c r="G1116" s="35"/>
      <c r="H1116" s="35"/>
      <c r="I1116" s="35"/>
      <c r="J1116" s="35"/>
      <c r="K1116" s="35"/>
      <c r="L1116" s="35"/>
      <c r="M1116" s="35"/>
      <c r="N1116" s="35"/>
      <c r="O1116" s="35"/>
      <c r="P1116" s="35"/>
      <c r="Q1116" s="35"/>
      <c r="R1116" s="35"/>
      <c r="S1116" s="35"/>
      <c r="T1116" s="35"/>
      <c r="U1116" s="35"/>
      <c r="V1116" s="35"/>
      <c r="W1116" s="35"/>
      <c r="X1116" s="35"/>
      <c r="Y1116" s="35"/>
      <c r="Z1116" s="35"/>
      <c r="AA1116" s="35"/>
      <c r="AB1116" s="35"/>
      <c r="AC1116" s="35"/>
      <c r="AD1116" s="35"/>
      <c r="AE1116" s="35"/>
    </row>
    <row r="1117" ht="12.0" customHeight="1">
      <c r="A1117" s="35"/>
      <c r="B1117" s="35"/>
      <c r="C1117" s="35"/>
      <c r="D1117" s="35"/>
      <c r="E1117" s="35"/>
      <c r="F1117" s="35"/>
      <c r="G1117" s="35"/>
      <c r="H1117" s="35"/>
      <c r="I1117" s="35"/>
      <c r="J1117" s="35"/>
      <c r="K1117" s="35"/>
      <c r="L1117" s="35"/>
      <c r="M1117" s="35"/>
      <c r="N1117" s="35"/>
      <c r="O1117" s="35"/>
      <c r="P1117" s="35"/>
      <c r="Q1117" s="35"/>
      <c r="R1117" s="35"/>
      <c r="S1117" s="35"/>
      <c r="T1117" s="35"/>
      <c r="U1117" s="35"/>
      <c r="V1117" s="35"/>
      <c r="W1117" s="35"/>
      <c r="X1117" s="35"/>
      <c r="Y1117" s="35"/>
      <c r="Z1117" s="35"/>
      <c r="AA1117" s="35"/>
      <c r="AB1117" s="35"/>
      <c r="AC1117" s="35"/>
      <c r="AD1117" s="35"/>
      <c r="AE1117" s="35"/>
    </row>
    <row r="1118" ht="12.0" customHeight="1">
      <c r="A1118" s="35"/>
      <c r="B1118" s="35"/>
      <c r="C1118" s="35"/>
      <c r="D1118" s="35"/>
      <c r="E1118" s="35"/>
      <c r="F1118" s="35"/>
      <c r="G1118" s="35"/>
      <c r="H1118" s="35"/>
      <c r="I1118" s="35"/>
      <c r="J1118" s="35"/>
      <c r="K1118" s="35"/>
      <c r="L1118" s="35"/>
      <c r="M1118" s="35"/>
      <c r="N1118" s="35"/>
      <c r="O1118" s="35"/>
      <c r="P1118" s="35"/>
      <c r="Q1118" s="35"/>
      <c r="R1118" s="35"/>
      <c r="S1118" s="35"/>
      <c r="T1118" s="35"/>
      <c r="U1118" s="35"/>
      <c r="V1118" s="35"/>
      <c r="W1118" s="35"/>
      <c r="X1118" s="35"/>
      <c r="Y1118" s="35"/>
      <c r="Z1118" s="35"/>
      <c r="AA1118" s="35"/>
      <c r="AB1118" s="35"/>
      <c r="AC1118" s="35"/>
      <c r="AD1118" s="35"/>
      <c r="AE1118" s="35"/>
    </row>
    <row r="1119" ht="12.0" customHeight="1">
      <c r="A1119" s="35"/>
      <c r="B1119" s="35"/>
      <c r="C1119" s="35"/>
      <c r="D1119" s="35"/>
      <c r="E1119" s="35"/>
      <c r="F1119" s="35"/>
      <c r="G1119" s="35"/>
      <c r="H1119" s="35"/>
      <c r="I1119" s="35"/>
      <c r="J1119" s="35"/>
      <c r="K1119" s="35"/>
      <c r="L1119" s="35"/>
      <c r="M1119" s="35"/>
      <c r="N1119" s="35"/>
      <c r="O1119" s="35"/>
      <c r="P1119" s="35"/>
      <c r="Q1119" s="35"/>
      <c r="R1119" s="35"/>
      <c r="S1119" s="35"/>
      <c r="T1119" s="35"/>
      <c r="U1119" s="35"/>
      <c r="V1119" s="35"/>
      <c r="W1119" s="35"/>
      <c r="X1119" s="35"/>
      <c r="Y1119" s="35"/>
      <c r="Z1119" s="35"/>
      <c r="AA1119" s="35"/>
      <c r="AB1119" s="35"/>
      <c r="AC1119" s="35"/>
      <c r="AD1119" s="35"/>
      <c r="AE1119" s="35"/>
    </row>
    <row r="1120" ht="12.0" customHeight="1">
      <c r="A1120" s="35"/>
      <c r="B1120" s="35"/>
      <c r="C1120" s="35"/>
      <c r="D1120" s="35"/>
      <c r="E1120" s="35"/>
      <c r="F1120" s="35"/>
      <c r="G1120" s="35"/>
      <c r="H1120" s="35"/>
      <c r="I1120" s="35"/>
      <c r="J1120" s="35"/>
      <c r="K1120" s="35"/>
      <c r="L1120" s="35"/>
      <c r="M1120" s="35"/>
      <c r="N1120" s="35"/>
      <c r="O1120" s="35"/>
      <c r="P1120" s="35"/>
      <c r="Q1120" s="35"/>
      <c r="R1120" s="35"/>
      <c r="S1120" s="35"/>
      <c r="T1120" s="35"/>
      <c r="U1120" s="35"/>
      <c r="V1120" s="35"/>
      <c r="W1120" s="35"/>
      <c r="X1120" s="35"/>
      <c r="Y1120" s="35"/>
      <c r="Z1120" s="35"/>
      <c r="AA1120" s="35"/>
      <c r="AB1120" s="35"/>
      <c r="AC1120" s="35"/>
      <c r="AD1120" s="35"/>
      <c r="AE1120" s="35"/>
    </row>
    <row r="1121" ht="12.0" customHeight="1">
      <c r="A1121" s="35"/>
      <c r="B1121" s="35"/>
      <c r="C1121" s="35"/>
      <c r="D1121" s="35"/>
      <c r="E1121" s="35"/>
      <c r="F1121" s="35"/>
      <c r="G1121" s="35"/>
      <c r="H1121" s="35"/>
      <c r="I1121" s="35"/>
      <c r="J1121" s="35"/>
      <c r="K1121" s="35"/>
      <c r="L1121" s="35"/>
      <c r="M1121" s="35"/>
      <c r="N1121" s="35"/>
      <c r="O1121" s="35"/>
      <c r="P1121" s="35"/>
      <c r="Q1121" s="35"/>
      <c r="R1121" s="35"/>
      <c r="S1121" s="35"/>
      <c r="T1121" s="35"/>
      <c r="U1121" s="35"/>
      <c r="V1121" s="35"/>
      <c r="W1121" s="35"/>
      <c r="X1121" s="35"/>
      <c r="Y1121" s="35"/>
      <c r="Z1121" s="35"/>
      <c r="AA1121" s="35"/>
      <c r="AB1121" s="35"/>
      <c r="AC1121" s="35"/>
      <c r="AD1121" s="35"/>
      <c r="AE1121" s="35"/>
    </row>
    <row r="1122" ht="12.0" customHeight="1">
      <c r="A1122" s="35"/>
      <c r="B1122" s="35"/>
      <c r="C1122" s="35"/>
      <c r="D1122" s="35"/>
      <c r="E1122" s="35"/>
      <c r="F1122" s="35"/>
      <c r="G1122" s="35"/>
      <c r="H1122" s="35"/>
      <c r="I1122" s="35"/>
      <c r="J1122" s="35"/>
      <c r="K1122" s="35"/>
      <c r="L1122" s="35"/>
      <c r="M1122" s="35"/>
      <c r="N1122" s="35"/>
      <c r="O1122" s="35"/>
      <c r="P1122" s="35"/>
      <c r="Q1122" s="35"/>
      <c r="R1122" s="35"/>
      <c r="S1122" s="35"/>
      <c r="T1122" s="35"/>
      <c r="U1122" s="35"/>
      <c r="V1122" s="35"/>
      <c r="W1122" s="35"/>
      <c r="X1122" s="35"/>
      <c r="Y1122" s="35"/>
      <c r="Z1122" s="35"/>
      <c r="AA1122" s="35"/>
      <c r="AB1122" s="35"/>
      <c r="AC1122" s="35"/>
      <c r="AD1122" s="35"/>
      <c r="AE1122" s="35"/>
    </row>
    <row r="1123" ht="12.0" customHeight="1">
      <c r="A1123" s="35"/>
      <c r="B1123" s="35"/>
      <c r="C1123" s="35"/>
      <c r="D1123" s="35"/>
      <c r="E1123" s="35"/>
      <c r="F1123" s="35"/>
      <c r="G1123" s="35"/>
      <c r="H1123" s="35"/>
      <c r="I1123" s="35"/>
      <c r="J1123" s="35"/>
      <c r="K1123" s="35"/>
      <c r="L1123" s="35"/>
      <c r="M1123" s="35"/>
      <c r="N1123" s="35"/>
      <c r="O1123" s="35"/>
      <c r="P1123" s="35"/>
      <c r="Q1123" s="35"/>
      <c r="R1123" s="35"/>
      <c r="S1123" s="35"/>
      <c r="T1123" s="35"/>
      <c r="U1123" s="35"/>
      <c r="V1123" s="35"/>
      <c r="W1123" s="35"/>
      <c r="X1123" s="35"/>
      <c r="Y1123" s="35"/>
      <c r="Z1123" s="35"/>
      <c r="AA1123" s="35"/>
      <c r="AB1123" s="35"/>
      <c r="AC1123" s="35"/>
      <c r="AD1123" s="35"/>
      <c r="AE1123" s="35"/>
    </row>
    <row r="1124" ht="12.0" customHeight="1">
      <c r="A1124" s="35"/>
      <c r="B1124" s="35"/>
      <c r="C1124" s="35"/>
      <c r="D1124" s="35"/>
      <c r="E1124" s="35"/>
      <c r="F1124" s="35"/>
      <c r="G1124" s="35"/>
      <c r="H1124" s="35"/>
      <c r="I1124" s="35"/>
      <c r="J1124" s="35"/>
      <c r="K1124" s="35"/>
      <c r="L1124" s="35"/>
      <c r="M1124" s="35"/>
      <c r="N1124" s="35"/>
      <c r="O1124" s="35"/>
      <c r="P1124" s="35"/>
      <c r="Q1124" s="35"/>
      <c r="R1124" s="35"/>
      <c r="S1124" s="35"/>
      <c r="T1124" s="35"/>
      <c r="U1124" s="35"/>
      <c r="V1124" s="35"/>
      <c r="W1124" s="35"/>
      <c r="X1124" s="35"/>
      <c r="Y1124" s="35"/>
      <c r="Z1124" s="35"/>
      <c r="AA1124" s="35"/>
      <c r="AB1124" s="35"/>
      <c r="AC1124" s="35"/>
      <c r="AD1124" s="35"/>
      <c r="AE1124" s="35"/>
    </row>
    <row r="1125" ht="12.0" customHeight="1">
      <c r="A1125" s="35"/>
      <c r="B1125" s="35"/>
      <c r="C1125" s="35"/>
      <c r="D1125" s="35"/>
      <c r="E1125" s="35"/>
      <c r="F1125" s="35"/>
      <c r="G1125" s="35"/>
      <c r="H1125" s="35"/>
      <c r="I1125" s="35"/>
      <c r="J1125" s="35"/>
      <c r="K1125" s="35"/>
      <c r="L1125" s="35"/>
      <c r="M1125" s="35"/>
      <c r="N1125" s="35"/>
      <c r="O1125" s="35"/>
      <c r="P1125" s="35"/>
      <c r="Q1125" s="35"/>
      <c r="R1125" s="35"/>
      <c r="S1125" s="35"/>
      <c r="T1125" s="35"/>
      <c r="U1125" s="35"/>
      <c r="V1125" s="35"/>
      <c r="W1125" s="35"/>
      <c r="X1125" s="35"/>
      <c r="Y1125" s="35"/>
      <c r="Z1125" s="35"/>
      <c r="AA1125" s="35"/>
      <c r="AB1125" s="35"/>
      <c r="AC1125" s="35"/>
      <c r="AD1125" s="35"/>
      <c r="AE1125" s="35"/>
    </row>
    <row r="1126" ht="12.0" customHeight="1">
      <c r="A1126" s="35"/>
      <c r="B1126" s="35"/>
      <c r="C1126" s="35"/>
      <c r="D1126" s="35"/>
      <c r="E1126" s="35"/>
      <c r="F1126" s="35"/>
      <c r="G1126" s="35"/>
      <c r="H1126" s="35"/>
      <c r="I1126" s="35"/>
      <c r="J1126" s="35"/>
      <c r="K1126" s="35"/>
      <c r="L1126" s="35"/>
      <c r="M1126" s="35"/>
      <c r="N1126" s="35"/>
      <c r="O1126" s="35"/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5"/>
      <c r="AA1126" s="35"/>
      <c r="AB1126" s="35"/>
      <c r="AC1126" s="35"/>
      <c r="AD1126" s="35"/>
      <c r="AE1126" s="35"/>
    </row>
    <row r="1127" ht="12.0" customHeight="1">
      <c r="A1127" s="35"/>
      <c r="B1127" s="35"/>
      <c r="C1127" s="35"/>
      <c r="D1127" s="35"/>
      <c r="E1127" s="35"/>
      <c r="F1127" s="35"/>
      <c r="G1127" s="35"/>
      <c r="H1127" s="35"/>
      <c r="I1127" s="35"/>
      <c r="J1127" s="35"/>
      <c r="K1127" s="35"/>
      <c r="L1127" s="35"/>
      <c r="M1127" s="35"/>
      <c r="N1127" s="35"/>
      <c r="O1127" s="35"/>
      <c r="P1127" s="35"/>
      <c r="Q1127" s="35"/>
      <c r="R1127" s="35"/>
      <c r="S1127" s="35"/>
      <c r="T1127" s="35"/>
      <c r="U1127" s="35"/>
      <c r="V1127" s="35"/>
      <c r="W1127" s="35"/>
      <c r="X1127" s="35"/>
      <c r="Y1127" s="35"/>
      <c r="Z1127" s="35"/>
      <c r="AA1127" s="35"/>
      <c r="AB1127" s="35"/>
      <c r="AC1127" s="35"/>
      <c r="AD1127" s="35"/>
      <c r="AE1127" s="35"/>
    </row>
    <row r="1128" ht="12.0" customHeight="1">
      <c r="A1128" s="35"/>
      <c r="B1128" s="35"/>
      <c r="C1128" s="35"/>
      <c r="D1128" s="35"/>
      <c r="E1128" s="35"/>
      <c r="F1128" s="35"/>
      <c r="G1128" s="35"/>
      <c r="H1128" s="35"/>
      <c r="I1128" s="35"/>
      <c r="J1128" s="35"/>
      <c r="K1128" s="35"/>
      <c r="L1128" s="35"/>
      <c r="M1128" s="35"/>
      <c r="N1128" s="35"/>
      <c r="O1128" s="35"/>
      <c r="P1128" s="35"/>
      <c r="Q1128" s="35"/>
      <c r="R1128" s="35"/>
      <c r="S1128" s="35"/>
      <c r="T1128" s="35"/>
      <c r="U1128" s="35"/>
      <c r="V1128" s="35"/>
      <c r="W1128" s="35"/>
      <c r="X1128" s="35"/>
      <c r="Y1128" s="35"/>
      <c r="Z1128" s="35"/>
      <c r="AA1128" s="35"/>
      <c r="AB1128" s="35"/>
      <c r="AC1128" s="35"/>
      <c r="AD1128" s="35"/>
      <c r="AE1128" s="35"/>
    </row>
    <row r="1129" ht="12.0" customHeight="1">
      <c r="A1129" s="35"/>
      <c r="B1129" s="35"/>
      <c r="C1129" s="35"/>
      <c r="D1129" s="35"/>
      <c r="E1129" s="35"/>
      <c r="F1129" s="35"/>
      <c r="G1129" s="35"/>
      <c r="H1129" s="35"/>
      <c r="I1129" s="35"/>
      <c r="J1129" s="35"/>
      <c r="K1129" s="35"/>
      <c r="L1129" s="35"/>
      <c r="M1129" s="35"/>
      <c r="N1129" s="35"/>
      <c r="O1129" s="35"/>
      <c r="P1129" s="35"/>
      <c r="Q1129" s="35"/>
      <c r="R1129" s="35"/>
      <c r="S1129" s="35"/>
      <c r="T1129" s="35"/>
      <c r="U1129" s="35"/>
      <c r="V1129" s="35"/>
      <c r="W1129" s="35"/>
      <c r="X1129" s="35"/>
      <c r="Y1129" s="35"/>
      <c r="Z1129" s="35"/>
      <c r="AA1129" s="35"/>
      <c r="AB1129" s="35"/>
      <c r="AC1129" s="35"/>
      <c r="AD1129" s="35"/>
      <c r="AE1129" s="35"/>
    </row>
    <row r="1130" ht="12.0" customHeight="1">
      <c r="A1130" s="35"/>
      <c r="B1130" s="35"/>
      <c r="C1130" s="35"/>
      <c r="D1130" s="35"/>
      <c r="E1130" s="35"/>
      <c r="F1130" s="35"/>
      <c r="G1130" s="35"/>
      <c r="H1130" s="35"/>
      <c r="I1130" s="35"/>
      <c r="J1130" s="35"/>
      <c r="K1130" s="35"/>
      <c r="L1130" s="35"/>
      <c r="M1130" s="35"/>
      <c r="N1130" s="35"/>
      <c r="O1130" s="35"/>
      <c r="P1130" s="35"/>
      <c r="Q1130" s="35"/>
      <c r="R1130" s="35"/>
      <c r="S1130" s="35"/>
      <c r="T1130" s="35"/>
      <c r="U1130" s="35"/>
      <c r="V1130" s="35"/>
      <c r="W1130" s="35"/>
      <c r="X1130" s="35"/>
      <c r="Y1130" s="35"/>
      <c r="Z1130" s="35"/>
      <c r="AA1130" s="35"/>
      <c r="AB1130" s="35"/>
      <c r="AC1130" s="35"/>
      <c r="AD1130" s="35"/>
      <c r="AE1130" s="35"/>
    </row>
    <row r="1131" ht="12.0" customHeight="1">
      <c r="A1131" s="35"/>
      <c r="B1131" s="35"/>
      <c r="C1131" s="35"/>
      <c r="D1131" s="35"/>
      <c r="E1131" s="35"/>
      <c r="F1131" s="35"/>
      <c r="G1131" s="35"/>
      <c r="H1131" s="35"/>
      <c r="I1131" s="35"/>
      <c r="J1131" s="35"/>
      <c r="K1131" s="35"/>
      <c r="L1131" s="35"/>
      <c r="M1131" s="35"/>
      <c r="N1131" s="35"/>
      <c r="O1131" s="35"/>
      <c r="P1131" s="35"/>
      <c r="Q1131" s="35"/>
      <c r="R1131" s="35"/>
      <c r="S1131" s="35"/>
      <c r="T1131" s="35"/>
      <c r="U1131" s="35"/>
      <c r="V1131" s="35"/>
      <c r="W1131" s="35"/>
      <c r="X1131" s="35"/>
      <c r="Y1131" s="35"/>
      <c r="Z1131" s="35"/>
      <c r="AA1131" s="35"/>
      <c r="AB1131" s="35"/>
      <c r="AC1131" s="35"/>
      <c r="AD1131" s="35"/>
      <c r="AE1131" s="35"/>
    </row>
    <row r="1132" ht="12.0" customHeight="1">
      <c r="A1132" s="35"/>
      <c r="B1132" s="35"/>
      <c r="C1132" s="35"/>
      <c r="D1132" s="35"/>
      <c r="E1132" s="35"/>
      <c r="F1132" s="35"/>
      <c r="G1132" s="35"/>
      <c r="H1132" s="35"/>
      <c r="I1132" s="35"/>
      <c r="J1132" s="35"/>
      <c r="K1132" s="35"/>
      <c r="L1132" s="35"/>
      <c r="M1132" s="35"/>
      <c r="N1132" s="35"/>
      <c r="O1132" s="35"/>
      <c r="P1132" s="35"/>
      <c r="Q1132" s="35"/>
      <c r="R1132" s="35"/>
      <c r="S1132" s="35"/>
      <c r="T1132" s="35"/>
      <c r="U1132" s="35"/>
      <c r="V1132" s="35"/>
      <c r="W1132" s="35"/>
      <c r="X1132" s="35"/>
      <c r="Y1132" s="35"/>
      <c r="Z1132" s="35"/>
      <c r="AA1132" s="35"/>
      <c r="AB1132" s="35"/>
      <c r="AC1132" s="35"/>
      <c r="AD1132" s="35"/>
      <c r="AE1132" s="35"/>
    </row>
    <row r="1133" ht="12.0" customHeight="1">
      <c r="A1133" s="35"/>
      <c r="B1133" s="35"/>
      <c r="C1133" s="35"/>
      <c r="D1133" s="35"/>
      <c r="E1133" s="35"/>
      <c r="F1133" s="35"/>
      <c r="G1133" s="35"/>
      <c r="H1133" s="35"/>
      <c r="I1133" s="35"/>
      <c r="J1133" s="35"/>
      <c r="K1133" s="35"/>
      <c r="L1133" s="35"/>
      <c r="M1133" s="35"/>
      <c r="N1133" s="35"/>
      <c r="O1133" s="35"/>
      <c r="P1133" s="35"/>
      <c r="Q1133" s="35"/>
      <c r="R1133" s="35"/>
      <c r="S1133" s="35"/>
      <c r="T1133" s="35"/>
      <c r="U1133" s="35"/>
      <c r="V1133" s="35"/>
      <c r="W1133" s="35"/>
      <c r="X1133" s="35"/>
      <c r="Y1133" s="35"/>
      <c r="Z1133" s="35"/>
      <c r="AA1133" s="35"/>
      <c r="AB1133" s="35"/>
      <c r="AC1133" s="35"/>
      <c r="AD1133" s="35"/>
      <c r="AE1133" s="35"/>
    </row>
    <row r="1134" ht="12.0" customHeight="1">
      <c r="A1134" s="35"/>
      <c r="B1134" s="35"/>
      <c r="C1134" s="35"/>
      <c r="D1134" s="35"/>
      <c r="E1134" s="35"/>
      <c r="F1134" s="35"/>
      <c r="G1134" s="35"/>
      <c r="H1134" s="35"/>
      <c r="I1134" s="35"/>
      <c r="J1134" s="35"/>
      <c r="K1134" s="35"/>
      <c r="L1134" s="35"/>
      <c r="M1134" s="35"/>
      <c r="N1134" s="35"/>
      <c r="O1134" s="35"/>
      <c r="P1134" s="35"/>
      <c r="Q1134" s="35"/>
      <c r="R1134" s="35"/>
      <c r="S1134" s="35"/>
      <c r="T1134" s="35"/>
      <c r="U1134" s="35"/>
      <c r="V1134" s="35"/>
      <c r="W1134" s="35"/>
      <c r="X1134" s="35"/>
      <c r="Y1134" s="35"/>
      <c r="Z1134" s="35"/>
      <c r="AA1134" s="35"/>
      <c r="AB1134" s="35"/>
      <c r="AC1134" s="35"/>
      <c r="AD1134" s="35"/>
      <c r="AE1134" s="35"/>
    </row>
    <row r="1135" ht="12.0" customHeight="1">
      <c r="A1135" s="35"/>
      <c r="B1135" s="35"/>
      <c r="C1135" s="35"/>
      <c r="D1135" s="35"/>
      <c r="E1135" s="35"/>
      <c r="F1135" s="35"/>
      <c r="G1135" s="35"/>
      <c r="H1135" s="35"/>
      <c r="I1135" s="35"/>
      <c r="J1135" s="35"/>
      <c r="K1135" s="35"/>
      <c r="L1135" s="35"/>
      <c r="M1135" s="35"/>
      <c r="N1135" s="35"/>
      <c r="O1135" s="35"/>
      <c r="P1135" s="35"/>
      <c r="Q1135" s="35"/>
      <c r="R1135" s="35"/>
      <c r="S1135" s="35"/>
      <c r="T1135" s="35"/>
      <c r="U1135" s="35"/>
      <c r="V1135" s="35"/>
      <c r="W1135" s="35"/>
      <c r="X1135" s="35"/>
      <c r="Y1135" s="35"/>
      <c r="Z1135" s="35"/>
      <c r="AA1135" s="35"/>
      <c r="AB1135" s="35"/>
      <c r="AC1135" s="35"/>
      <c r="AD1135" s="35"/>
      <c r="AE1135" s="35"/>
    </row>
    <row r="1136" ht="12.0" customHeight="1">
      <c r="A1136" s="35"/>
      <c r="B1136" s="35"/>
      <c r="C1136" s="35"/>
      <c r="D1136" s="35"/>
      <c r="E1136" s="35"/>
      <c r="F1136" s="35"/>
      <c r="G1136" s="35"/>
      <c r="H1136" s="35"/>
      <c r="I1136" s="35"/>
      <c r="J1136" s="35"/>
      <c r="K1136" s="35"/>
      <c r="L1136" s="35"/>
      <c r="M1136" s="35"/>
      <c r="N1136" s="35"/>
      <c r="O1136" s="35"/>
      <c r="P1136" s="35"/>
      <c r="Q1136" s="35"/>
      <c r="R1136" s="35"/>
      <c r="S1136" s="35"/>
      <c r="T1136" s="35"/>
      <c r="U1136" s="35"/>
      <c r="V1136" s="35"/>
      <c r="W1136" s="35"/>
      <c r="X1136" s="35"/>
      <c r="Y1136" s="35"/>
      <c r="Z1136" s="35"/>
      <c r="AA1136" s="35"/>
      <c r="AB1136" s="35"/>
      <c r="AC1136" s="35"/>
      <c r="AD1136" s="35"/>
      <c r="AE1136" s="35"/>
    </row>
    <row r="1137" ht="12.0" customHeight="1">
      <c r="A1137" s="35"/>
      <c r="B1137" s="35"/>
      <c r="C1137" s="35"/>
      <c r="D1137" s="35"/>
      <c r="E1137" s="35"/>
      <c r="F1137" s="35"/>
      <c r="G1137" s="35"/>
      <c r="H1137" s="35"/>
      <c r="I1137" s="35"/>
      <c r="J1137" s="35"/>
      <c r="K1137" s="35"/>
      <c r="L1137" s="35"/>
      <c r="M1137" s="35"/>
      <c r="N1137" s="35"/>
      <c r="O1137" s="35"/>
      <c r="P1137" s="35"/>
      <c r="Q1137" s="35"/>
      <c r="R1137" s="35"/>
      <c r="S1137" s="35"/>
      <c r="T1137" s="35"/>
      <c r="U1137" s="35"/>
      <c r="V1137" s="35"/>
      <c r="W1137" s="35"/>
      <c r="X1137" s="35"/>
      <c r="Y1137" s="35"/>
      <c r="Z1137" s="35"/>
      <c r="AA1137" s="35"/>
      <c r="AB1137" s="35"/>
      <c r="AC1137" s="35"/>
      <c r="AD1137" s="35"/>
      <c r="AE1137" s="35"/>
    </row>
    <row r="1138" ht="12.0" customHeight="1">
      <c r="A1138" s="35"/>
      <c r="B1138" s="35"/>
      <c r="C1138" s="35"/>
      <c r="D1138" s="35"/>
      <c r="E1138" s="35"/>
      <c r="F1138" s="35"/>
      <c r="G1138" s="35"/>
      <c r="H1138" s="35"/>
      <c r="I1138" s="35"/>
      <c r="J1138" s="35"/>
      <c r="K1138" s="35"/>
      <c r="L1138" s="35"/>
      <c r="M1138" s="35"/>
      <c r="N1138" s="35"/>
      <c r="O1138" s="35"/>
      <c r="P1138" s="35"/>
      <c r="Q1138" s="35"/>
      <c r="R1138" s="35"/>
      <c r="S1138" s="35"/>
      <c r="T1138" s="35"/>
      <c r="U1138" s="35"/>
      <c r="V1138" s="35"/>
      <c r="W1138" s="35"/>
      <c r="X1138" s="35"/>
      <c r="Y1138" s="35"/>
      <c r="Z1138" s="35"/>
      <c r="AA1138" s="35"/>
      <c r="AB1138" s="35"/>
      <c r="AC1138" s="35"/>
      <c r="AD1138" s="35"/>
      <c r="AE1138" s="35"/>
    </row>
    <row r="1139" ht="12.0" customHeight="1">
      <c r="A1139" s="35"/>
      <c r="B1139" s="35"/>
      <c r="C1139" s="35"/>
      <c r="D1139" s="35"/>
      <c r="E1139" s="35"/>
      <c r="F1139" s="35"/>
      <c r="G1139" s="35"/>
      <c r="H1139" s="35"/>
      <c r="I1139" s="35"/>
      <c r="J1139" s="35"/>
      <c r="K1139" s="35"/>
      <c r="L1139" s="35"/>
      <c r="M1139" s="35"/>
      <c r="N1139" s="35"/>
      <c r="O1139" s="35"/>
      <c r="P1139" s="35"/>
      <c r="Q1139" s="35"/>
      <c r="R1139" s="35"/>
      <c r="S1139" s="35"/>
      <c r="T1139" s="35"/>
      <c r="U1139" s="35"/>
      <c r="V1139" s="35"/>
      <c r="W1139" s="35"/>
      <c r="X1139" s="35"/>
      <c r="Y1139" s="35"/>
      <c r="Z1139" s="35"/>
      <c r="AA1139" s="35"/>
      <c r="AB1139" s="35"/>
      <c r="AC1139" s="35"/>
      <c r="AD1139" s="35"/>
      <c r="AE1139" s="35"/>
    </row>
    <row r="1140" ht="12.0" customHeight="1">
      <c r="A1140" s="35"/>
      <c r="B1140" s="35"/>
      <c r="C1140" s="35"/>
      <c r="D1140" s="35"/>
      <c r="E1140" s="35"/>
      <c r="F1140" s="35"/>
      <c r="G1140" s="35"/>
      <c r="H1140" s="35"/>
      <c r="I1140" s="35"/>
      <c r="J1140" s="35"/>
      <c r="K1140" s="35"/>
      <c r="L1140" s="35"/>
      <c r="M1140" s="35"/>
      <c r="N1140" s="35"/>
      <c r="O1140" s="35"/>
      <c r="P1140" s="35"/>
      <c r="Q1140" s="35"/>
      <c r="R1140" s="35"/>
      <c r="S1140" s="35"/>
      <c r="T1140" s="35"/>
      <c r="U1140" s="35"/>
      <c r="V1140" s="35"/>
      <c r="W1140" s="35"/>
      <c r="X1140" s="35"/>
      <c r="Y1140" s="35"/>
      <c r="Z1140" s="35"/>
      <c r="AA1140" s="35"/>
      <c r="AB1140" s="35"/>
      <c r="AC1140" s="35"/>
      <c r="AD1140" s="35"/>
      <c r="AE1140" s="35"/>
    </row>
    <row r="1141" ht="12.0" customHeight="1">
      <c r="A1141" s="35"/>
      <c r="B1141" s="35"/>
      <c r="C1141" s="35"/>
      <c r="D1141" s="35"/>
      <c r="E1141" s="35"/>
      <c r="F1141" s="35"/>
      <c r="G1141" s="35"/>
      <c r="H1141" s="35"/>
      <c r="I1141" s="35"/>
      <c r="J1141" s="35"/>
      <c r="K1141" s="35"/>
      <c r="L1141" s="35"/>
      <c r="M1141" s="35"/>
      <c r="N1141" s="35"/>
      <c r="O1141" s="35"/>
      <c r="P1141" s="35"/>
      <c r="Q1141" s="35"/>
      <c r="R1141" s="35"/>
      <c r="S1141" s="35"/>
      <c r="T1141" s="35"/>
      <c r="U1141" s="35"/>
      <c r="V1141" s="35"/>
      <c r="W1141" s="35"/>
      <c r="X1141" s="35"/>
      <c r="Y1141" s="35"/>
      <c r="Z1141" s="35"/>
      <c r="AA1141" s="35"/>
      <c r="AB1141" s="35"/>
      <c r="AC1141" s="35"/>
      <c r="AD1141" s="35"/>
      <c r="AE1141" s="35"/>
    </row>
    <row r="1142" ht="12.0" customHeight="1">
      <c r="A1142" s="35"/>
      <c r="B1142" s="35"/>
      <c r="C1142" s="35"/>
      <c r="D1142" s="35"/>
      <c r="E1142" s="35"/>
      <c r="F1142" s="35"/>
      <c r="G1142" s="35"/>
      <c r="H1142" s="35"/>
      <c r="I1142" s="35"/>
      <c r="J1142" s="35"/>
      <c r="K1142" s="35"/>
      <c r="L1142" s="35"/>
      <c r="M1142" s="35"/>
      <c r="N1142" s="35"/>
      <c r="O1142" s="35"/>
      <c r="P1142" s="35"/>
      <c r="Q1142" s="35"/>
      <c r="R1142" s="35"/>
      <c r="S1142" s="35"/>
      <c r="T1142" s="35"/>
      <c r="U1142" s="35"/>
      <c r="V1142" s="35"/>
      <c r="W1142" s="35"/>
      <c r="X1142" s="35"/>
      <c r="Y1142" s="35"/>
      <c r="Z1142" s="35"/>
      <c r="AA1142" s="35"/>
      <c r="AB1142" s="35"/>
      <c r="AC1142" s="35"/>
      <c r="AD1142" s="35"/>
      <c r="AE1142" s="35"/>
    </row>
    <row r="1143" ht="12.0" customHeight="1">
      <c r="A1143" s="35"/>
      <c r="B1143" s="35"/>
      <c r="C1143" s="35"/>
      <c r="D1143" s="35"/>
      <c r="E1143" s="35"/>
      <c r="F1143" s="35"/>
      <c r="G1143" s="35"/>
      <c r="H1143" s="35"/>
      <c r="I1143" s="35"/>
      <c r="J1143" s="35"/>
      <c r="K1143" s="35"/>
      <c r="L1143" s="35"/>
      <c r="M1143" s="35"/>
      <c r="N1143" s="35"/>
      <c r="O1143" s="35"/>
      <c r="P1143" s="35"/>
      <c r="Q1143" s="35"/>
      <c r="R1143" s="35"/>
      <c r="S1143" s="35"/>
      <c r="T1143" s="35"/>
      <c r="U1143" s="35"/>
      <c r="V1143" s="35"/>
      <c r="W1143" s="35"/>
      <c r="X1143" s="35"/>
      <c r="Y1143" s="35"/>
      <c r="Z1143" s="35"/>
      <c r="AA1143" s="35"/>
      <c r="AB1143" s="35"/>
      <c r="AC1143" s="35"/>
      <c r="AD1143" s="35"/>
      <c r="AE1143" s="35"/>
    </row>
    <row r="1144" ht="12.0" customHeight="1">
      <c r="A1144" s="35"/>
      <c r="B1144" s="35"/>
      <c r="C1144" s="35"/>
      <c r="D1144" s="35"/>
      <c r="E1144" s="35"/>
      <c r="F1144" s="35"/>
      <c r="G1144" s="35"/>
      <c r="H1144" s="35"/>
      <c r="I1144" s="35"/>
      <c r="J1144" s="35"/>
      <c r="K1144" s="35"/>
      <c r="L1144" s="35"/>
      <c r="M1144" s="35"/>
      <c r="N1144" s="35"/>
      <c r="O1144" s="35"/>
      <c r="P1144" s="35"/>
      <c r="Q1144" s="35"/>
      <c r="R1144" s="35"/>
      <c r="S1144" s="35"/>
      <c r="T1144" s="35"/>
      <c r="U1144" s="35"/>
      <c r="V1144" s="35"/>
      <c r="W1144" s="35"/>
      <c r="X1144" s="35"/>
      <c r="Y1144" s="35"/>
      <c r="Z1144" s="35"/>
      <c r="AA1144" s="35"/>
      <c r="AB1144" s="35"/>
      <c r="AC1144" s="35"/>
      <c r="AD1144" s="35"/>
      <c r="AE1144" s="35"/>
    </row>
    <row r="1145" ht="12.0" customHeight="1">
      <c r="A1145" s="35"/>
      <c r="B1145" s="35"/>
      <c r="C1145" s="35"/>
      <c r="D1145" s="35"/>
      <c r="E1145" s="35"/>
      <c r="F1145" s="35"/>
      <c r="G1145" s="35"/>
      <c r="H1145" s="35"/>
      <c r="I1145" s="35"/>
      <c r="J1145" s="35"/>
      <c r="K1145" s="35"/>
      <c r="L1145" s="35"/>
      <c r="M1145" s="35"/>
      <c r="N1145" s="35"/>
      <c r="O1145" s="35"/>
      <c r="P1145" s="35"/>
      <c r="Q1145" s="35"/>
      <c r="R1145" s="35"/>
      <c r="S1145" s="35"/>
      <c r="T1145" s="35"/>
      <c r="U1145" s="35"/>
      <c r="V1145" s="35"/>
      <c r="W1145" s="35"/>
      <c r="X1145" s="35"/>
      <c r="Y1145" s="35"/>
      <c r="Z1145" s="35"/>
      <c r="AA1145" s="35"/>
      <c r="AB1145" s="35"/>
      <c r="AC1145" s="35"/>
      <c r="AD1145" s="35"/>
      <c r="AE1145" s="35"/>
    </row>
    <row r="1146" ht="12.0" customHeight="1">
      <c r="A1146" s="35"/>
      <c r="B1146" s="35"/>
      <c r="C1146" s="35"/>
      <c r="D1146" s="35"/>
      <c r="E1146" s="35"/>
      <c r="F1146" s="35"/>
      <c r="G1146" s="35"/>
      <c r="H1146" s="35"/>
      <c r="I1146" s="35"/>
      <c r="J1146" s="35"/>
      <c r="K1146" s="35"/>
      <c r="L1146" s="35"/>
      <c r="M1146" s="35"/>
      <c r="N1146" s="35"/>
      <c r="O1146" s="35"/>
      <c r="P1146" s="35"/>
      <c r="Q1146" s="35"/>
      <c r="R1146" s="35"/>
      <c r="S1146" s="35"/>
      <c r="T1146" s="35"/>
      <c r="U1146" s="35"/>
      <c r="V1146" s="35"/>
      <c r="W1146" s="35"/>
      <c r="X1146" s="35"/>
      <c r="Y1146" s="35"/>
      <c r="Z1146" s="35"/>
      <c r="AA1146" s="35"/>
      <c r="AB1146" s="35"/>
      <c r="AC1146" s="35"/>
      <c r="AD1146" s="35"/>
      <c r="AE1146" s="35"/>
    </row>
    <row r="1147" ht="12.0" customHeight="1">
      <c r="A1147" s="35"/>
      <c r="B1147" s="35"/>
      <c r="C1147" s="35"/>
      <c r="D1147" s="35"/>
      <c r="E1147" s="35"/>
      <c r="F1147" s="35"/>
      <c r="G1147" s="35"/>
      <c r="H1147" s="35"/>
      <c r="I1147" s="35"/>
      <c r="J1147" s="35"/>
      <c r="K1147" s="35"/>
      <c r="L1147" s="35"/>
      <c r="M1147" s="35"/>
      <c r="N1147" s="35"/>
      <c r="O1147" s="35"/>
      <c r="P1147" s="35"/>
      <c r="Q1147" s="35"/>
      <c r="R1147" s="35"/>
      <c r="S1147" s="35"/>
      <c r="T1147" s="35"/>
      <c r="U1147" s="35"/>
      <c r="V1147" s="35"/>
      <c r="W1147" s="35"/>
      <c r="X1147" s="35"/>
      <c r="Y1147" s="35"/>
      <c r="Z1147" s="35"/>
      <c r="AA1147" s="35"/>
      <c r="AB1147" s="35"/>
      <c r="AC1147" s="35"/>
      <c r="AD1147" s="35"/>
      <c r="AE1147" s="35"/>
    </row>
    <row r="1148" ht="12.0" customHeight="1">
      <c r="A1148" s="35"/>
      <c r="B1148" s="35"/>
      <c r="C1148" s="35"/>
      <c r="D1148" s="35"/>
      <c r="E1148" s="35"/>
      <c r="F1148" s="35"/>
      <c r="G1148" s="35"/>
      <c r="H1148" s="35"/>
      <c r="I1148" s="35"/>
      <c r="J1148" s="35"/>
      <c r="K1148" s="35"/>
      <c r="L1148" s="35"/>
      <c r="M1148" s="35"/>
      <c r="N1148" s="35"/>
      <c r="O1148" s="35"/>
      <c r="P1148" s="35"/>
      <c r="Q1148" s="35"/>
      <c r="R1148" s="35"/>
      <c r="S1148" s="35"/>
      <c r="T1148" s="35"/>
      <c r="U1148" s="35"/>
      <c r="V1148" s="35"/>
      <c r="W1148" s="35"/>
      <c r="X1148" s="35"/>
      <c r="Y1148" s="35"/>
      <c r="Z1148" s="35"/>
      <c r="AA1148" s="35"/>
      <c r="AB1148" s="35"/>
      <c r="AC1148" s="35"/>
      <c r="AD1148" s="35"/>
      <c r="AE1148" s="35"/>
    </row>
    <row r="1149" ht="12.0" customHeight="1">
      <c r="A1149" s="35"/>
      <c r="B1149" s="35"/>
      <c r="C1149" s="35"/>
      <c r="D1149" s="35"/>
      <c r="E1149" s="35"/>
      <c r="F1149" s="35"/>
      <c r="G1149" s="35"/>
      <c r="H1149" s="35"/>
      <c r="I1149" s="35"/>
      <c r="J1149" s="35"/>
      <c r="K1149" s="35"/>
      <c r="L1149" s="35"/>
      <c r="M1149" s="35"/>
      <c r="N1149" s="35"/>
      <c r="O1149" s="35"/>
      <c r="P1149" s="35"/>
      <c r="Q1149" s="35"/>
      <c r="R1149" s="35"/>
      <c r="S1149" s="35"/>
      <c r="T1149" s="35"/>
      <c r="U1149" s="35"/>
      <c r="V1149" s="35"/>
      <c r="W1149" s="35"/>
      <c r="X1149" s="35"/>
      <c r="Y1149" s="35"/>
      <c r="Z1149" s="35"/>
      <c r="AA1149" s="35"/>
      <c r="AB1149" s="35"/>
      <c r="AC1149" s="35"/>
      <c r="AD1149" s="35"/>
      <c r="AE1149" s="35"/>
    </row>
    <row r="1150" ht="12.0" customHeight="1">
      <c r="A1150" s="35"/>
      <c r="B1150" s="35"/>
      <c r="C1150" s="35"/>
      <c r="D1150" s="35"/>
      <c r="E1150" s="35"/>
      <c r="F1150" s="35"/>
      <c r="G1150" s="35"/>
      <c r="H1150" s="35"/>
      <c r="I1150" s="35"/>
      <c r="J1150" s="35"/>
      <c r="K1150" s="35"/>
      <c r="L1150" s="35"/>
      <c r="M1150" s="35"/>
      <c r="N1150" s="35"/>
      <c r="O1150" s="35"/>
      <c r="P1150" s="35"/>
      <c r="Q1150" s="35"/>
      <c r="R1150" s="35"/>
      <c r="S1150" s="35"/>
      <c r="T1150" s="35"/>
      <c r="U1150" s="35"/>
      <c r="V1150" s="35"/>
      <c r="W1150" s="35"/>
      <c r="X1150" s="35"/>
      <c r="Y1150" s="35"/>
      <c r="Z1150" s="35"/>
      <c r="AA1150" s="35"/>
      <c r="AB1150" s="35"/>
      <c r="AC1150" s="35"/>
      <c r="AD1150" s="35"/>
      <c r="AE1150" s="35"/>
    </row>
    <row r="1151" ht="12.0" customHeight="1">
      <c r="A1151" s="35"/>
      <c r="B1151" s="35"/>
      <c r="C1151" s="35"/>
      <c r="D1151" s="35"/>
      <c r="E1151" s="35"/>
      <c r="F1151" s="35"/>
      <c r="G1151" s="35"/>
      <c r="H1151" s="35"/>
      <c r="I1151" s="35"/>
      <c r="J1151" s="35"/>
      <c r="K1151" s="35"/>
      <c r="L1151" s="35"/>
      <c r="M1151" s="35"/>
      <c r="N1151" s="35"/>
      <c r="O1151" s="35"/>
      <c r="P1151" s="35"/>
      <c r="Q1151" s="35"/>
      <c r="R1151" s="35"/>
      <c r="S1151" s="35"/>
      <c r="T1151" s="35"/>
      <c r="U1151" s="35"/>
      <c r="V1151" s="35"/>
      <c r="W1151" s="35"/>
      <c r="X1151" s="35"/>
      <c r="Y1151" s="35"/>
      <c r="Z1151" s="35"/>
      <c r="AA1151" s="35"/>
      <c r="AB1151" s="35"/>
      <c r="AC1151" s="35"/>
      <c r="AD1151" s="35"/>
      <c r="AE1151" s="35"/>
    </row>
    <row r="1152" ht="12.0" customHeight="1">
      <c r="A1152" s="35"/>
      <c r="B1152" s="35"/>
      <c r="C1152" s="35"/>
      <c r="D1152" s="35"/>
      <c r="E1152" s="35"/>
      <c r="F1152" s="35"/>
      <c r="G1152" s="35"/>
      <c r="H1152" s="35"/>
      <c r="I1152" s="35"/>
      <c r="J1152" s="35"/>
      <c r="K1152" s="35"/>
      <c r="L1152" s="35"/>
      <c r="M1152" s="35"/>
      <c r="N1152" s="35"/>
      <c r="O1152" s="35"/>
      <c r="P1152" s="35"/>
      <c r="Q1152" s="35"/>
      <c r="R1152" s="35"/>
      <c r="S1152" s="35"/>
      <c r="T1152" s="35"/>
      <c r="U1152" s="35"/>
      <c r="V1152" s="35"/>
      <c r="W1152" s="35"/>
      <c r="X1152" s="35"/>
      <c r="Y1152" s="35"/>
      <c r="Z1152" s="35"/>
      <c r="AA1152" s="35"/>
      <c r="AB1152" s="35"/>
      <c r="AC1152" s="35"/>
      <c r="AD1152" s="35"/>
      <c r="AE1152" s="35"/>
    </row>
    <row r="1153" ht="12.0" customHeight="1">
      <c r="A1153" s="35"/>
      <c r="B1153" s="35"/>
      <c r="C1153" s="35"/>
      <c r="D1153" s="35"/>
      <c r="E1153" s="35"/>
      <c r="F1153" s="35"/>
      <c r="G1153" s="35"/>
      <c r="H1153" s="35"/>
      <c r="I1153" s="35"/>
      <c r="J1153" s="35"/>
      <c r="K1153" s="35"/>
      <c r="L1153" s="35"/>
      <c r="M1153" s="35"/>
      <c r="N1153" s="35"/>
      <c r="O1153" s="35"/>
      <c r="P1153" s="35"/>
      <c r="Q1153" s="35"/>
      <c r="R1153" s="35"/>
      <c r="S1153" s="35"/>
      <c r="T1153" s="35"/>
      <c r="U1153" s="35"/>
      <c r="V1153" s="35"/>
      <c r="W1153" s="35"/>
      <c r="X1153" s="35"/>
      <c r="Y1153" s="35"/>
      <c r="Z1153" s="35"/>
      <c r="AA1153" s="35"/>
      <c r="AB1153" s="35"/>
      <c r="AC1153" s="35"/>
      <c r="AD1153" s="35"/>
      <c r="AE1153" s="35"/>
    </row>
    <row r="1154" ht="12.0" customHeight="1">
      <c r="A1154" s="35"/>
      <c r="B1154" s="35"/>
      <c r="C1154" s="35"/>
      <c r="D1154" s="35"/>
      <c r="E1154" s="35"/>
      <c r="F1154" s="35"/>
      <c r="G1154" s="35"/>
      <c r="H1154" s="35"/>
      <c r="I1154" s="35"/>
      <c r="J1154" s="35"/>
      <c r="K1154" s="35"/>
      <c r="L1154" s="35"/>
      <c r="M1154" s="35"/>
      <c r="N1154" s="35"/>
      <c r="O1154" s="35"/>
      <c r="P1154" s="35"/>
      <c r="Q1154" s="35"/>
      <c r="R1154" s="35"/>
      <c r="S1154" s="35"/>
      <c r="T1154" s="35"/>
      <c r="U1154" s="35"/>
      <c r="V1154" s="35"/>
      <c r="W1154" s="35"/>
      <c r="X1154" s="35"/>
      <c r="Y1154" s="35"/>
      <c r="Z1154" s="35"/>
      <c r="AA1154" s="35"/>
      <c r="AB1154" s="35"/>
      <c r="AC1154" s="35"/>
      <c r="AD1154" s="35"/>
      <c r="AE1154" s="35"/>
    </row>
    <row r="1155" ht="12.0" customHeight="1">
      <c r="A1155" s="35"/>
      <c r="B1155" s="35"/>
      <c r="C1155" s="35"/>
      <c r="D1155" s="35"/>
      <c r="E1155" s="35"/>
      <c r="F1155" s="35"/>
      <c r="G1155" s="35"/>
      <c r="H1155" s="35"/>
      <c r="I1155" s="35"/>
      <c r="J1155" s="35"/>
      <c r="K1155" s="35"/>
      <c r="L1155" s="35"/>
      <c r="M1155" s="35"/>
      <c r="N1155" s="35"/>
      <c r="O1155" s="35"/>
      <c r="P1155" s="35"/>
      <c r="Q1155" s="35"/>
      <c r="R1155" s="35"/>
      <c r="S1155" s="35"/>
      <c r="T1155" s="35"/>
      <c r="U1155" s="35"/>
      <c r="V1155" s="35"/>
      <c r="W1155" s="35"/>
      <c r="X1155" s="35"/>
      <c r="Y1155" s="35"/>
      <c r="Z1155" s="35"/>
      <c r="AA1155" s="35"/>
      <c r="AB1155" s="35"/>
      <c r="AC1155" s="35"/>
      <c r="AD1155" s="35"/>
      <c r="AE1155" s="3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71"/>
    <col customWidth="1" min="2" max="2" width="9.57"/>
    <col customWidth="1" min="3" max="3" width="5.14"/>
    <col customWidth="1" min="4" max="22" width="4.86"/>
    <col customWidth="1" min="23" max="25" width="4.71"/>
    <col customWidth="1" min="26" max="31" width="4.86"/>
    <col customWidth="1" min="32" max="32" width="5.57"/>
    <col customWidth="1" min="33" max="41" width="7.86"/>
    <col customWidth="1" min="42" max="42" width="8.71"/>
    <col customWidth="1" min="43" max="51" width="6.29"/>
    <col customWidth="1" min="52" max="52" width="7.14"/>
    <col customWidth="1" min="53" max="54" width="4.43"/>
    <col customWidth="1" min="55" max="56" width="3.57"/>
    <col customWidth="1" min="57" max="60" width="4.71"/>
    <col customWidth="1" min="61" max="65" width="3.57"/>
    <col customWidth="1" min="66" max="67" width="3.86"/>
    <col customWidth="1" min="68" max="68" width="8.86"/>
    <col customWidth="1" min="69" max="69" width="6.71"/>
    <col customWidth="1" min="70" max="70" width="5.86"/>
    <col customWidth="1" min="71" max="71" width="9.57"/>
    <col customWidth="1" min="72" max="72" width="10.0"/>
    <col customWidth="1" min="73" max="73" width="7.43"/>
    <col customWidth="1" min="74" max="76" width="5.43"/>
    <col customWidth="1" min="77" max="77" width="6.71"/>
    <col customWidth="1" min="78" max="79" width="12.14"/>
  </cols>
  <sheetData>
    <row r="1" ht="29.25" customHeight="1">
      <c r="A1" s="37" t="s">
        <v>1</v>
      </c>
      <c r="B1" s="37" t="s">
        <v>2</v>
      </c>
      <c r="C1" s="37" t="s">
        <v>419</v>
      </c>
      <c r="D1" s="37" t="s">
        <v>420</v>
      </c>
      <c r="E1" s="37" t="s">
        <v>421</v>
      </c>
      <c r="F1" s="37" t="s">
        <v>422</v>
      </c>
      <c r="G1" s="37" t="s">
        <v>423</v>
      </c>
      <c r="H1" s="37" t="s">
        <v>424</v>
      </c>
      <c r="I1" s="37" t="s">
        <v>425</v>
      </c>
      <c r="J1" s="37" t="s">
        <v>426</v>
      </c>
      <c r="K1" s="37" t="s">
        <v>427</v>
      </c>
      <c r="L1" s="37" t="s">
        <v>428</v>
      </c>
      <c r="M1" s="38" t="s">
        <v>429</v>
      </c>
      <c r="N1" s="39" t="s">
        <v>430</v>
      </c>
      <c r="O1" s="37" t="s">
        <v>431</v>
      </c>
      <c r="P1" s="37" t="s">
        <v>432</v>
      </c>
      <c r="Q1" s="37" t="s">
        <v>433</v>
      </c>
      <c r="R1" s="37" t="s">
        <v>434</v>
      </c>
      <c r="S1" s="37" t="s">
        <v>435</v>
      </c>
      <c r="T1" s="37" t="s">
        <v>436</v>
      </c>
      <c r="U1" s="37" t="s">
        <v>437</v>
      </c>
      <c r="V1" s="37" t="s">
        <v>438</v>
      </c>
      <c r="W1" s="40" t="s">
        <v>439</v>
      </c>
      <c r="X1" s="41" t="s">
        <v>6</v>
      </c>
      <c r="Y1" s="41" t="s">
        <v>440</v>
      </c>
      <c r="Z1" s="41" t="s">
        <v>441</v>
      </c>
      <c r="AA1" s="41" t="s">
        <v>442</v>
      </c>
      <c r="AB1" s="41" t="s">
        <v>443</v>
      </c>
      <c r="AC1" s="41" t="s">
        <v>444</v>
      </c>
      <c r="AD1" s="41" t="s">
        <v>445</v>
      </c>
      <c r="AE1" s="41" t="s">
        <v>446</v>
      </c>
      <c r="AF1" s="41" t="s">
        <v>447</v>
      </c>
      <c r="AG1" s="40" t="s">
        <v>448</v>
      </c>
      <c r="AH1" s="41" t="s">
        <v>449</v>
      </c>
      <c r="AI1" s="41" t="s">
        <v>450</v>
      </c>
      <c r="AJ1" s="41" t="s">
        <v>451</v>
      </c>
      <c r="AK1" s="41" t="s">
        <v>452</v>
      </c>
      <c r="AL1" s="41" t="s">
        <v>453</v>
      </c>
      <c r="AM1" s="41" t="s">
        <v>454</v>
      </c>
      <c r="AN1" s="41" t="s">
        <v>455</v>
      </c>
      <c r="AO1" s="41" t="s">
        <v>456</v>
      </c>
      <c r="AP1" s="41" t="s">
        <v>457</v>
      </c>
      <c r="AQ1" s="40" t="s">
        <v>458</v>
      </c>
      <c r="AR1" s="41" t="s">
        <v>459</v>
      </c>
      <c r="AS1" s="41" t="s">
        <v>460</v>
      </c>
      <c r="AT1" s="41" t="s">
        <v>461</v>
      </c>
      <c r="AU1" s="41" t="s">
        <v>462</v>
      </c>
      <c r="AV1" s="41" t="s">
        <v>463</v>
      </c>
      <c r="AW1" s="41" t="s">
        <v>464</v>
      </c>
      <c r="AX1" s="41" t="s">
        <v>465</v>
      </c>
      <c r="AY1" s="41" t="s">
        <v>466</v>
      </c>
      <c r="AZ1" s="41" t="s">
        <v>467</v>
      </c>
      <c r="BA1" s="38" t="s">
        <v>468</v>
      </c>
      <c r="BB1" s="37" t="s">
        <v>469</v>
      </c>
      <c r="BC1" s="37" t="s">
        <v>470</v>
      </c>
      <c r="BD1" s="37" t="s">
        <v>471</v>
      </c>
      <c r="BE1" s="37" t="s">
        <v>472</v>
      </c>
      <c r="BF1" s="37" t="s">
        <v>473</v>
      </c>
      <c r="BG1" s="37" t="s">
        <v>474</v>
      </c>
      <c r="BH1" s="37" t="s">
        <v>475</v>
      </c>
      <c r="BI1" s="37" t="s">
        <v>476</v>
      </c>
      <c r="BJ1" s="37" t="s">
        <v>477</v>
      </c>
      <c r="BK1" s="37" t="s">
        <v>478</v>
      </c>
      <c r="BL1" s="37" t="s">
        <v>479</v>
      </c>
      <c r="BM1" s="37" t="s">
        <v>480</v>
      </c>
      <c r="BN1" s="37" t="s">
        <v>481</v>
      </c>
      <c r="BO1" s="37" t="s">
        <v>482</v>
      </c>
      <c r="BP1" s="37" t="s">
        <v>483</v>
      </c>
      <c r="BQ1" s="37" t="s">
        <v>484</v>
      </c>
      <c r="BR1" s="42" t="s">
        <v>485</v>
      </c>
      <c r="BS1" s="42" t="s">
        <v>486</v>
      </c>
      <c r="BT1" s="42" t="s">
        <v>487</v>
      </c>
      <c r="BU1" s="42" t="s">
        <v>488</v>
      </c>
      <c r="BV1" s="43" t="s">
        <v>489</v>
      </c>
      <c r="BW1" s="43" t="s">
        <v>490</v>
      </c>
      <c r="BX1" s="42" t="s">
        <v>491</v>
      </c>
      <c r="BY1" s="42" t="s">
        <v>492</v>
      </c>
      <c r="BZ1" s="42" t="s">
        <v>57</v>
      </c>
      <c r="CA1" s="44" t="s">
        <v>65</v>
      </c>
    </row>
    <row r="2" ht="11.25" customHeight="1">
      <c r="A2" s="45" t="s">
        <v>493</v>
      </c>
      <c r="B2" s="46">
        <v>7.411174E7</v>
      </c>
      <c r="C2" s="47">
        <v>0.0</v>
      </c>
      <c r="D2" s="47">
        <v>0.8</v>
      </c>
      <c r="E2" s="47">
        <v>1.0</v>
      </c>
      <c r="F2" s="47">
        <v>1.2</v>
      </c>
      <c r="G2" s="47">
        <v>1.4</v>
      </c>
      <c r="H2" s="47">
        <v>1.6</v>
      </c>
      <c r="I2" s="47">
        <v>1.8</v>
      </c>
      <c r="J2" s="47">
        <v>2.0</v>
      </c>
      <c r="K2" s="47">
        <v>2.2</v>
      </c>
      <c r="L2" s="47">
        <v>2.4</v>
      </c>
      <c r="M2" s="48">
        <v>12.3243582631</v>
      </c>
      <c r="N2" s="47">
        <v>11.52216149551024</v>
      </c>
      <c r="O2" s="47">
        <v>11.2219380297</v>
      </c>
      <c r="P2" s="47">
        <v>10.847592537070241</v>
      </c>
      <c r="Q2" s="47">
        <v>10.39126051966384</v>
      </c>
      <c r="R2" s="47">
        <v>9.85036985704944</v>
      </c>
      <c r="S2" s="47">
        <v>9.227640806321439</v>
      </c>
      <c r="T2" s="47">
        <v>8.5310860021</v>
      </c>
      <c r="U2" s="47">
        <v>7.7740104565310375</v>
      </c>
      <c r="V2" s="47">
        <v>6.85</v>
      </c>
      <c r="W2" s="49">
        <v>0.0424</v>
      </c>
      <c r="X2" s="47">
        <v>0.0726</v>
      </c>
      <c r="Y2" s="47">
        <v>0.0782</v>
      </c>
      <c r="Z2" s="47">
        <v>0.083</v>
      </c>
      <c r="AA2" s="47">
        <v>0.0868</v>
      </c>
      <c r="AB2" s="47">
        <v>0.0896</v>
      </c>
      <c r="AC2" s="47">
        <v>0.0914</v>
      </c>
      <c r="AD2" s="47">
        <v>0.0924</v>
      </c>
      <c r="AE2" s="47">
        <v>0.0926</v>
      </c>
      <c r="AF2" s="47">
        <v>0.0916</v>
      </c>
      <c r="AG2" s="49">
        <v>1.024</v>
      </c>
      <c r="AH2" s="47">
        <v>1.035</v>
      </c>
      <c r="AI2" s="47">
        <v>1.033</v>
      </c>
      <c r="AJ2" s="47">
        <v>1.059</v>
      </c>
      <c r="AK2" s="47">
        <v>1.115</v>
      </c>
      <c r="AL2" s="47">
        <v>1.212</v>
      </c>
      <c r="AM2" s="47">
        <v>1.368</v>
      </c>
      <c r="AN2" s="47">
        <v>1.611</v>
      </c>
      <c r="AO2" s="47">
        <v>1.905</v>
      </c>
      <c r="AP2" s="47">
        <v>2.313</v>
      </c>
      <c r="AQ2" s="49">
        <v>0.0</v>
      </c>
      <c r="AR2" s="47">
        <v>34.2</v>
      </c>
      <c r="AS2" s="47">
        <v>40.49</v>
      </c>
      <c r="AT2" s="47">
        <v>44.19</v>
      </c>
      <c r="AU2" s="47">
        <v>46.64</v>
      </c>
      <c r="AV2" s="47">
        <v>47.81</v>
      </c>
      <c r="AW2" s="47">
        <v>47.59</v>
      </c>
      <c r="AX2" s="47">
        <v>45.83</v>
      </c>
      <c r="AY2" s="47">
        <v>42.26</v>
      </c>
      <c r="AZ2" s="47">
        <v>36.55</v>
      </c>
      <c r="BA2" s="50">
        <v>254.0</v>
      </c>
      <c r="BB2" s="51">
        <v>207.0</v>
      </c>
      <c r="BC2" s="51">
        <v>134.0</v>
      </c>
      <c r="BD2" s="51">
        <v>112.0</v>
      </c>
      <c r="BE2" s="51" t="s">
        <v>494</v>
      </c>
      <c r="BF2" s="51" t="s">
        <v>495</v>
      </c>
      <c r="BG2" s="51" t="s">
        <v>496</v>
      </c>
      <c r="BH2" s="51" t="s">
        <v>497</v>
      </c>
      <c r="BI2" s="51">
        <v>100.0</v>
      </c>
      <c r="BJ2" s="51">
        <v>150.0</v>
      </c>
      <c r="BK2" s="51">
        <v>250.0</v>
      </c>
      <c r="BL2" s="51">
        <v>180.0</v>
      </c>
      <c r="BM2" s="51">
        <v>210.0</v>
      </c>
      <c r="BN2" s="51">
        <v>75.0</v>
      </c>
      <c r="BO2" s="51">
        <v>30.0</v>
      </c>
      <c r="BP2" s="51" t="s">
        <v>498</v>
      </c>
      <c r="BQ2" s="51" t="s">
        <v>499</v>
      </c>
      <c r="BR2" s="52">
        <v>25.0</v>
      </c>
      <c r="BS2" s="53" t="s">
        <v>500</v>
      </c>
      <c r="BT2" s="53" t="s">
        <v>500</v>
      </c>
      <c r="BU2" s="52">
        <v>0.37</v>
      </c>
      <c r="BV2" s="47">
        <f>IFERROR(__xludf.DUMMYFUNCTION("IFERROR(INDEX(motors!E:E, MATCH(1, (motors!A:A=REGEXEXTRACT(A2,""^\S+""))*(motors!B:B=BU2), 0)), """")"),1.6)</f>
        <v>1.6</v>
      </c>
      <c r="BW2" s="47">
        <f>IFERROR(__xludf.DUMMYFUNCTION("IFERROR(INDEX(motors!F:F, MATCH(1, (motors!A:A=REGEXEXTRACT(A2,""^\S+""))*(motors!B:B=BU2), 0)), """")"),0.9)</f>
        <v>0.9</v>
      </c>
      <c r="BX2" s="51">
        <v>2.0</v>
      </c>
      <c r="BY2" s="52">
        <v>21.0</v>
      </c>
      <c r="BZ2" s="53" t="s">
        <v>501</v>
      </c>
      <c r="CA2" s="53" t="str">
        <f>IFERROR(__xludf.DUMMYFUNCTION("IFERROR(REGEXEXTRACT(BZ2, ""(?i)[A-Z]+-D-E-([^-]+)-E""), """")"),"HQQE")</f>
        <v>HQQE</v>
      </c>
    </row>
    <row r="3" ht="11.25" customHeight="1">
      <c r="A3" s="54" t="s">
        <v>502</v>
      </c>
      <c r="B3" s="55">
        <v>7.4111741E7</v>
      </c>
      <c r="C3" s="56">
        <v>0.0</v>
      </c>
      <c r="D3" s="56">
        <v>0.8</v>
      </c>
      <c r="E3" s="56">
        <v>1.0</v>
      </c>
      <c r="F3" s="56">
        <v>1.2</v>
      </c>
      <c r="G3" s="56">
        <v>1.4</v>
      </c>
      <c r="H3" s="56">
        <v>1.6</v>
      </c>
      <c r="I3" s="56">
        <v>1.8</v>
      </c>
      <c r="J3" s="56">
        <v>2.0</v>
      </c>
      <c r="K3" s="56">
        <v>2.2</v>
      </c>
      <c r="L3" s="56">
        <v>2.4</v>
      </c>
      <c r="M3" s="48">
        <v>17.6824930383</v>
      </c>
      <c r="N3" s="56">
        <v>16.835318753798493</v>
      </c>
      <c r="O3" s="56">
        <v>16.3568298036</v>
      </c>
      <c r="P3" s="56">
        <v>15.8576397466716</v>
      </c>
      <c r="Q3" s="56">
        <v>15.2</v>
      </c>
      <c r="R3" s="56">
        <v>14.410392376097628</v>
      </c>
      <c r="S3" s="56">
        <v>13.4</v>
      </c>
      <c r="T3" s="56">
        <v>12.2</v>
      </c>
      <c r="U3" s="56">
        <v>10.9</v>
      </c>
      <c r="V3" s="56">
        <v>9.3</v>
      </c>
      <c r="W3" s="49">
        <v>0.0636</v>
      </c>
      <c r="X3" s="56">
        <v>0.1089</v>
      </c>
      <c r="Y3" s="56">
        <v>0.11730000000000002</v>
      </c>
      <c r="Z3" s="56">
        <v>0.1245</v>
      </c>
      <c r="AA3" s="56">
        <v>0.1302</v>
      </c>
      <c r="AB3" s="56">
        <v>0.1344</v>
      </c>
      <c r="AC3" s="56">
        <v>0.1371</v>
      </c>
      <c r="AD3" s="56">
        <v>0.1386</v>
      </c>
      <c r="AE3" s="56">
        <v>0.1389</v>
      </c>
      <c r="AF3" s="56">
        <v>0.1374</v>
      </c>
      <c r="AG3" s="49">
        <v>1.024</v>
      </c>
      <c r="AH3" s="56">
        <v>1.035</v>
      </c>
      <c r="AI3" s="56">
        <v>1.033</v>
      </c>
      <c r="AJ3" s="56">
        <v>1.059</v>
      </c>
      <c r="AK3" s="56">
        <v>1.115</v>
      </c>
      <c r="AL3" s="56">
        <v>1.212</v>
      </c>
      <c r="AM3" s="56">
        <v>1.368</v>
      </c>
      <c r="AN3" s="56">
        <v>1.611</v>
      </c>
      <c r="AO3" s="56">
        <v>1.905</v>
      </c>
      <c r="AP3" s="56">
        <v>2.313</v>
      </c>
      <c r="AQ3" s="49">
        <v>0.0</v>
      </c>
      <c r="AR3" s="56">
        <v>34.2</v>
      </c>
      <c r="AS3" s="56">
        <v>40.49</v>
      </c>
      <c r="AT3" s="56">
        <v>44.19</v>
      </c>
      <c r="AU3" s="56">
        <v>46.64</v>
      </c>
      <c r="AV3" s="56">
        <v>47.81</v>
      </c>
      <c r="AW3" s="56">
        <v>47.59</v>
      </c>
      <c r="AX3" s="56">
        <v>45.83</v>
      </c>
      <c r="AY3" s="56">
        <v>42.26</v>
      </c>
      <c r="AZ3" s="56">
        <v>36.55</v>
      </c>
      <c r="BA3" s="50">
        <v>272.0</v>
      </c>
      <c r="BB3" s="57">
        <v>207.0</v>
      </c>
      <c r="BC3" s="57">
        <v>134.0</v>
      </c>
      <c r="BD3" s="57">
        <v>112.0</v>
      </c>
      <c r="BE3" s="57" t="s">
        <v>494</v>
      </c>
      <c r="BF3" s="57" t="s">
        <v>495</v>
      </c>
      <c r="BG3" s="57" t="s">
        <v>496</v>
      </c>
      <c r="BH3" s="57" t="s">
        <v>497</v>
      </c>
      <c r="BI3" s="57">
        <v>100.0</v>
      </c>
      <c r="BJ3" s="57">
        <v>150.0</v>
      </c>
      <c r="BK3" s="57">
        <v>250.0</v>
      </c>
      <c r="BL3" s="57">
        <v>180.0</v>
      </c>
      <c r="BM3" s="57">
        <v>210.0</v>
      </c>
      <c r="BN3" s="57">
        <v>75.0</v>
      </c>
      <c r="BO3" s="57">
        <v>30.0</v>
      </c>
      <c r="BP3" s="57" t="s">
        <v>498</v>
      </c>
      <c r="BQ3" s="57" t="s">
        <v>499</v>
      </c>
      <c r="BR3" s="58">
        <v>25.0</v>
      </c>
      <c r="BS3" s="59" t="s">
        <v>500</v>
      </c>
      <c r="BT3" s="59" t="s">
        <v>500</v>
      </c>
      <c r="BU3" s="58">
        <v>0.37</v>
      </c>
      <c r="BV3" s="47">
        <f>IFERROR(__xludf.DUMMYFUNCTION("IFERROR(INDEX(motors!E:E, MATCH(1, (motors!A:A=REGEXEXTRACT(A3,""^\S+""))*(motors!B:B=BU3), 0)), """")"),1.6)</f>
        <v>1.6</v>
      </c>
      <c r="BW3" s="47">
        <f>IFERROR(__xludf.DUMMYFUNCTION("IFERROR(INDEX(motors!F:F, MATCH(1, (motors!A:A=REGEXEXTRACT(A3,""^\S+""))*(motors!B:B=BU3), 0)), """")"),0.9)</f>
        <v>0.9</v>
      </c>
      <c r="BX3" s="57">
        <v>2.0</v>
      </c>
      <c r="BY3" s="58">
        <v>21.0</v>
      </c>
      <c r="BZ3" s="59" t="s">
        <v>503</v>
      </c>
      <c r="CA3" s="53" t="str">
        <f>IFERROR(__xludf.DUMMYFUNCTION("IFERROR(REGEXEXTRACT(BZ3, ""(?i)[A-Z]+-D-E-([^-]+)-E""), """")"),"HQQE")</f>
        <v>HQQE</v>
      </c>
    </row>
    <row r="4" ht="11.25" customHeight="1">
      <c r="A4" s="45" t="s">
        <v>504</v>
      </c>
      <c r="B4" s="46">
        <v>7.4111742E7</v>
      </c>
      <c r="C4" s="47">
        <v>0.0</v>
      </c>
      <c r="D4" s="47">
        <v>0.8</v>
      </c>
      <c r="E4" s="47">
        <v>1.0</v>
      </c>
      <c r="F4" s="47">
        <v>1.2</v>
      </c>
      <c r="G4" s="47">
        <v>1.4</v>
      </c>
      <c r="H4" s="47">
        <v>1.6</v>
      </c>
      <c r="I4" s="47">
        <v>1.8</v>
      </c>
      <c r="J4" s="47">
        <v>2.0</v>
      </c>
      <c r="K4" s="47">
        <v>2.2</v>
      </c>
      <c r="L4" s="47">
        <v>2.4</v>
      </c>
      <c r="M4" s="48">
        <v>24.9763586898</v>
      </c>
      <c r="N4" s="47">
        <v>22.44464548386016</v>
      </c>
      <c r="O4" s="47">
        <v>21.818374279300002</v>
      </c>
      <c r="P4" s="47">
        <v>21.09591347144256</v>
      </c>
      <c r="Q4" s="47">
        <v>20.225128916107362</v>
      </c>
      <c r="R4" s="47">
        <v>19.15233908445856</v>
      </c>
      <c r="S4" s="47">
        <v>17.82231506300496</v>
      </c>
      <c r="T4" s="47">
        <v>16.178280553600004</v>
      </c>
      <c r="U4" s="47">
        <v>14.16191187344176</v>
      </c>
      <c r="V4" s="47">
        <v>11.87</v>
      </c>
      <c r="W4" s="49">
        <v>0.0848</v>
      </c>
      <c r="X4" s="47">
        <v>0.1452</v>
      </c>
      <c r="Y4" s="47">
        <v>0.1564</v>
      </c>
      <c r="Z4" s="47">
        <v>0.166</v>
      </c>
      <c r="AA4" s="47">
        <v>0.1736</v>
      </c>
      <c r="AB4" s="47">
        <v>0.1792</v>
      </c>
      <c r="AC4" s="47">
        <v>0.1828</v>
      </c>
      <c r="AD4" s="47">
        <v>0.1848</v>
      </c>
      <c r="AE4" s="47">
        <v>0.1852</v>
      </c>
      <c r="AF4" s="47">
        <v>0.1832</v>
      </c>
      <c r="AG4" s="49">
        <v>1.024</v>
      </c>
      <c r="AH4" s="47">
        <v>1.035</v>
      </c>
      <c r="AI4" s="47">
        <v>1.033</v>
      </c>
      <c r="AJ4" s="47">
        <v>1.059</v>
      </c>
      <c r="AK4" s="47">
        <v>1.115</v>
      </c>
      <c r="AL4" s="47">
        <v>1.212</v>
      </c>
      <c r="AM4" s="47">
        <v>1.368</v>
      </c>
      <c r="AN4" s="47">
        <v>1.611</v>
      </c>
      <c r="AO4" s="47">
        <v>1.905</v>
      </c>
      <c r="AP4" s="47">
        <v>2.313</v>
      </c>
      <c r="AQ4" s="49">
        <v>0.0</v>
      </c>
      <c r="AR4" s="47">
        <v>34.2</v>
      </c>
      <c r="AS4" s="47">
        <v>40.49</v>
      </c>
      <c r="AT4" s="47">
        <v>44.19</v>
      </c>
      <c r="AU4" s="47">
        <v>46.64</v>
      </c>
      <c r="AV4" s="47">
        <v>47.81</v>
      </c>
      <c r="AW4" s="47">
        <v>47.59</v>
      </c>
      <c r="AX4" s="47">
        <v>45.83</v>
      </c>
      <c r="AY4" s="47">
        <v>42.26</v>
      </c>
      <c r="AZ4" s="47">
        <v>36.55</v>
      </c>
      <c r="BA4" s="50">
        <v>290.0</v>
      </c>
      <c r="BB4" s="51">
        <v>207.0</v>
      </c>
      <c r="BC4" s="51">
        <v>134.0</v>
      </c>
      <c r="BD4" s="51">
        <v>112.0</v>
      </c>
      <c r="BE4" s="51" t="s">
        <v>494</v>
      </c>
      <c r="BF4" s="51" t="s">
        <v>495</v>
      </c>
      <c r="BG4" s="51" t="s">
        <v>496</v>
      </c>
      <c r="BH4" s="51" t="s">
        <v>497</v>
      </c>
      <c r="BI4" s="51">
        <v>100.0</v>
      </c>
      <c r="BJ4" s="51">
        <v>150.0</v>
      </c>
      <c r="BK4" s="51">
        <v>250.0</v>
      </c>
      <c r="BL4" s="51">
        <v>180.0</v>
      </c>
      <c r="BM4" s="51">
        <v>210.0</v>
      </c>
      <c r="BN4" s="51">
        <v>75.0</v>
      </c>
      <c r="BO4" s="51">
        <v>30.0</v>
      </c>
      <c r="BP4" s="51" t="s">
        <v>498</v>
      </c>
      <c r="BQ4" s="51" t="s">
        <v>499</v>
      </c>
      <c r="BR4" s="52">
        <v>25.0</v>
      </c>
      <c r="BS4" s="53" t="s">
        <v>500</v>
      </c>
      <c r="BT4" s="53" t="s">
        <v>500</v>
      </c>
      <c r="BU4" s="52">
        <v>0.37</v>
      </c>
      <c r="BV4" s="47">
        <f>IFERROR(__xludf.DUMMYFUNCTION("IFERROR(INDEX(motors!E:E, MATCH(1, (motors!A:A=REGEXEXTRACT(A4,""^\S+""))*(motors!B:B=BU4), 0)), """")"),1.6)</f>
        <v>1.6</v>
      </c>
      <c r="BW4" s="47">
        <f>IFERROR(__xludf.DUMMYFUNCTION("IFERROR(INDEX(motors!F:F, MATCH(1, (motors!A:A=REGEXEXTRACT(A4,""^\S+""))*(motors!B:B=BU4), 0)), """")"),0.9)</f>
        <v>0.9</v>
      </c>
      <c r="BX4" s="51">
        <v>2.0</v>
      </c>
      <c r="BY4" s="52">
        <v>22.0</v>
      </c>
      <c r="BZ4" s="53" t="s">
        <v>505</v>
      </c>
      <c r="CA4" s="53" t="str">
        <f>IFERROR(__xludf.DUMMYFUNCTION("IFERROR(REGEXEXTRACT(BZ4, ""(?i)[A-Z]+-D-E-([^-]+)-E""), """")"),"HQQE")</f>
        <v>HQQE</v>
      </c>
    </row>
    <row r="5" ht="11.25" customHeight="1">
      <c r="A5" s="54" t="s">
        <v>506</v>
      </c>
      <c r="B5" s="55">
        <v>7.4111743E7</v>
      </c>
      <c r="C5" s="56">
        <v>0.0</v>
      </c>
      <c r="D5" s="56">
        <v>0.8</v>
      </c>
      <c r="E5" s="56">
        <v>1.0</v>
      </c>
      <c r="F5" s="56">
        <v>1.2</v>
      </c>
      <c r="G5" s="56">
        <v>1.4</v>
      </c>
      <c r="H5" s="56">
        <v>1.6</v>
      </c>
      <c r="I5" s="56">
        <v>1.8</v>
      </c>
      <c r="J5" s="56">
        <v>2.0</v>
      </c>
      <c r="K5" s="56">
        <v>2.2</v>
      </c>
      <c r="L5" s="56">
        <v>2.4</v>
      </c>
      <c r="M5" s="48">
        <v>31.0418088915</v>
      </c>
      <c r="N5" s="56">
        <v>28.4</v>
      </c>
      <c r="O5" s="56">
        <v>27.65</v>
      </c>
      <c r="P5" s="56">
        <v>26.75</v>
      </c>
      <c r="Q5" s="56">
        <v>25.660703082050105</v>
      </c>
      <c r="R5" s="56">
        <v>24.395525868215007</v>
      </c>
      <c r="S5" s="56">
        <v>22.761813219196213</v>
      </c>
      <c r="T5" s="56">
        <v>20.75</v>
      </c>
      <c r="U5" s="56">
        <v>18.5</v>
      </c>
      <c r="V5" s="56">
        <v>15.6</v>
      </c>
      <c r="W5" s="49">
        <v>0.106</v>
      </c>
      <c r="X5" s="56">
        <v>0.1815</v>
      </c>
      <c r="Y5" s="56">
        <v>0.1955</v>
      </c>
      <c r="Z5" s="56">
        <v>0.20750000000000002</v>
      </c>
      <c r="AA5" s="56">
        <v>0.217</v>
      </c>
      <c r="AB5" s="56">
        <v>0.224</v>
      </c>
      <c r="AC5" s="56">
        <v>0.22849999999999998</v>
      </c>
      <c r="AD5" s="56">
        <v>0.23099999999999998</v>
      </c>
      <c r="AE5" s="56">
        <v>0.2315</v>
      </c>
      <c r="AF5" s="56">
        <v>0.229</v>
      </c>
      <c r="AG5" s="49">
        <v>1.024</v>
      </c>
      <c r="AH5" s="56">
        <v>1.035</v>
      </c>
      <c r="AI5" s="56">
        <v>1.033</v>
      </c>
      <c r="AJ5" s="56">
        <v>1.059</v>
      </c>
      <c r="AK5" s="56">
        <v>1.115</v>
      </c>
      <c r="AL5" s="56">
        <v>1.212</v>
      </c>
      <c r="AM5" s="56">
        <v>1.368</v>
      </c>
      <c r="AN5" s="56">
        <v>1.611</v>
      </c>
      <c r="AO5" s="56">
        <v>1.905</v>
      </c>
      <c r="AP5" s="56">
        <v>2.313</v>
      </c>
      <c r="AQ5" s="49">
        <v>0.0</v>
      </c>
      <c r="AR5" s="56">
        <v>34.2</v>
      </c>
      <c r="AS5" s="56">
        <v>40.49</v>
      </c>
      <c r="AT5" s="56">
        <v>44.19</v>
      </c>
      <c r="AU5" s="56">
        <v>46.64</v>
      </c>
      <c r="AV5" s="56">
        <v>47.81</v>
      </c>
      <c r="AW5" s="56">
        <v>47.59</v>
      </c>
      <c r="AX5" s="56">
        <v>45.83</v>
      </c>
      <c r="AY5" s="56">
        <v>42.26</v>
      </c>
      <c r="AZ5" s="56">
        <v>36.55</v>
      </c>
      <c r="BA5" s="50">
        <v>308.0</v>
      </c>
      <c r="BB5" s="57">
        <v>207.0</v>
      </c>
      <c r="BC5" s="57">
        <v>134.0</v>
      </c>
      <c r="BD5" s="57">
        <v>112.0</v>
      </c>
      <c r="BE5" s="57" t="s">
        <v>494</v>
      </c>
      <c r="BF5" s="57" t="s">
        <v>495</v>
      </c>
      <c r="BG5" s="57" t="s">
        <v>496</v>
      </c>
      <c r="BH5" s="57" t="s">
        <v>497</v>
      </c>
      <c r="BI5" s="57">
        <v>100.0</v>
      </c>
      <c r="BJ5" s="57">
        <v>150.0</v>
      </c>
      <c r="BK5" s="57">
        <v>250.0</v>
      </c>
      <c r="BL5" s="57">
        <v>180.0</v>
      </c>
      <c r="BM5" s="57">
        <v>210.0</v>
      </c>
      <c r="BN5" s="57">
        <v>75.0</v>
      </c>
      <c r="BO5" s="57">
        <v>30.0</v>
      </c>
      <c r="BP5" s="57" t="s">
        <v>498</v>
      </c>
      <c r="BQ5" s="57" t="s">
        <v>499</v>
      </c>
      <c r="BR5" s="58">
        <v>25.0</v>
      </c>
      <c r="BS5" s="59" t="s">
        <v>500</v>
      </c>
      <c r="BT5" s="59" t="s">
        <v>500</v>
      </c>
      <c r="BU5" s="58">
        <v>0.37</v>
      </c>
      <c r="BV5" s="47">
        <f>IFERROR(__xludf.DUMMYFUNCTION("IFERROR(INDEX(motors!E:E, MATCH(1, (motors!A:A=REGEXEXTRACT(A5,""^\S+""))*(motors!B:B=BU5), 0)), """")"),1.6)</f>
        <v>1.6</v>
      </c>
      <c r="BW5" s="47">
        <f>IFERROR(__xludf.DUMMYFUNCTION("IFERROR(INDEX(motors!F:F, MATCH(1, (motors!A:A=REGEXEXTRACT(A5,""^\S+""))*(motors!B:B=BU5), 0)), """")"),0.9)</f>
        <v>0.9</v>
      </c>
      <c r="BX5" s="57">
        <v>2.0</v>
      </c>
      <c r="BY5" s="58">
        <v>22.0</v>
      </c>
      <c r="BZ5" s="59" t="s">
        <v>507</v>
      </c>
      <c r="CA5" s="53" t="str">
        <f>IFERROR(__xludf.DUMMYFUNCTION("IFERROR(REGEXEXTRACT(BZ5, ""(?i)[A-Z]+-D-E-([^-]+)-E""), """")"),"HQQE")</f>
        <v>HQQE</v>
      </c>
    </row>
    <row r="6" ht="11.25" customHeight="1">
      <c r="A6" s="45" t="s">
        <v>508</v>
      </c>
      <c r="B6" s="46">
        <v>7.4111744E7</v>
      </c>
      <c r="C6" s="47">
        <v>0.0</v>
      </c>
      <c r="D6" s="47">
        <v>0.8</v>
      </c>
      <c r="E6" s="47">
        <v>1.0</v>
      </c>
      <c r="F6" s="47">
        <v>1.2</v>
      </c>
      <c r="G6" s="47">
        <v>1.4</v>
      </c>
      <c r="H6" s="47">
        <v>1.6</v>
      </c>
      <c r="I6" s="47">
        <v>1.8</v>
      </c>
      <c r="J6" s="47">
        <v>2.0</v>
      </c>
      <c r="K6" s="47">
        <v>2.2</v>
      </c>
      <c r="L6" s="47">
        <v>2.4</v>
      </c>
      <c r="M6" s="48">
        <v>37.4935464844</v>
      </c>
      <c r="N6" s="47">
        <v>34.03603895149159</v>
      </c>
      <c r="O6" s="47">
        <v>33.0</v>
      </c>
      <c r="P6" s="47">
        <v>31.92178810406329</v>
      </c>
      <c r="Q6" s="47">
        <v>30.404191855040025</v>
      </c>
      <c r="R6" s="47">
        <v>28.717713018706064</v>
      </c>
      <c r="S6" s="47">
        <v>26.895608331105194</v>
      </c>
      <c r="T6" s="47">
        <v>24.7</v>
      </c>
      <c r="U6" s="47">
        <v>22.073849496222476</v>
      </c>
      <c r="V6" s="47">
        <v>18.99</v>
      </c>
      <c r="W6" s="49">
        <v>0.1272</v>
      </c>
      <c r="X6" s="47">
        <v>0.2178</v>
      </c>
      <c r="Y6" s="47">
        <v>0.23460000000000003</v>
      </c>
      <c r="Z6" s="47">
        <v>0.249</v>
      </c>
      <c r="AA6" s="47">
        <v>0.2604</v>
      </c>
      <c r="AB6" s="47">
        <v>0.2688</v>
      </c>
      <c r="AC6" s="47">
        <v>0.2742</v>
      </c>
      <c r="AD6" s="47">
        <v>0.2772</v>
      </c>
      <c r="AE6" s="47">
        <v>0.2778</v>
      </c>
      <c r="AF6" s="47">
        <v>0.2748</v>
      </c>
      <c r="AG6" s="49">
        <v>1.024</v>
      </c>
      <c r="AH6" s="47">
        <v>1.035</v>
      </c>
      <c r="AI6" s="47">
        <v>1.033</v>
      </c>
      <c r="AJ6" s="47">
        <v>1.059</v>
      </c>
      <c r="AK6" s="47">
        <v>1.115</v>
      </c>
      <c r="AL6" s="47">
        <v>1.212</v>
      </c>
      <c r="AM6" s="47">
        <v>1.368</v>
      </c>
      <c r="AN6" s="47">
        <v>1.611</v>
      </c>
      <c r="AO6" s="47">
        <v>1.905</v>
      </c>
      <c r="AP6" s="47">
        <v>2.313</v>
      </c>
      <c r="AQ6" s="49">
        <v>0.0</v>
      </c>
      <c r="AR6" s="47">
        <v>34.2</v>
      </c>
      <c r="AS6" s="47">
        <v>40.49</v>
      </c>
      <c r="AT6" s="47">
        <v>44.19</v>
      </c>
      <c r="AU6" s="47">
        <v>46.64</v>
      </c>
      <c r="AV6" s="47">
        <v>47.81</v>
      </c>
      <c r="AW6" s="47">
        <v>47.59</v>
      </c>
      <c r="AX6" s="47">
        <v>45.83</v>
      </c>
      <c r="AY6" s="47">
        <v>42.26</v>
      </c>
      <c r="AZ6" s="47">
        <v>36.55</v>
      </c>
      <c r="BA6" s="50">
        <v>326.0</v>
      </c>
      <c r="BB6" s="51">
        <v>207.0</v>
      </c>
      <c r="BC6" s="51">
        <v>134.0</v>
      </c>
      <c r="BD6" s="51">
        <v>112.0</v>
      </c>
      <c r="BE6" s="51" t="s">
        <v>494</v>
      </c>
      <c r="BF6" s="51" t="s">
        <v>495</v>
      </c>
      <c r="BG6" s="51" t="s">
        <v>496</v>
      </c>
      <c r="BH6" s="51" t="s">
        <v>497</v>
      </c>
      <c r="BI6" s="51">
        <v>100.0</v>
      </c>
      <c r="BJ6" s="51">
        <v>150.0</v>
      </c>
      <c r="BK6" s="51">
        <v>250.0</v>
      </c>
      <c r="BL6" s="51">
        <v>180.0</v>
      </c>
      <c r="BM6" s="51">
        <v>210.0</v>
      </c>
      <c r="BN6" s="51">
        <v>75.0</v>
      </c>
      <c r="BO6" s="51">
        <v>30.0</v>
      </c>
      <c r="BP6" s="51" t="s">
        <v>498</v>
      </c>
      <c r="BQ6" s="51" t="s">
        <v>499</v>
      </c>
      <c r="BR6" s="52">
        <v>25.0</v>
      </c>
      <c r="BS6" s="53" t="s">
        <v>500</v>
      </c>
      <c r="BT6" s="53" t="s">
        <v>500</v>
      </c>
      <c r="BU6" s="52">
        <v>0.37</v>
      </c>
      <c r="BV6" s="47">
        <f>IFERROR(__xludf.DUMMYFUNCTION("IFERROR(INDEX(motors!E:E, MATCH(1, (motors!A:A=REGEXEXTRACT(A6,""^\S+""))*(motors!B:B=BU6), 0)), """")"),1.6)</f>
        <v>1.6</v>
      </c>
      <c r="BW6" s="47">
        <f>IFERROR(__xludf.DUMMYFUNCTION("IFERROR(INDEX(motors!F:F, MATCH(1, (motors!A:A=REGEXEXTRACT(A6,""^\S+""))*(motors!B:B=BU6), 0)), """")"),0.9)</f>
        <v>0.9</v>
      </c>
      <c r="BX6" s="51">
        <v>2.0</v>
      </c>
      <c r="BY6" s="52">
        <v>23.0</v>
      </c>
      <c r="BZ6" s="53" t="s">
        <v>509</v>
      </c>
      <c r="CA6" s="53" t="str">
        <f>IFERROR(__xludf.DUMMYFUNCTION("IFERROR(REGEXEXTRACT(BZ6, ""(?i)[A-Z]+-D-E-([^-]+)-E""), """")"),"HQQE")</f>
        <v>HQQE</v>
      </c>
    </row>
    <row r="7" ht="11.25" customHeight="1">
      <c r="A7" s="54" t="s">
        <v>510</v>
      </c>
      <c r="B7" s="55">
        <v>7.4111745E7</v>
      </c>
      <c r="C7" s="56">
        <v>0.0</v>
      </c>
      <c r="D7" s="56">
        <v>0.8</v>
      </c>
      <c r="E7" s="56">
        <v>1.0</v>
      </c>
      <c r="F7" s="56">
        <v>1.2</v>
      </c>
      <c r="G7" s="56">
        <v>1.4</v>
      </c>
      <c r="H7" s="56">
        <v>1.6</v>
      </c>
      <c r="I7" s="56">
        <v>1.8</v>
      </c>
      <c r="J7" s="56">
        <v>2.0</v>
      </c>
      <c r="K7" s="56">
        <v>2.2</v>
      </c>
      <c r="L7" s="56">
        <v>2.4</v>
      </c>
      <c r="M7" s="48">
        <v>42.5982865678</v>
      </c>
      <c r="N7" s="56">
        <v>39.10184443388064</v>
      </c>
      <c r="O7" s="56">
        <v>37.9973147241</v>
      </c>
      <c r="P7" s="56">
        <v>36.774896947680645</v>
      </c>
      <c r="Q7" s="56">
        <v>35.36244208858224</v>
      </c>
      <c r="R7" s="56">
        <v>33.65392180620384</v>
      </c>
      <c r="S7" s="56">
        <v>31.50942843538384</v>
      </c>
      <c r="T7" s="56">
        <v>28.7551749864</v>
      </c>
      <c r="U7" s="56">
        <v>25.4</v>
      </c>
      <c r="V7" s="56">
        <v>21.4</v>
      </c>
      <c r="W7" s="49">
        <v>0.1484</v>
      </c>
      <c r="X7" s="56">
        <v>0.2541</v>
      </c>
      <c r="Y7" s="56">
        <v>0.2737</v>
      </c>
      <c r="Z7" s="56">
        <v>0.29050000000000004</v>
      </c>
      <c r="AA7" s="56">
        <v>0.3038</v>
      </c>
      <c r="AB7" s="56">
        <v>0.3136</v>
      </c>
      <c r="AC7" s="56">
        <v>0.31989999999999996</v>
      </c>
      <c r="AD7" s="56">
        <v>0.32339999999999997</v>
      </c>
      <c r="AE7" s="56">
        <v>0.3241</v>
      </c>
      <c r="AF7" s="56">
        <v>0.3206</v>
      </c>
      <c r="AG7" s="49">
        <v>1.024</v>
      </c>
      <c r="AH7" s="56">
        <v>1.035</v>
      </c>
      <c r="AI7" s="56">
        <v>1.033</v>
      </c>
      <c r="AJ7" s="56">
        <v>1.059</v>
      </c>
      <c r="AK7" s="56">
        <v>1.115</v>
      </c>
      <c r="AL7" s="56">
        <v>1.212</v>
      </c>
      <c r="AM7" s="56">
        <v>1.368</v>
      </c>
      <c r="AN7" s="56">
        <v>1.611</v>
      </c>
      <c r="AO7" s="56">
        <v>1.905</v>
      </c>
      <c r="AP7" s="56">
        <v>2.313</v>
      </c>
      <c r="AQ7" s="49">
        <v>0.0</v>
      </c>
      <c r="AR7" s="56">
        <v>34.2</v>
      </c>
      <c r="AS7" s="56">
        <v>40.49</v>
      </c>
      <c r="AT7" s="56">
        <v>44.19</v>
      </c>
      <c r="AU7" s="56">
        <v>46.64</v>
      </c>
      <c r="AV7" s="56">
        <v>47.81</v>
      </c>
      <c r="AW7" s="56">
        <v>47.59</v>
      </c>
      <c r="AX7" s="56">
        <v>45.83</v>
      </c>
      <c r="AY7" s="56">
        <v>42.26</v>
      </c>
      <c r="AZ7" s="56">
        <v>36.55</v>
      </c>
      <c r="BA7" s="50">
        <v>344.0</v>
      </c>
      <c r="BB7" s="57">
        <v>207.0</v>
      </c>
      <c r="BC7" s="57">
        <v>134.0</v>
      </c>
      <c r="BD7" s="57">
        <v>112.0</v>
      </c>
      <c r="BE7" s="57" t="s">
        <v>494</v>
      </c>
      <c r="BF7" s="57" t="s">
        <v>495</v>
      </c>
      <c r="BG7" s="57" t="s">
        <v>496</v>
      </c>
      <c r="BH7" s="57" t="s">
        <v>497</v>
      </c>
      <c r="BI7" s="57">
        <v>100.0</v>
      </c>
      <c r="BJ7" s="57">
        <v>150.0</v>
      </c>
      <c r="BK7" s="57">
        <v>250.0</v>
      </c>
      <c r="BL7" s="57">
        <v>180.0</v>
      </c>
      <c r="BM7" s="57">
        <v>210.0</v>
      </c>
      <c r="BN7" s="57">
        <v>75.0</v>
      </c>
      <c r="BO7" s="57">
        <v>30.0</v>
      </c>
      <c r="BP7" s="57" t="s">
        <v>498</v>
      </c>
      <c r="BQ7" s="57" t="s">
        <v>499</v>
      </c>
      <c r="BR7" s="58">
        <v>25.0</v>
      </c>
      <c r="BS7" s="59" t="s">
        <v>500</v>
      </c>
      <c r="BT7" s="59" t="s">
        <v>500</v>
      </c>
      <c r="BU7" s="58">
        <v>0.37</v>
      </c>
      <c r="BV7" s="47">
        <f>IFERROR(__xludf.DUMMYFUNCTION("IFERROR(INDEX(motors!E:E, MATCH(1, (motors!A:A=REGEXEXTRACT(A7,""^\S+""))*(motors!B:B=BU7), 0)), """")"),1.6)</f>
        <v>1.6</v>
      </c>
      <c r="BW7" s="47">
        <f>IFERROR(__xludf.DUMMYFUNCTION("IFERROR(INDEX(motors!F:F, MATCH(1, (motors!A:A=REGEXEXTRACT(A7,""^\S+""))*(motors!B:B=BU7), 0)), """")"),0.9)</f>
        <v>0.9</v>
      </c>
      <c r="BX7" s="57">
        <v>2.0</v>
      </c>
      <c r="BY7" s="58">
        <v>23.0</v>
      </c>
      <c r="BZ7" s="59" t="s">
        <v>511</v>
      </c>
      <c r="CA7" s="53" t="str">
        <f>IFERROR(__xludf.DUMMYFUNCTION("IFERROR(REGEXEXTRACT(BZ7, ""(?i)[A-Z]+-D-E-([^-]+)-E""), """")"),"HQQE")</f>
        <v>HQQE</v>
      </c>
    </row>
    <row r="8" ht="11.25" customHeight="1">
      <c r="A8" s="45" t="s">
        <v>512</v>
      </c>
      <c r="B8" s="46">
        <v>7.4111746E7</v>
      </c>
      <c r="C8" s="47">
        <v>0.0</v>
      </c>
      <c r="D8" s="47">
        <v>0.8</v>
      </c>
      <c r="E8" s="47">
        <v>1.0</v>
      </c>
      <c r="F8" s="47">
        <v>1.2</v>
      </c>
      <c r="G8" s="47">
        <v>1.4</v>
      </c>
      <c r="H8" s="47">
        <v>1.6</v>
      </c>
      <c r="I8" s="47">
        <v>1.8</v>
      </c>
      <c r="J8" s="47">
        <v>2.0</v>
      </c>
      <c r="K8" s="47">
        <v>2.2</v>
      </c>
      <c r="L8" s="47">
        <v>2.4</v>
      </c>
      <c r="M8" s="48">
        <v>48.9774021124</v>
      </c>
      <c r="N8" s="47">
        <v>44.94666870337472</v>
      </c>
      <c r="O8" s="47">
        <v>43.7085948678</v>
      </c>
      <c r="P8" s="47">
        <v>42.22008606265792</v>
      </c>
      <c r="Q8" s="47">
        <v>40.41960660680192</v>
      </c>
      <c r="R8" s="47">
        <v>38.25568008021312</v>
      </c>
      <c r="S8" s="47">
        <v>35.68688932400032</v>
      </c>
      <c r="T8" s="47">
        <v>32.6818764404</v>
      </c>
      <c r="U8" s="47">
        <v>29.219342792776313</v>
      </c>
      <c r="V8" s="47">
        <v>25.28804900562112</v>
      </c>
      <c r="W8" s="49">
        <v>0.1696</v>
      </c>
      <c r="X8" s="47">
        <v>0.2904</v>
      </c>
      <c r="Y8" s="47">
        <v>0.3128</v>
      </c>
      <c r="Z8" s="47">
        <v>0.332</v>
      </c>
      <c r="AA8" s="47">
        <v>0.3472</v>
      </c>
      <c r="AB8" s="47">
        <v>0.3584</v>
      </c>
      <c r="AC8" s="47">
        <v>0.3656</v>
      </c>
      <c r="AD8" s="47">
        <v>0.3696</v>
      </c>
      <c r="AE8" s="47">
        <v>0.3704</v>
      </c>
      <c r="AF8" s="47">
        <v>0.3664</v>
      </c>
      <c r="AG8" s="49">
        <v>1.024</v>
      </c>
      <c r="AH8" s="47">
        <v>1.035</v>
      </c>
      <c r="AI8" s="47">
        <v>1.033</v>
      </c>
      <c r="AJ8" s="47">
        <v>1.059</v>
      </c>
      <c r="AK8" s="47">
        <v>1.115</v>
      </c>
      <c r="AL8" s="47">
        <v>1.212</v>
      </c>
      <c r="AM8" s="47">
        <v>1.368</v>
      </c>
      <c r="AN8" s="47">
        <v>1.611</v>
      </c>
      <c r="AO8" s="47">
        <v>1.905</v>
      </c>
      <c r="AP8" s="47">
        <v>2.313</v>
      </c>
      <c r="AQ8" s="49">
        <v>0.0</v>
      </c>
      <c r="AR8" s="47">
        <v>34.2</v>
      </c>
      <c r="AS8" s="47">
        <v>40.49</v>
      </c>
      <c r="AT8" s="47">
        <v>44.19</v>
      </c>
      <c r="AU8" s="47">
        <v>46.64</v>
      </c>
      <c r="AV8" s="47">
        <v>47.81</v>
      </c>
      <c r="AW8" s="47">
        <v>47.59</v>
      </c>
      <c r="AX8" s="47">
        <v>45.83</v>
      </c>
      <c r="AY8" s="47">
        <v>42.26</v>
      </c>
      <c r="AZ8" s="47">
        <v>36.55</v>
      </c>
      <c r="BA8" s="50">
        <v>362.0</v>
      </c>
      <c r="BB8" s="51">
        <v>207.0</v>
      </c>
      <c r="BC8" s="51">
        <v>134.0</v>
      </c>
      <c r="BD8" s="51">
        <v>112.0</v>
      </c>
      <c r="BE8" s="51" t="s">
        <v>494</v>
      </c>
      <c r="BF8" s="51" t="s">
        <v>495</v>
      </c>
      <c r="BG8" s="51" t="s">
        <v>496</v>
      </c>
      <c r="BH8" s="51" t="s">
        <v>497</v>
      </c>
      <c r="BI8" s="51">
        <v>100.0</v>
      </c>
      <c r="BJ8" s="51">
        <v>150.0</v>
      </c>
      <c r="BK8" s="51">
        <v>250.0</v>
      </c>
      <c r="BL8" s="51">
        <v>180.0</v>
      </c>
      <c r="BM8" s="51">
        <v>210.0</v>
      </c>
      <c r="BN8" s="51">
        <v>75.0</v>
      </c>
      <c r="BO8" s="51">
        <v>30.0</v>
      </c>
      <c r="BP8" s="51" t="s">
        <v>498</v>
      </c>
      <c r="BQ8" s="51" t="s">
        <v>499</v>
      </c>
      <c r="BR8" s="52">
        <v>25.0</v>
      </c>
      <c r="BS8" s="53" t="s">
        <v>500</v>
      </c>
      <c r="BT8" s="53" t="s">
        <v>500</v>
      </c>
      <c r="BU8" s="52">
        <v>0.55</v>
      </c>
      <c r="BV8" s="47">
        <f>IFERROR(__xludf.DUMMYFUNCTION("IFERROR(INDEX(motors!E:E, MATCH(1, (motors!A:A=REGEXEXTRACT(A8,""^\S+""))*(motors!B:B=BU8), 0)), """")"),2.3)</f>
        <v>2.3</v>
      </c>
      <c r="BW8" s="47">
        <f>IFERROR(__xludf.DUMMYFUNCTION("IFERROR(INDEX(motors!F:F, MATCH(1, (motors!A:A=REGEXEXTRACT(A8,""^\S+""))*(motors!B:B=BU8), 0)), """")"),1.3)</f>
        <v>1.3</v>
      </c>
      <c r="BX8" s="51">
        <v>2.0</v>
      </c>
      <c r="BY8" s="52">
        <v>24.0</v>
      </c>
      <c r="BZ8" s="53" t="s">
        <v>513</v>
      </c>
      <c r="CA8" s="53" t="str">
        <f>IFERROR(__xludf.DUMMYFUNCTION("IFERROR(REGEXEXTRACT(BZ8, ""(?i)[A-Z]+-D-E-([^-]+)-E""), """")"),"HQQE")</f>
        <v>HQQE</v>
      </c>
    </row>
    <row r="9" ht="11.25" customHeight="1">
      <c r="A9" s="54" t="s">
        <v>514</v>
      </c>
      <c r="B9" s="55">
        <v>7.4111747E7</v>
      </c>
      <c r="C9" s="56">
        <v>0.0</v>
      </c>
      <c r="D9" s="56">
        <v>0.8</v>
      </c>
      <c r="E9" s="56">
        <v>1.0</v>
      </c>
      <c r="F9" s="56">
        <v>1.2</v>
      </c>
      <c r="G9" s="56">
        <v>1.4</v>
      </c>
      <c r="H9" s="56">
        <v>1.6</v>
      </c>
      <c r="I9" s="56">
        <v>1.8</v>
      </c>
      <c r="J9" s="56">
        <v>2.0</v>
      </c>
      <c r="K9" s="56">
        <v>2.2</v>
      </c>
      <c r="L9" s="56">
        <v>2.4</v>
      </c>
      <c r="M9" s="48">
        <v>53.9413550689</v>
      </c>
      <c r="N9" s="56">
        <v>50.61687311681066</v>
      </c>
      <c r="O9" s="56">
        <v>49.5007515599</v>
      </c>
      <c r="P9" s="56">
        <v>48.006749797167906</v>
      </c>
      <c r="Q9" s="56">
        <v>46.06349211523485</v>
      </c>
      <c r="R9" s="56">
        <v>43.639927828682914</v>
      </c>
      <c r="S9" s="56">
        <v>40.748904359762655</v>
      </c>
      <c r="T9" s="56">
        <v>37.4507403181</v>
      </c>
      <c r="U9" s="56">
        <v>33.4</v>
      </c>
      <c r="V9" s="56">
        <v>28.4</v>
      </c>
      <c r="W9" s="49">
        <v>0.1908</v>
      </c>
      <c r="X9" s="56">
        <v>0.3267</v>
      </c>
      <c r="Y9" s="56">
        <v>0.35190000000000005</v>
      </c>
      <c r="Z9" s="56">
        <v>0.3735</v>
      </c>
      <c r="AA9" s="56">
        <v>0.3906</v>
      </c>
      <c r="AB9" s="56">
        <v>0.4032</v>
      </c>
      <c r="AC9" s="56">
        <v>0.4113</v>
      </c>
      <c r="AD9" s="56">
        <v>0.4158</v>
      </c>
      <c r="AE9" s="56">
        <v>0.4167</v>
      </c>
      <c r="AF9" s="56">
        <v>0.4122</v>
      </c>
      <c r="AG9" s="49">
        <v>1.024</v>
      </c>
      <c r="AH9" s="56">
        <v>1.035</v>
      </c>
      <c r="AI9" s="56">
        <v>1.033</v>
      </c>
      <c r="AJ9" s="56">
        <v>1.059</v>
      </c>
      <c r="AK9" s="56">
        <v>1.115</v>
      </c>
      <c r="AL9" s="56">
        <v>1.212</v>
      </c>
      <c r="AM9" s="56">
        <v>1.368</v>
      </c>
      <c r="AN9" s="56">
        <v>1.611</v>
      </c>
      <c r="AO9" s="56">
        <v>1.905</v>
      </c>
      <c r="AP9" s="56">
        <v>2.313</v>
      </c>
      <c r="AQ9" s="49">
        <v>0.0</v>
      </c>
      <c r="AR9" s="56">
        <v>34.2</v>
      </c>
      <c r="AS9" s="56">
        <v>40.49</v>
      </c>
      <c r="AT9" s="56">
        <v>44.19</v>
      </c>
      <c r="AU9" s="56">
        <v>46.64</v>
      </c>
      <c r="AV9" s="56">
        <v>47.81</v>
      </c>
      <c r="AW9" s="56">
        <v>47.59</v>
      </c>
      <c r="AX9" s="56">
        <v>45.83</v>
      </c>
      <c r="AY9" s="56">
        <v>42.26</v>
      </c>
      <c r="AZ9" s="56">
        <v>36.55</v>
      </c>
      <c r="BA9" s="50">
        <v>380.0</v>
      </c>
      <c r="BB9" s="57">
        <v>207.0</v>
      </c>
      <c r="BC9" s="57">
        <v>134.0</v>
      </c>
      <c r="BD9" s="57">
        <v>112.0</v>
      </c>
      <c r="BE9" s="57" t="s">
        <v>494</v>
      </c>
      <c r="BF9" s="57" t="s">
        <v>495</v>
      </c>
      <c r="BG9" s="57" t="s">
        <v>496</v>
      </c>
      <c r="BH9" s="57" t="s">
        <v>497</v>
      </c>
      <c r="BI9" s="57">
        <v>100.0</v>
      </c>
      <c r="BJ9" s="57">
        <v>150.0</v>
      </c>
      <c r="BK9" s="57">
        <v>250.0</v>
      </c>
      <c r="BL9" s="57">
        <v>180.0</v>
      </c>
      <c r="BM9" s="57">
        <v>210.0</v>
      </c>
      <c r="BN9" s="57">
        <v>75.0</v>
      </c>
      <c r="BO9" s="57">
        <v>30.0</v>
      </c>
      <c r="BP9" s="57" t="s">
        <v>498</v>
      </c>
      <c r="BQ9" s="57" t="s">
        <v>499</v>
      </c>
      <c r="BR9" s="58">
        <v>25.0</v>
      </c>
      <c r="BS9" s="59" t="s">
        <v>500</v>
      </c>
      <c r="BT9" s="59" t="s">
        <v>500</v>
      </c>
      <c r="BU9" s="58">
        <v>0.55</v>
      </c>
      <c r="BV9" s="47">
        <f>IFERROR(__xludf.DUMMYFUNCTION("IFERROR(INDEX(motors!E:E, MATCH(1, (motors!A:A=REGEXEXTRACT(A9,""^\S+""))*(motors!B:B=BU9), 0)), """")"),2.3)</f>
        <v>2.3</v>
      </c>
      <c r="BW9" s="47">
        <f>IFERROR(__xludf.DUMMYFUNCTION("IFERROR(INDEX(motors!F:F, MATCH(1, (motors!A:A=REGEXEXTRACT(A9,""^\S+""))*(motors!B:B=BU9), 0)), """")"),1.3)</f>
        <v>1.3</v>
      </c>
      <c r="BX9" s="57">
        <v>2.0</v>
      </c>
      <c r="BY9" s="58">
        <v>24.0</v>
      </c>
      <c r="BZ9" s="59" t="s">
        <v>515</v>
      </c>
      <c r="CA9" s="53" t="str">
        <f>IFERROR(__xludf.DUMMYFUNCTION("IFERROR(REGEXEXTRACT(BZ9, ""(?i)[A-Z]+-D-E-([^-]+)-E""), """")"),"HQQE")</f>
        <v>HQQE</v>
      </c>
    </row>
    <row r="10" ht="11.25" customHeight="1">
      <c r="A10" s="45" t="s">
        <v>516</v>
      </c>
      <c r="B10" s="46">
        <v>7.4111748E7</v>
      </c>
      <c r="C10" s="47">
        <v>0.0</v>
      </c>
      <c r="D10" s="47">
        <v>0.8</v>
      </c>
      <c r="E10" s="47">
        <v>1.0</v>
      </c>
      <c r="F10" s="47">
        <v>1.2</v>
      </c>
      <c r="G10" s="47">
        <v>1.4</v>
      </c>
      <c r="H10" s="47">
        <v>1.6</v>
      </c>
      <c r="I10" s="47">
        <v>1.8</v>
      </c>
      <c r="J10" s="47">
        <v>2.0</v>
      </c>
      <c r="K10" s="47">
        <v>2.2</v>
      </c>
      <c r="L10" s="47">
        <v>2.4</v>
      </c>
      <c r="M10" s="48">
        <v>59.8932888686</v>
      </c>
      <c r="N10" s="47">
        <v>57.069126526381126</v>
      </c>
      <c r="O10" s="47">
        <v>55.878218279200006</v>
      </c>
      <c r="P10" s="47">
        <v>54.03634682681217</v>
      </c>
      <c r="Q10" s="47">
        <v>51.62289388818209</v>
      </c>
      <c r="R10" s="47">
        <v>48.74752811836002</v>
      </c>
      <c r="S10" s="47">
        <v>45.459173804520326</v>
      </c>
      <c r="T10" s="47">
        <v>41.65497956200005</v>
      </c>
      <c r="U10" s="47">
        <v>36.989287030337024</v>
      </c>
      <c r="V10" s="47">
        <v>31.5</v>
      </c>
      <c r="W10" s="49">
        <v>0.212</v>
      </c>
      <c r="X10" s="47">
        <v>0.363</v>
      </c>
      <c r="Y10" s="47">
        <v>0.391</v>
      </c>
      <c r="Z10" s="47">
        <v>0.41500000000000004</v>
      </c>
      <c r="AA10" s="47">
        <v>0.434</v>
      </c>
      <c r="AB10" s="47">
        <v>0.448</v>
      </c>
      <c r="AC10" s="47">
        <v>0.45699999999999996</v>
      </c>
      <c r="AD10" s="47">
        <v>0.46199999999999997</v>
      </c>
      <c r="AE10" s="47">
        <v>0.463</v>
      </c>
      <c r="AF10" s="47">
        <v>0.458</v>
      </c>
      <c r="AG10" s="49">
        <v>1.024</v>
      </c>
      <c r="AH10" s="47">
        <v>1.035</v>
      </c>
      <c r="AI10" s="47">
        <v>1.033</v>
      </c>
      <c r="AJ10" s="47">
        <v>1.059</v>
      </c>
      <c r="AK10" s="47">
        <v>1.115</v>
      </c>
      <c r="AL10" s="47">
        <v>1.212</v>
      </c>
      <c r="AM10" s="47">
        <v>1.368</v>
      </c>
      <c r="AN10" s="47">
        <v>1.611</v>
      </c>
      <c r="AO10" s="47">
        <v>1.905</v>
      </c>
      <c r="AP10" s="47">
        <v>2.313</v>
      </c>
      <c r="AQ10" s="49">
        <v>0.0</v>
      </c>
      <c r="AR10" s="47">
        <v>34.2</v>
      </c>
      <c r="AS10" s="47">
        <v>40.49</v>
      </c>
      <c r="AT10" s="47">
        <v>44.19</v>
      </c>
      <c r="AU10" s="47">
        <v>46.64</v>
      </c>
      <c r="AV10" s="47">
        <v>47.81</v>
      </c>
      <c r="AW10" s="47">
        <v>47.59</v>
      </c>
      <c r="AX10" s="47">
        <v>45.83</v>
      </c>
      <c r="AY10" s="47">
        <v>42.26</v>
      </c>
      <c r="AZ10" s="47">
        <v>36.55</v>
      </c>
      <c r="BA10" s="50">
        <v>398.0</v>
      </c>
      <c r="BB10" s="51">
        <v>207.0</v>
      </c>
      <c r="BC10" s="51">
        <v>134.0</v>
      </c>
      <c r="BD10" s="51">
        <v>112.0</v>
      </c>
      <c r="BE10" s="51" t="s">
        <v>494</v>
      </c>
      <c r="BF10" s="51" t="s">
        <v>495</v>
      </c>
      <c r="BG10" s="51" t="s">
        <v>496</v>
      </c>
      <c r="BH10" s="51" t="s">
        <v>497</v>
      </c>
      <c r="BI10" s="51">
        <v>100.0</v>
      </c>
      <c r="BJ10" s="51">
        <v>150.0</v>
      </c>
      <c r="BK10" s="51">
        <v>250.0</v>
      </c>
      <c r="BL10" s="51">
        <v>180.0</v>
      </c>
      <c r="BM10" s="51">
        <v>210.0</v>
      </c>
      <c r="BN10" s="51">
        <v>75.0</v>
      </c>
      <c r="BO10" s="51">
        <v>30.0</v>
      </c>
      <c r="BP10" s="51" t="s">
        <v>498</v>
      </c>
      <c r="BQ10" s="51" t="s">
        <v>499</v>
      </c>
      <c r="BR10" s="52">
        <v>25.0</v>
      </c>
      <c r="BS10" s="53" t="s">
        <v>500</v>
      </c>
      <c r="BT10" s="53" t="s">
        <v>500</v>
      </c>
      <c r="BU10" s="52">
        <v>0.55</v>
      </c>
      <c r="BV10" s="47">
        <f>IFERROR(__xludf.DUMMYFUNCTION("IFERROR(INDEX(motors!E:E, MATCH(1, (motors!A:A=REGEXEXTRACT(A10,""^\S+""))*(motors!B:B=BU10), 0)), """")"),2.3)</f>
        <v>2.3</v>
      </c>
      <c r="BW10" s="47">
        <f>IFERROR(__xludf.DUMMYFUNCTION("IFERROR(INDEX(motors!F:F, MATCH(1, (motors!A:A=REGEXEXTRACT(A10,""^\S+""))*(motors!B:B=BU10), 0)), """")"),1.3)</f>
        <v>1.3</v>
      </c>
      <c r="BX10" s="51">
        <v>2.0</v>
      </c>
      <c r="BY10" s="52">
        <v>25.0</v>
      </c>
      <c r="BZ10" s="53" t="s">
        <v>517</v>
      </c>
      <c r="CA10" s="53" t="str">
        <f>IFERROR(__xludf.DUMMYFUNCTION("IFERROR(REGEXEXTRACT(BZ10, ""(?i)[A-Z]+-D-E-([^-]+)-E""), """")"),"HQQE")</f>
        <v>HQQE</v>
      </c>
    </row>
    <row r="11" ht="11.25" customHeight="1">
      <c r="A11" s="54" t="s">
        <v>518</v>
      </c>
      <c r="B11" s="55">
        <v>7.4111749E7</v>
      </c>
      <c r="C11" s="56">
        <v>0.0</v>
      </c>
      <c r="D11" s="56">
        <v>0.8</v>
      </c>
      <c r="E11" s="56">
        <v>1.0</v>
      </c>
      <c r="F11" s="56">
        <v>1.2</v>
      </c>
      <c r="G11" s="56">
        <v>1.4</v>
      </c>
      <c r="H11" s="56">
        <v>1.6</v>
      </c>
      <c r="I11" s="56">
        <v>1.8</v>
      </c>
      <c r="J11" s="56">
        <v>2.0</v>
      </c>
      <c r="K11" s="56">
        <v>2.2</v>
      </c>
      <c r="L11" s="56">
        <v>2.4</v>
      </c>
      <c r="M11" s="48">
        <v>65.9433906625</v>
      </c>
      <c r="N11" s="56">
        <v>62.35358500328822</v>
      </c>
      <c r="O11" s="56">
        <v>60.750012712499995</v>
      </c>
      <c r="P11" s="56">
        <v>58.81097821331497</v>
      </c>
      <c r="Q11" s="56">
        <v>56.49025489390723</v>
      </c>
      <c r="R11" s="56">
        <v>53.68843319759836</v>
      </c>
      <c r="S11" s="56">
        <v>50.22672402619062</v>
      </c>
      <c r="T11" s="56">
        <v>45.8207621433</v>
      </c>
      <c r="U11" s="56">
        <v>40.15</v>
      </c>
      <c r="V11" s="56">
        <v>34.0</v>
      </c>
      <c r="W11" s="49">
        <v>0.2332</v>
      </c>
      <c r="X11" s="56">
        <v>0.3993</v>
      </c>
      <c r="Y11" s="56">
        <v>0.43010000000000004</v>
      </c>
      <c r="Z11" s="56">
        <v>0.4565</v>
      </c>
      <c r="AA11" s="56">
        <v>0.4774</v>
      </c>
      <c r="AB11" s="56">
        <v>0.4928</v>
      </c>
      <c r="AC11" s="56">
        <v>0.5026999999999999</v>
      </c>
      <c r="AD11" s="56">
        <v>0.5082</v>
      </c>
      <c r="AE11" s="56">
        <v>0.5093</v>
      </c>
      <c r="AF11" s="56">
        <v>0.5038</v>
      </c>
      <c r="AG11" s="49">
        <v>1.024</v>
      </c>
      <c r="AH11" s="56">
        <v>1.035</v>
      </c>
      <c r="AI11" s="56">
        <v>1.033</v>
      </c>
      <c r="AJ11" s="56">
        <v>1.059</v>
      </c>
      <c r="AK11" s="56">
        <v>1.115</v>
      </c>
      <c r="AL11" s="56">
        <v>1.212</v>
      </c>
      <c r="AM11" s="56">
        <v>1.368</v>
      </c>
      <c r="AN11" s="56">
        <v>1.611</v>
      </c>
      <c r="AO11" s="56">
        <v>1.905</v>
      </c>
      <c r="AP11" s="56">
        <v>2.313</v>
      </c>
      <c r="AQ11" s="49">
        <v>0.0</v>
      </c>
      <c r="AR11" s="56">
        <v>34.2</v>
      </c>
      <c r="AS11" s="56">
        <v>40.49</v>
      </c>
      <c r="AT11" s="56">
        <v>44.19</v>
      </c>
      <c r="AU11" s="56">
        <v>46.64</v>
      </c>
      <c r="AV11" s="56">
        <v>47.81</v>
      </c>
      <c r="AW11" s="56">
        <v>47.59</v>
      </c>
      <c r="AX11" s="56">
        <v>45.83</v>
      </c>
      <c r="AY11" s="56">
        <v>42.26</v>
      </c>
      <c r="AZ11" s="56">
        <v>36.55</v>
      </c>
      <c r="BA11" s="50">
        <v>416.0</v>
      </c>
      <c r="BB11" s="57">
        <v>207.0</v>
      </c>
      <c r="BC11" s="57">
        <v>134.0</v>
      </c>
      <c r="BD11" s="57">
        <v>112.0</v>
      </c>
      <c r="BE11" s="57" t="s">
        <v>494</v>
      </c>
      <c r="BF11" s="57" t="s">
        <v>495</v>
      </c>
      <c r="BG11" s="57" t="s">
        <v>496</v>
      </c>
      <c r="BH11" s="57" t="s">
        <v>497</v>
      </c>
      <c r="BI11" s="57">
        <v>100.0</v>
      </c>
      <c r="BJ11" s="57">
        <v>150.0</v>
      </c>
      <c r="BK11" s="57">
        <v>250.0</v>
      </c>
      <c r="BL11" s="57">
        <v>180.0</v>
      </c>
      <c r="BM11" s="57">
        <v>210.0</v>
      </c>
      <c r="BN11" s="57">
        <v>75.0</v>
      </c>
      <c r="BO11" s="57">
        <v>30.0</v>
      </c>
      <c r="BP11" s="57" t="s">
        <v>498</v>
      </c>
      <c r="BQ11" s="57" t="s">
        <v>499</v>
      </c>
      <c r="BR11" s="58">
        <v>25.0</v>
      </c>
      <c r="BS11" s="59" t="s">
        <v>500</v>
      </c>
      <c r="BT11" s="59" t="s">
        <v>500</v>
      </c>
      <c r="BU11" s="58">
        <v>0.55</v>
      </c>
      <c r="BV11" s="47">
        <f>IFERROR(__xludf.DUMMYFUNCTION("IFERROR(INDEX(motors!E:E, MATCH(1, (motors!A:A=REGEXEXTRACT(A11,""^\S+""))*(motors!B:B=BU11), 0)), """")"),2.3)</f>
        <v>2.3</v>
      </c>
      <c r="BW11" s="47">
        <f>IFERROR(__xludf.DUMMYFUNCTION("IFERROR(INDEX(motors!F:F, MATCH(1, (motors!A:A=REGEXEXTRACT(A11,""^\S+""))*(motors!B:B=BU11), 0)), """")"),1.3)</f>
        <v>1.3</v>
      </c>
      <c r="BX11" s="57">
        <v>2.0</v>
      </c>
      <c r="BY11" s="58">
        <v>25.0</v>
      </c>
      <c r="BZ11" s="59" t="s">
        <v>519</v>
      </c>
      <c r="CA11" s="53" t="str">
        <f>IFERROR(__xludf.DUMMYFUNCTION("IFERROR(REGEXEXTRACT(BZ11, ""(?i)[A-Z]+-D-E-([^-]+)-E""), """")"),"HQQE")</f>
        <v>HQQE</v>
      </c>
    </row>
    <row r="12" ht="11.25" customHeight="1">
      <c r="A12" s="45" t="s">
        <v>520</v>
      </c>
      <c r="B12" s="46">
        <v>7.411175E7</v>
      </c>
      <c r="C12" s="47">
        <v>0.0</v>
      </c>
      <c r="D12" s="47">
        <v>0.8</v>
      </c>
      <c r="E12" s="47">
        <v>1.0</v>
      </c>
      <c r="F12" s="47">
        <v>1.2</v>
      </c>
      <c r="G12" s="47">
        <v>1.4</v>
      </c>
      <c r="H12" s="47">
        <v>1.6</v>
      </c>
      <c r="I12" s="47">
        <v>1.8</v>
      </c>
      <c r="J12" s="47">
        <v>2.0</v>
      </c>
      <c r="K12" s="47">
        <v>2.2</v>
      </c>
      <c r="L12" s="47">
        <v>2.4</v>
      </c>
      <c r="M12" s="48">
        <v>71.9193687723</v>
      </c>
      <c r="N12" s="47">
        <v>67.74917392289585</v>
      </c>
      <c r="O12" s="47">
        <v>66.1690347034</v>
      </c>
      <c r="P12" s="47">
        <v>64.17633127987632</v>
      </c>
      <c r="Q12" s="47">
        <v>61.656649702735365</v>
      </c>
      <c r="R12" s="47">
        <v>58.4702283595384</v>
      </c>
      <c r="S12" s="47">
        <v>54.44170495321824</v>
      </c>
      <c r="T12" s="47">
        <v>49.3498634803</v>
      </c>
      <c r="U12" s="47">
        <v>43.6</v>
      </c>
      <c r="V12" s="47">
        <v>36.8</v>
      </c>
      <c r="W12" s="49">
        <v>0.2544</v>
      </c>
      <c r="X12" s="47">
        <v>0.4356</v>
      </c>
      <c r="Y12" s="47">
        <v>0.46920000000000006</v>
      </c>
      <c r="Z12" s="47">
        <v>0.498</v>
      </c>
      <c r="AA12" s="47">
        <v>0.5208</v>
      </c>
      <c r="AB12" s="47">
        <v>0.5376</v>
      </c>
      <c r="AC12" s="47">
        <v>0.5484</v>
      </c>
      <c r="AD12" s="47">
        <v>0.5544</v>
      </c>
      <c r="AE12" s="47">
        <v>0.5556</v>
      </c>
      <c r="AF12" s="47">
        <v>0.5496</v>
      </c>
      <c r="AG12" s="49">
        <v>1.024</v>
      </c>
      <c r="AH12" s="47">
        <v>1.035</v>
      </c>
      <c r="AI12" s="47">
        <v>1.033</v>
      </c>
      <c r="AJ12" s="47">
        <v>1.059</v>
      </c>
      <c r="AK12" s="47">
        <v>1.115</v>
      </c>
      <c r="AL12" s="47">
        <v>1.212</v>
      </c>
      <c r="AM12" s="47">
        <v>1.368</v>
      </c>
      <c r="AN12" s="47">
        <v>1.611</v>
      </c>
      <c r="AO12" s="47">
        <v>1.905</v>
      </c>
      <c r="AP12" s="47">
        <v>2.313</v>
      </c>
      <c r="AQ12" s="49">
        <v>0.0</v>
      </c>
      <c r="AR12" s="47">
        <v>34.2</v>
      </c>
      <c r="AS12" s="47">
        <v>40.49</v>
      </c>
      <c r="AT12" s="47">
        <v>44.19</v>
      </c>
      <c r="AU12" s="47">
        <v>46.64</v>
      </c>
      <c r="AV12" s="47">
        <v>47.81</v>
      </c>
      <c r="AW12" s="47">
        <v>47.59</v>
      </c>
      <c r="AX12" s="47">
        <v>45.83</v>
      </c>
      <c r="AY12" s="47">
        <v>42.26</v>
      </c>
      <c r="AZ12" s="47">
        <v>36.55</v>
      </c>
      <c r="BA12" s="50">
        <v>434.0</v>
      </c>
      <c r="BB12" s="51">
        <v>207.0</v>
      </c>
      <c r="BC12" s="51">
        <v>134.0</v>
      </c>
      <c r="BD12" s="51">
        <v>112.0</v>
      </c>
      <c r="BE12" s="51" t="s">
        <v>494</v>
      </c>
      <c r="BF12" s="51" t="s">
        <v>495</v>
      </c>
      <c r="BG12" s="51" t="s">
        <v>496</v>
      </c>
      <c r="BH12" s="51" t="s">
        <v>497</v>
      </c>
      <c r="BI12" s="51">
        <v>100.0</v>
      </c>
      <c r="BJ12" s="51">
        <v>150.0</v>
      </c>
      <c r="BK12" s="51">
        <v>250.0</v>
      </c>
      <c r="BL12" s="51">
        <v>180.0</v>
      </c>
      <c r="BM12" s="51">
        <v>210.0</v>
      </c>
      <c r="BN12" s="51">
        <v>75.0</v>
      </c>
      <c r="BO12" s="51">
        <v>30.0</v>
      </c>
      <c r="BP12" s="51" t="s">
        <v>498</v>
      </c>
      <c r="BQ12" s="51" t="s">
        <v>499</v>
      </c>
      <c r="BR12" s="52">
        <v>25.0</v>
      </c>
      <c r="BS12" s="53" t="s">
        <v>500</v>
      </c>
      <c r="BT12" s="53" t="s">
        <v>500</v>
      </c>
      <c r="BU12" s="52">
        <v>0.75</v>
      </c>
      <c r="BV12" s="47">
        <f>IFERROR(__xludf.DUMMYFUNCTION("IFERROR(INDEX(motors!E:E, MATCH(1, (motors!A:A=REGEXEXTRACT(A12,""^\S+""))*(motors!B:B=BU12), 0)), """")"),3.0)</f>
        <v>3</v>
      </c>
      <c r="BW12" s="47">
        <f>IFERROR(__xludf.DUMMYFUNCTION("IFERROR(INDEX(motors!F:F, MATCH(1, (motors!A:A=REGEXEXTRACT(A12,""^\S+""))*(motors!B:B=BU12), 0)), """")"),1.7)</f>
        <v>1.7</v>
      </c>
      <c r="BX12" s="51">
        <v>2.0</v>
      </c>
      <c r="BY12" s="52">
        <v>26.0</v>
      </c>
      <c r="BZ12" s="53" t="s">
        <v>521</v>
      </c>
      <c r="CA12" s="53" t="str">
        <f>IFERROR(__xludf.DUMMYFUNCTION("IFERROR(REGEXEXTRACT(BZ12, ""(?i)[A-Z]+-D-E-([^-]+)-E""), """")"),"HQQE")</f>
        <v>HQQE</v>
      </c>
    </row>
    <row r="13" ht="11.25" customHeight="1">
      <c r="A13" s="54" t="s">
        <v>522</v>
      </c>
      <c r="B13" s="55">
        <v>7.4111751E7</v>
      </c>
      <c r="C13" s="56">
        <v>0.0</v>
      </c>
      <c r="D13" s="56">
        <v>0.8</v>
      </c>
      <c r="E13" s="56">
        <v>1.0</v>
      </c>
      <c r="F13" s="56">
        <v>1.2</v>
      </c>
      <c r="G13" s="56">
        <v>1.4</v>
      </c>
      <c r="H13" s="56">
        <v>1.6</v>
      </c>
      <c r="I13" s="56">
        <v>1.8</v>
      </c>
      <c r="J13" s="56">
        <v>2.0</v>
      </c>
      <c r="K13" s="56">
        <v>2.2</v>
      </c>
      <c r="L13" s="56">
        <v>2.4</v>
      </c>
      <c r="M13" s="48">
        <v>77.1078255765</v>
      </c>
      <c r="N13" s="56">
        <v>73.5</v>
      </c>
      <c r="O13" s="56">
        <v>71.6</v>
      </c>
      <c r="P13" s="56">
        <v>69.24906756546136</v>
      </c>
      <c r="Q13" s="56">
        <v>66.13661415422001</v>
      </c>
      <c r="R13" s="56">
        <v>62.742687480634956</v>
      </c>
      <c r="S13" s="56">
        <v>58.95840370393597</v>
      </c>
      <c r="T13" s="56">
        <v>54.0</v>
      </c>
      <c r="U13" s="56">
        <v>47.5</v>
      </c>
      <c r="V13" s="56">
        <v>40.0</v>
      </c>
      <c r="W13" s="49">
        <v>0.2756</v>
      </c>
      <c r="X13" s="56">
        <v>0.4719</v>
      </c>
      <c r="Y13" s="56">
        <v>0.5083000000000001</v>
      </c>
      <c r="Z13" s="56">
        <v>0.5395</v>
      </c>
      <c r="AA13" s="56">
        <v>0.5642</v>
      </c>
      <c r="AB13" s="56">
        <v>0.5824</v>
      </c>
      <c r="AC13" s="56">
        <v>0.5941</v>
      </c>
      <c r="AD13" s="56">
        <v>0.6006</v>
      </c>
      <c r="AE13" s="56">
        <v>0.6019</v>
      </c>
      <c r="AF13" s="56">
        <v>0.5954</v>
      </c>
      <c r="AG13" s="49">
        <v>1.024</v>
      </c>
      <c r="AH13" s="56">
        <v>1.035</v>
      </c>
      <c r="AI13" s="56">
        <v>1.033</v>
      </c>
      <c r="AJ13" s="56">
        <v>1.059</v>
      </c>
      <c r="AK13" s="56">
        <v>1.115</v>
      </c>
      <c r="AL13" s="56">
        <v>1.212</v>
      </c>
      <c r="AM13" s="56">
        <v>1.368</v>
      </c>
      <c r="AN13" s="56">
        <v>1.611</v>
      </c>
      <c r="AO13" s="56">
        <v>1.905</v>
      </c>
      <c r="AP13" s="56">
        <v>2.313</v>
      </c>
      <c r="AQ13" s="49">
        <v>0.0</v>
      </c>
      <c r="AR13" s="56">
        <v>34.2</v>
      </c>
      <c r="AS13" s="56">
        <v>40.49</v>
      </c>
      <c r="AT13" s="56">
        <v>44.19</v>
      </c>
      <c r="AU13" s="56">
        <v>46.64</v>
      </c>
      <c r="AV13" s="56">
        <v>47.81</v>
      </c>
      <c r="AW13" s="56">
        <v>47.59</v>
      </c>
      <c r="AX13" s="56">
        <v>45.83</v>
      </c>
      <c r="AY13" s="56">
        <v>42.26</v>
      </c>
      <c r="AZ13" s="56">
        <v>36.55</v>
      </c>
      <c r="BA13" s="50">
        <v>452.0</v>
      </c>
      <c r="BB13" s="57">
        <v>207.0</v>
      </c>
      <c r="BC13" s="57">
        <v>134.0</v>
      </c>
      <c r="BD13" s="57">
        <v>112.0</v>
      </c>
      <c r="BE13" s="57" t="s">
        <v>494</v>
      </c>
      <c r="BF13" s="57" t="s">
        <v>495</v>
      </c>
      <c r="BG13" s="57" t="s">
        <v>496</v>
      </c>
      <c r="BH13" s="57" t="s">
        <v>497</v>
      </c>
      <c r="BI13" s="57">
        <v>100.0</v>
      </c>
      <c r="BJ13" s="57">
        <v>150.0</v>
      </c>
      <c r="BK13" s="57">
        <v>250.0</v>
      </c>
      <c r="BL13" s="57">
        <v>180.0</v>
      </c>
      <c r="BM13" s="57">
        <v>210.0</v>
      </c>
      <c r="BN13" s="57">
        <v>75.0</v>
      </c>
      <c r="BO13" s="57">
        <v>30.0</v>
      </c>
      <c r="BP13" s="57" t="s">
        <v>498</v>
      </c>
      <c r="BQ13" s="57" t="s">
        <v>499</v>
      </c>
      <c r="BR13" s="58">
        <v>25.0</v>
      </c>
      <c r="BS13" s="59" t="s">
        <v>500</v>
      </c>
      <c r="BT13" s="59" t="s">
        <v>500</v>
      </c>
      <c r="BU13" s="58">
        <v>0.75</v>
      </c>
      <c r="BV13" s="47">
        <f>IFERROR(__xludf.DUMMYFUNCTION("IFERROR(INDEX(motors!E:E, MATCH(1, (motors!A:A=REGEXEXTRACT(A13,""^\S+""))*(motors!B:B=BU13), 0)), """")"),3.0)</f>
        <v>3</v>
      </c>
      <c r="BW13" s="47">
        <f>IFERROR(__xludf.DUMMYFUNCTION("IFERROR(INDEX(motors!F:F, MATCH(1, (motors!A:A=REGEXEXTRACT(A13,""^\S+""))*(motors!B:B=BU13), 0)), """")"),1.7)</f>
        <v>1.7</v>
      </c>
      <c r="BX13" s="57">
        <v>2.0</v>
      </c>
      <c r="BY13" s="58">
        <v>26.0</v>
      </c>
      <c r="BZ13" s="59" t="s">
        <v>523</v>
      </c>
      <c r="CA13" s="53" t="str">
        <f>IFERROR(__xludf.DUMMYFUNCTION("IFERROR(REGEXEXTRACT(BZ13, ""(?i)[A-Z]+-D-E-([^-]+)-E""), """")"),"HQQE")</f>
        <v>HQQE</v>
      </c>
    </row>
    <row r="14" ht="11.25" customHeight="1">
      <c r="A14" s="45" t="s">
        <v>524</v>
      </c>
      <c r="B14" s="46">
        <v>7.4111752E7</v>
      </c>
      <c r="C14" s="47">
        <v>0.0</v>
      </c>
      <c r="D14" s="47">
        <v>0.8</v>
      </c>
      <c r="E14" s="47">
        <v>1.0</v>
      </c>
      <c r="F14" s="47">
        <v>1.2</v>
      </c>
      <c r="G14" s="47">
        <v>1.4</v>
      </c>
      <c r="H14" s="47">
        <v>1.6</v>
      </c>
      <c r="I14" s="47">
        <v>1.8</v>
      </c>
      <c r="J14" s="47">
        <v>2.0</v>
      </c>
      <c r="K14" s="47">
        <v>2.2</v>
      </c>
      <c r="L14" s="47">
        <v>2.4</v>
      </c>
      <c r="M14" s="48">
        <v>88.7549764711</v>
      </c>
      <c r="N14" s="47">
        <v>85.42593030267017</v>
      </c>
      <c r="O14" s="47">
        <v>83.2</v>
      </c>
      <c r="P14" s="47">
        <v>80.44795101571732</v>
      </c>
      <c r="Q14" s="47">
        <v>76.80296467915646</v>
      </c>
      <c r="R14" s="47">
        <v>72.63971609172388</v>
      </c>
      <c r="S14" s="47">
        <v>67.83875746567661</v>
      </c>
      <c r="T14" s="47">
        <v>61.7746714235</v>
      </c>
      <c r="U14" s="47">
        <v>53.8</v>
      </c>
      <c r="V14" s="47">
        <v>45.0</v>
      </c>
      <c r="W14" s="49">
        <v>0.318</v>
      </c>
      <c r="X14" s="47">
        <v>0.5445</v>
      </c>
      <c r="Y14" s="47">
        <v>0.5865</v>
      </c>
      <c r="Z14" s="47">
        <v>0.6225</v>
      </c>
      <c r="AA14" s="47">
        <v>0.651</v>
      </c>
      <c r="AB14" s="47">
        <v>0.672</v>
      </c>
      <c r="AC14" s="47">
        <v>0.6855</v>
      </c>
      <c r="AD14" s="47">
        <v>0.693</v>
      </c>
      <c r="AE14" s="47">
        <v>0.6945</v>
      </c>
      <c r="AF14" s="47">
        <v>0.687</v>
      </c>
      <c r="AG14" s="49">
        <v>1.024</v>
      </c>
      <c r="AH14" s="47">
        <v>1.035</v>
      </c>
      <c r="AI14" s="47">
        <v>1.033</v>
      </c>
      <c r="AJ14" s="47">
        <v>1.059</v>
      </c>
      <c r="AK14" s="47">
        <v>1.115</v>
      </c>
      <c r="AL14" s="47">
        <v>1.212</v>
      </c>
      <c r="AM14" s="47">
        <v>1.368</v>
      </c>
      <c r="AN14" s="47">
        <v>1.611</v>
      </c>
      <c r="AO14" s="47">
        <v>1.905</v>
      </c>
      <c r="AP14" s="47">
        <v>2.313</v>
      </c>
      <c r="AQ14" s="49">
        <v>0.0</v>
      </c>
      <c r="AR14" s="47">
        <v>34.2</v>
      </c>
      <c r="AS14" s="47">
        <v>40.49</v>
      </c>
      <c r="AT14" s="47">
        <v>44.19</v>
      </c>
      <c r="AU14" s="47">
        <v>46.64</v>
      </c>
      <c r="AV14" s="47">
        <v>47.81</v>
      </c>
      <c r="AW14" s="47">
        <v>47.59</v>
      </c>
      <c r="AX14" s="47">
        <v>45.83</v>
      </c>
      <c r="AY14" s="47">
        <v>42.26</v>
      </c>
      <c r="AZ14" s="47">
        <v>36.55</v>
      </c>
      <c r="BA14" s="50">
        <v>488.0</v>
      </c>
      <c r="BB14" s="51">
        <v>207.0</v>
      </c>
      <c r="BC14" s="51">
        <v>134.0</v>
      </c>
      <c r="BD14" s="51">
        <v>112.0</v>
      </c>
      <c r="BE14" s="51" t="s">
        <v>494</v>
      </c>
      <c r="BF14" s="51" t="s">
        <v>495</v>
      </c>
      <c r="BG14" s="51" t="s">
        <v>496</v>
      </c>
      <c r="BH14" s="51" t="s">
        <v>497</v>
      </c>
      <c r="BI14" s="51">
        <v>100.0</v>
      </c>
      <c r="BJ14" s="51">
        <v>150.0</v>
      </c>
      <c r="BK14" s="51">
        <v>250.0</v>
      </c>
      <c r="BL14" s="51">
        <v>180.0</v>
      </c>
      <c r="BM14" s="51">
        <v>210.0</v>
      </c>
      <c r="BN14" s="51">
        <v>75.0</v>
      </c>
      <c r="BO14" s="51">
        <v>30.0</v>
      </c>
      <c r="BP14" s="51" t="s">
        <v>498</v>
      </c>
      <c r="BQ14" s="51" t="s">
        <v>499</v>
      </c>
      <c r="BR14" s="52">
        <v>25.0</v>
      </c>
      <c r="BS14" s="53" t="s">
        <v>500</v>
      </c>
      <c r="BT14" s="53" t="s">
        <v>500</v>
      </c>
      <c r="BU14" s="52">
        <v>0.75</v>
      </c>
      <c r="BV14" s="47">
        <f>IFERROR(__xludf.DUMMYFUNCTION("IFERROR(INDEX(motors!E:E, MATCH(1, (motors!A:A=REGEXEXTRACT(A14,""^\S+""))*(motors!B:B=BU14), 0)), """")"),3.0)</f>
        <v>3</v>
      </c>
      <c r="BW14" s="47">
        <f>IFERROR(__xludf.DUMMYFUNCTION("IFERROR(INDEX(motors!F:F, MATCH(1, (motors!A:A=REGEXEXTRACT(A14,""^\S+""))*(motors!B:B=BU14), 0)), """")"),1.7)</f>
        <v>1.7</v>
      </c>
      <c r="BX14" s="51">
        <v>2.0</v>
      </c>
      <c r="BY14" s="52">
        <v>27.0</v>
      </c>
      <c r="BZ14" s="53" t="s">
        <v>525</v>
      </c>
      <c r="CA14" s="53" t="str">
        <f>IFERROR(__xludf.DUMMYFUNCTION("IFERROR(REGEXEXTRACT(BZ14, ""(?i)[A-Z]+-D-E-([^-]+)-E""), """")"),"HQQE")</f>
        <v>HQQE</v>
      </c>
    </row>
    <row r="15" ht="11.25" customHeight="1">
      <c r="A15" s="54" t="s">
        <v>526</v>
      </c>
      <c r="B15" s="55">
        <v>7.4111753E7</v>
      </c>
      <c r="C15" s="56">
        <v>0.0</v>
      </c>
      <c r="D15" s="56">
        <v>0.8</v>
      </c>
      <c r="E15" s="56">
        <v>1.0</v>
      </c>
      <c r="F15" s="56">
        <v>1.2</v>
      </c>
      <c r="G15" s="56">
        <v>1.4</v>
      </c>
      <c r="H15" s="56">
        <v>1.6</v>
      </c>
      <c r="I15" s="56">
        <v>1.8</v>
      </c>
      <c r="J15" s="56">
        <v>2.0</v>
      </c>
      <c r="K15" s="56">
        <v>2.2</v>
      </c>
      <c r="L15" s="56">
        <v>2.4</v>
      </c>
      <c r="M15" s="48">
        <v>101.155254559</v>
      </c>
      <c r="N15" s="56">
        <v>96.91747738982471</v>
      </c>
      <c r="O15" s="56">
        <v>94.53404505980001</v>
      </c>
      <c r="P15" s="56">
        <v>91.12689507632376</v>
      </c>
      <c r="Q15" s="56">
        <v>86.9275028575378</v>
      </c>
      <c r="R15" s="56">
        <v>82.07871768665395</v>
      </c>
      <c r="S15" s="56">
        <v>76.40846543572232</v>
      </c>
      <c r="T15" s="56">
        <v>69.2034512894</v>
      </c>
      <c r="U15" s="56">
        <v>59.8</v>
      </c>
      <c r="V15" s="56">
        <v>49.2</v>
      </c>
      <c r="W15" s="49">
        <v>0.3604</v>
      </c>
      <c r="X15" s="56">
        <v>0.6171</v>
      </c>
      <c r="Y15" s="56">
        <v>0.6647000000000001</v>
      </c>
      <c r="Z15" s="56">
        <v>0.7055</v>
      </c>
      <c r="AA15" s="56">
        <v>0.7378</v>
      </c>
      <c r="AB15" s="56">
        <v>0.7615999999999999</v>
      </c>
      <c r="AC15" s="56">
        <v>0.7768999999999999</v>
      </c>
      <c r="AD15" s="56">
        <v>0.7854</v>
      </c>
      <c r="AE15" s="56">
        <v>0.7871</v>
      </c>
      <c r="AF15" s="56">
        <v>0.7786</v>
      </c>
      <c r="AG15" s="49">
        <v>1.024</v>
      </c>
      <c r="AH15" s="56">
        <v>1.035</v>
      </c>
      <c r="AI15" s="56">
        <v>1.033</v>
      </c>
      <c r="AJ15" s="56">
        <v>1.059</v>
      </c>
      <c r="AK15" s="56">
        <v>1.115</v>
      </c>
      <c r="AL15" s="56">
        <v>1.212</v>
      </c>
      <c r="AM15" s="56">
        <v>1.368</v>
      </c>
      <c r="AN15" s="56">
        <v>1.611</v>
      </c>
      <c r="AO15" s="56">
        <v>1.905</v>
      </c>
      <c r="AP15" s="56">
        <v>2.313</v>
      </c>
      <c r="AQ15" s="49">
        <v>0.0</v>
      </c>
      <c r="AR15" s="56">
        <v>34.2</v>
      </c>
      <c r="AS15" s="56">
        <v>40.49</v>
      </c>
      <c r="AT15" s="56">
        <v>44.19</v>
      </c>
      <c r="AU15" s="56">
        <v>46.64</v>
      </c>
      <c r="AV15" s="56">
        <v>47.81</v>
      </c>
      <c r="AW15" s="56">
        <v>47.59</v>
      </c>
      <c r="AX15" s="56">
        <v>45.83</v>
      </c>
      <c r="AY15" s="56">
        <v>42.26</v>
      </c>
      <c r="AZ15" s="56">
        <v>36.55</v>
      </c>
      <c r="BA15" s="50">
        <v>534.0</v>
      </c>
      <c r="BB15" s="57">
        <v>240.0</v>
      </c>
      <c r="BC15" s="57">
        <v>150.0</v>
      </c>
      <c r="BD15" s="57">
        <v>118.0</v>
      </c>
      <c r="BE15" s="57" t="s">
        <v>494</v>
      </c>
      <c r="BF15" s="57" t="s">
        <v>495</v>
      </c>
      <c r="BG15" s="57" t="s">
        <v>496</v>
      </c>
      <c r="BH15" s="57" t="s">
        <v>497</v>
      </c>
      <c r="BI15" s="57">
        <v>100.0</v>
      </c>
      <c r="BJ15" s="57">
        <v>150.0</v>
      </c>
      <c r="BK15" s="57">
        <v>250.0</v>
      </c>
      <c r="BL15" s="57">
        <v>180.0</v>
      </c>
      <c r="BM15" s="57">
        <v>210.0</v>
      </c>
      <c r="BN15" s="57">
        <v>75.0</v>
      </c>
      <c r="BO15" s="57">
        <v>30.0</v>
      </c>
      <c r="BP15" s="57" t="s">
        <v>498</v>
      </c>
      <c r="BQ15" s="57" t="s">
        <v>499</v>
      </c>
      <c r="BR15" s="58">
        <v>25.0</v>
      </c>
      <c r="BS15" s="59" t="s">
        <v>500</v>
      </c>
      <c r="BT15" s="59" t="s">
        <v>500</v>
      </c>
      <c r="BU15" s="58">
        <v>1.1</v>
      </c>
      <c r="BV15" s="47">
        <f>IFERROR(__xludf.DUMMYFUNCTION("IFERROR(INDEX(motors!E:E, MATCH(1, (motors!A:A=REGEXEXTRACT(A15,""^\S+""))*(motors!B:B=BU15), 0)), """")"),4.2)</f>
        <v>4.2</v>
      </c>
      <c r="BW15" s="47">
        <f>IFERROR(__xludf.DUMMYFUNCTION("IFERROR(INDEX(motors!F:F, MATCH(1, (motors!A:A=REGEXEXTRACT(A15,""^\S+""))*(motors!B:B=BU15), 0)), """")"),2.4)</f>
        <v>2.4</v>
      </c>
      <c r="BX15" s="57">
        <v>2.0</v>
      </c>
      <c r="BY15" s="58">
        <v>28.0</v>
      </c>
      <c r="BZ15" s="59" t="s">
        <v>527</v>
      </c>
      <c r="CA15" s="53" t="str">
        <f>IFERROR(__xludf.DUMMYFUNCTION("IFERROR(REGEXEXTRACT(BZ15, ""(?i)[A-Z]+-D-E-([^-]+)-E""), """")"),"HQQE")</f>
        <v>HQQE</v>
      </c>
    </row>
    <row r="16" ht="11.25" customHeight="1">
      <c r="A16" s="45" t="s">
        <v>528</v>
      </c>
      <c r="B16" s="46">
        <v>7.4111754E7</v>
      </c>
      <c r="C16" s="47">
        <v>0.0</v>
      </c>
      <c r="D16" s="47">
        <v>0.8</v>
      </c>
      <c r="E16" s="47">
        <v>1.0</v>
      </c>
      <c r="F16" s="47">
        <v>1.2</v>
      </c>
      <c r="G16" s="47">
        <v>1.4</v>
      </c>
      <c r="H16" s="47">
        <v>1.6</v>
      </c>
      <c r="I16" s="47">
        <v>1.8</v>
      </c>
      <c r="J16" s="47">
        <v>2.0</v>
      </c>
      <c r="K16" s="47">
        <v>2.2</v>
      </c>
      <c r="L16" s="47">
        <v>2.4</v>
      </c>
      <c r="M16" s="48">
        <v>113.2816908098</v>
      </c>
      <c r="N16" s="47">
        <v>108.13316694325127</v>
      </c>
      <c r="O16" s="47">
        <v>105.2902813943</v>
      </c>
      <c r="P16" s="47">
        <v>101.34546892824953</v>
      </c>
      <c r="Q16" s="47">
        <v>96.69794071770434</v>
      </c>
      <c r="R16" s="47">
        <v>91.57597076597487</v>
      </c>
      <c r="S16" s="47">
        <v>85.1</v>
      </c>
      <c r="T16" s="47">
        <v>77.1</v>
      </c>
      <c r="U16" s="47">
        <v>66.5</v>
      </c>
      <c r="V16" s="47">
        <v>53.6</v>
      </c>
      <c r="W16" s="49">
        <v>0.4028</v>
      </c>
      <c r="X16" s="47">
        <v>0.6897</v>
      </c>
      <c r="Y16" s="47">
        <v>0.7429</v>
      </c>
      <c r="Z16" s="47">
        <v>0.7885000000000001</v>
      </c>
      <c r="AA16" s="47">
        <v>0.8246</v>
      </c>
      <c r="AB16" s="47">
        <v>0.8512</v>
      </c>
      <c r="AC16" s="47">
        <v>0.8683</v>
      </c>
      <c r="AD16" s="47">
        <v>0.8777999999999999</v>
      </c>
      <c r="AE16" s="47">
        <v>0.8797</v>
      </c>
      <c r="AF16" s="47">
        <v>0.8702</v>
      </c>
      <c r="AG16" s="49">
        <v>1.024</v>
      </c>
      <c r="AH16" s="47">
        <v>1.035</v>
      </c>
      <c r="AI16" s="47">
        <v>1.033</v>
      </c>
      <c r="AJ16" s="47">
        <v>1.059</v>
      </c>
      <c r="AK16" s="47">
        <v>1.115</v>
      </c>
      <c r="AL16" s="47">
        <v>1.212</v>
      </c>
      <c r="AM16" s="47">
        <v>1.368</v>
      </c>
      <c r="AN16" s="47">
        <v>1.611</v>
      </c>
      <c r="AO16" s="47">
        <v>1.905</v>
      </c>
      <c r="AP16" s="47">
        <v>2.313</v>
      </c>
      <c r="AQ16" s="49">
        <v>0.0</v>
      </c>
      <c r="AR16" s="47">
        <v>34.2</v>
      </c>
      <c r="AS16" s="47">
        <v>40.49</v>
      </c>
      <c r="AT16" s="47">
        <v>44.19</v>
      </c>
      <c r="AU16" s="47">
        <v>46.64</v>
      </c>
      <c r="AV16" s="47">
        <v>47.81</v>
      </c>
      <c r="AW16" s="47">
        <v>47.59</v>
      </c>
      <c r="AX16" s="47">
        <v>45.83</v>
      </c>
      <c r="AY16" s="47">
        <v>42.26</v>
      </c>
      <c r="AZ16" s="47">
        <v>36.55</v>
      </c>
      <c r="BA16" s="50">
        <v>570.0</v>
      </c>
      <c r="BB16" s="51">
        <v>240.0</v>
      </c>
      <c r="BC16" s="51">
        <v>150.0</v>
      </c>
      <c r="BD16" s="51">
        <v>118.0</v>
      </c>
      <c r="BE16" s="51" t="s">
        <v>494</v>
      </c>
      <c r="BF16" s="51" t="s">
        <v>495</v>
      </c>
      <c r="BG16" s="51" t="s">
        <v>496</v>
      </c>
      <c r="BH16" s="51" t="s">
        <v>497</v>
      </c>
      <c r="BI16" s="51">
        <v>100.0</v>
      </c>
      <c r="BJ16" s="51">
        <v>150.0</v>
      </c>
      <c r="BK16" s="51">
        <v>250.0</v>
      </c>
      <c r="BL16" s="51">
        <v>180.0</v>
      </c>
      <c r="BM16" s="51">
        <v>210.0</v>
      </c>
      <c r="BN16" s="51">
        <v>75.0</v>
      </c>
      <c r="BO16" s="51">
        <v>30.0</v>
      </c>
      <c r="BP16" s="51" t="s">
        <v>498</v>
      </c>
      <c r="BQ16" s="51" t="s">
        <v>499</v>
      </c>
      <c r="BR16" s="52">
        <v>25.0</v>
      </c>
      <c r="BS16" s="53" t="s">
        <v>500</v>
      </c>
      <c r="BT16" s="53" t="s">
        <v>500</v>
      </c>
      <c r="BU16" s="52">
        <v>1.1</v>
      </c>
      <c r="BV16" s="47">
        <f>IFERROR(__xludf.DUMMYFUNCTION("IFERROR(INDEX(motors!E:E, MATCH(1, (motors!A:A=REGEXEXTRACT(A16,""^\S+""))*(motors!B:B=BU16), 0)), """")"),4.2)</f>
        <v>4.2</v>
      </c>
      <c r="BW16" s="47">
        <f>IFERROR(__xludf.DUMMYFUNCTION("IFERROR(INDEX(motors!F:F, MATCH(1, (motors!A:A=REGEXEXTRACT(A16,""^\S+""))*(motors!B:B=BU16), 0)), """")"),2.4)</f>
        <v>2.4</v>
      </c>
      <c r="BX16" s="51">
        <v>2.0</v>
      </c>
      <c r="BY16" s="52">
        <v>29.0</v>
      </c>
      <c r="BZ16" s="53" t="s">
        <v>529</v>
      </c>
      <c r="CA16" s="53" t="str">
        <f>IFERROR(__xludf.DUMMYFUNCTION("IFERROR(REGEXEXTRACT(BZ16, ""(?i)[A-Z]+-D-E-([^-]+)-E""), """")"),"HQQE")</f>
        <v>HQQE</v>
      </c>
    </row>
    <row r="17" ht="11.25" customHeight="1">
      <c r="A17" s="54" t="s">
        <v>530</v>
      </c>
      <c r="B17" s="55">
        <v>7.4111755E7</v>
      </c>
      <c r="C17" s="56">
        <v>0.0</v>
      </c>
      <c r="D17" s="56">
        <v>0.8</v>
      </c>
      <c r="E17" s="56">
        <v>1.0</v>
      </c>
      <c r="F17" s="56">
        <v>1.2</v>
      </c>
      <c r="G17" s="56">
        <v>1.4</v>
      </c>
      <c r="H17" s="56">
        <v>1.6</v>
      </c>
      <c r="I17" s="56">
        <v>1.8</v>
      </c>
      <c r="J17" s="56">
        <v>2.0</v>
      </c>
      <c r="K17" s="56">
        <v>2.2</v>
      </c>
      <c r="L17" s="56">
        <v>2.4</v>
      </c>
      <c r="M17" s="48">
        <v>125.0764749691</v>
      </c>
      <c r="N17" s="56">
        <v>119.12035598441841</v>
      </c>
      <c r="O17" s="56">
        <v>116.1813759194</v>
      </c>
      <c r="P17" s="56">
        <v>112.18719616627985</v>
      </c>
      <c r="Q17" s="56">
        <v>107.32915714427936</v>
      </c>
      <c r="R17" s="56">
        <v>101.6567882559493</v>
      </c>
      <c r="S17" s="56">
        <v>94.835979501928</v>
      </c>
      <c r="T17" s="56">
        <v>85.5</v>
      </c>
      <c r="U17" s="56">
        <v>73.2</v>
      </c>
      <c r="V17" s="56">
        <v>58.7</v>
      </c>
      <c r="W17" s="49">
        <v>0.4452</v>
      </c>
      <c r="X17" s="56">
        <v>0.7623</v>
      </c>
      <c r="Y17" s="56">
        <v>0.8211</v>
      </c>
      <c r="Z17" s="56">
        <v>0.8715</v>
      </c>
      <c r="AA17" s="56">
        <v>0.9114</v>
      </c>
      <c r="AB17" s="56">
        <v>0.9408</v>
      </c>
      <c r="AC17" s="56">
        <v>0.9597</v>
      </c>
      <c r="AD17" s="56">
        <v>0.9702</v>
      </c>
      <c r="AE17" s="56">
        <v>0.9723</v>
      </c>
      <c r="AF17" s="56">
        <v>0.9618</v>
      </c>
      <c r="AG17" s="49">
        <v>1.024</v>
      </c>
      <c r="AH17" s="56">
        <v>1.035</v>
      </c>
      <c r="AI17" s="56">
        <v>1.033</v>
      </c>
      <c r="AJ17" s="56">
        <v>1.059</v>
      </c>
      <c r="AK17" s="56">
        <v>1.115</v>
      </c>
      <c r="AL17" s="56">
        <v>1.212</v>
      </c>
      <c r="AM17" s="56">
        <v>1.368</v>
      </c>
      <c r="AN17" s="56">
        <v>1.611</v>
      </c>
      <c r="AO17" s="56">
        <v>1.905</v>
      </c>
      <c r="AP17" s="56">
        <v>2.313</v>
      </c>
      <c r="AQ17" s="49">
        <v>0.0</v>
      </c>
      <c r="AR17" s="56">
        <v>34.2</v>
      </c>
      <c r="AS17" s="56">
        <v>40.49</v>
      </c>
      <c r="AT17" s="56">
        <v>44.19</v>
      </c>
      <c r="AU17" s="56">
        <v>46.64</v>
      </c>
      <c r="AV17" s="56">
        <v>47.81</v>
      </c>
      <c r="AW17" s="56">
        <v>47.59</v>
      </c>
      <c r="AX17" s="56">
        <v>45.83</v>
      </c>
      <c r="AY17" s="56">
        <v>42.26</v>
      </c>
      <c r="AZ17" s="56">
        <v>36.55</v>
      </c>
      <c r="BA17" s="50">
        <v>606.0</v>
      </c>
      <c r="BB17" s="57">
        <v>240.0</v>
      </c>
      <c r="BC17" s="57">
        <v>150.0</v>
      </c>
      <c r="BD17" s="57">
        <v>118.0</v>
      </c>
      <c r="BE17" s="57" t="s">
        <v>494</v>
      </c>
      <c r="BF17" s="57" t="s">
        <v>495</v>
      </c>
      <c r="BG17" s="57" t="s">
        <v>496</v>
      </c>
      <c r="BH17" s="57" t="s">
        <v>497</v>
      </c>
      <c r="BI17" s="57">
        <v>100.0</v>
      </c>
      <c r="BJ17" s="57">
        <v>150.0</v>
      </c>
      <c r="BK17" s="57">
        <v>250.0</v>
      </c>
      <c r="BL17" s="57">
        <v>180.0</v>
      </c>
      <c r="BM17" s="57">
        <v>210.0</v>
      </c>
      <c r="BN17" s="57">
        <v>75.0</v>
      </c>
      <c r="BO17" s="57">
        <v>30.0</v>
      </c>
      <c r="BP17" s="57" t="s">
        <v>498</v>
      </c>
      <c r="BQ17" s="57" t="s">
        <v>499</v>
      </c>
      <c r="BR17" s="58">
        <v>25.0</v>
      </c>
      <c r="BS17" s="59" t="s">
        <v>500</v>
      </c>
      <c r="BT17" s="59" t="s">
        <v>500</v>
      </c>
      <c r="BU17" s="58">
        <v>1.1</v>
      </c>
      <c r="BV17" s="47">
        <f>IFERROR(__xludf.DUMMYFUNCTION("IFERROR(INDEX(motors!E:E, MATCH(1, (motors!A:A=REGEXEXTRACT(A17,""^\S+""))*(motors!B:B=BU17), 0)), """")"),4.2)</f>
        <v>4.2</v>
      </c>
      <c r="BW17" s="47">
        <f>IFERROR(__xludf.DUMMYFUNCTION("IFERROR(INDEX(motors!F:F, MATCH(1, (motors!A:A=REGEXEXTRACT(A17,""^\S+""))*(motors!B:B=BU17), 0)), """")"),2.4)</f>
        <v>2.4</v>
      </c>
      <c r="BX17" s="57">
        <v>2.0</v>
      </c>
      <c r="BY17" s="58">
        <v>30.0</v>
      </c>
      <c r="BZ17" s="59" t="s">
        <v>531</v>
      </c>
      <c r="CA17" s="53" t="str">
        <f>IFERROR(__xludf.DUMMYFUNCTION("IFERROR(REGEXEXTRACT(BZ17, ""(?i)[A-Z]+-D-E-([^-]+)-E""), """")"),"HQQE")</f>
        <v>HQQE</v>
      </c>
    </row>
    <row r="18" ht="11.25" customHeight="1">
      <c r="A18" s="45" t="s">
        <v>532</v>
      </c>
      <c r="B18" s="46">
        <v>7.4111756E7</v>
      </c>
      <c r="C18" s="47">
        <v>0.0</v>
      </c>
      <c r="D18" s="47">
        <v>0.8</v>
      </c>
      <c r="E18" s="47">
        <v>1.0</v>
      </c>
      <c r="F18" s="47">
        <v>1.2</v>
      </c>
      <c r="G18" s="47">
        <v>1.4</v>
      </c>
      <c r="H18" s="47">
        <v>1.6</v>
      </c>
      <c r="I18" s="47">
        <v>1.8</v>
      </c>
      <c r="J18" s="47">
        <v>2.0</v>
      </c>
      <c r="K18" s="47">
        <v>2.2</v>
      </c>
      <c r="L18" s="47">
        <v>2.4</v>
      </c>
      <c r="M18" s="48">
        <v>138.8946809798</v>
      </c>
      <c r="N18" s="47">
        <v>129.77890387741408</v>
      </c>
      <c r="O18" s="47">
        <v>126.1693793439</v>
      </c>
      <c r="P18" s="47">
        <v>121.90412030829728</v>
      </c>
      <c r="Q18" s="47">
        <v>116.96996042205328</v>
      </c>
      <c r="R18" s="47">
        <v>111.14752585289568</v>
      </c>
      <c r="S18" s="47">
        <v>103.3</v>
      </c>
      <c r="T18" s="47">
        <v>93.5</v>
      </c>
      <c r="U18" s="47">
        <v>80.5</v>
      </c>
      <c r="V18" s="47">
        <v>65.0</v>
      </c>
      <c r="W18" s="49">
        <v>0.4876</v>
      </c>
      <c r="X18" s="47">
        <v>0.8349</v>
      </c>
      <c r="Y18" s="47">
        <v>0.8993000000000001</v>
      </c>
      <c r="Z18" s="47">
        <v>0.9545</v>
      </c>
      <c r="AA18" s="47">
        <v>0.9982</v>
      </c>
      <c r="AB18" s="47">
        <v>1.0304</v>
      </c>
      <c r="AC18" s="47">
        <v>1.0511</v>
      </c>
      <c r="AD18" s="47">
        <v>1.0626</v>
      </c>
      <c r="AE18" s="47">
        <v>1.0649</v>
      </c>
      <c r="AF18" s="47">
        <v>1.0534000000000001</v>
      </c>
      <c r="AG18" s="49">
        <v>1.024</v>
      </c>
      <c r="AH18" s="47">
        <v>1.035</v>
      </c>
      <c r="AI18" s="47">
        <v>1.033</v>
      </c>
      <c r="AJ18" s="47">
        <v>1.059</v>
      </c>
      <c r="AK18" s="47">
        <v>1.115</v>
      </c>
      <c r="AL18" s="47">
        <v>1.212</v>
      </c>
      <c r="AM18" s="47">
        <v>1.368</v>
      </c>
      <c r="AN18" s="47">
        <v>1.611</v>
      </c>
      <c r="AO18" s="47">
        <v>1.905</v>
      </c>
      <c r="AP18" s="47">
        <v>2.313</v>
      </c>
      <c r="AQ18" s="49">
        <v>0.0</v>
      </c>
      <c r="AR18" s="47">
        <v>34.2</v>
      </c>
      <c r="AS18" s="47">
        <v>40.49</v>
      </c>
      <c r="AT18" s="47">
        <v>44.19</v>
      </c>
      <c r="AU18" s="47">
        <v>46.64</v>
      </c>
      <c r="AV18" s="47">
        <v>47.81</v>
      </c>
      <c r="AW18" s="47">
        <v>47.59</v>
      </c>
      <c r="AX18" s="47">
        <v>45.83</v>
      </c>
      <c r="AY18" s="47">
        <v>42.26</v>
      </c>
      <c r="AZ18" s="47">
        <v>36.55</v>
      </c>
      <c r="BA18" s="50">
        <v>642.0</v>
      </c>
      <c r="BB18" s="51">
        <v>240.0</v>
      </c>
      <c r="BC18" s="51">
        <v>150.0</v>
      </c>
      <c r="BD18" s="51">
        <v>118.0</v>
      </c>
      <c r="BE18" s="51" t="s">
        <v>494</v>
      </c>
      <c r="BF18" s="51" t="s">
        <v>495</v>
      </c>
      <c r="BG18" s="51" t="s">
        <v>496</v>
      </c>
      <c r="BH18" s="51" t="s">
        <v>497</v>
      </c>
      <c r="BI18" s="51">
        <v>100.0</v>
      </c>
      <c r="BJ18" s="51">
        <v>150.0</v>
      </c>
      <c r="BK18" s="51">
        <v>250.0</v>
      </c>
      <c r="BL18" s="51">
        <v>180.0</v>
      </c>
      <c r="BM18" s="51">
        <v>210.0</v>
      </c>
      <c r="BN18" s="51">
        <v>75.0</v>
      </c>
      <c r="BO18" s="51">
        <v>30.0</v>
      </c>
      <c r="BP18" s="51" t="s">
        <v>498</v>
      </c>
      <c r="BQ18" s="51" t="s">
        <v>499</v>
      </c>
      <c r="BR18" s="52">
        <v>25.0</v>
      </c>
      <c r="BS18" s="53" t="s">
        <v>500</v>
      </c>
      <c r="BT18" s="53" t="s">
        <v>500</v>
      </c>
      <c r="BU18" s="52">
        <v>1.1</v>
      </c>
      <c r="BV18" s="47">
        <f>IFERROR(__xludf.DUMMYFUNCTION("IFERROR(INDEX(motors!E:E, MATCH(1, (motors!A:A=REGEXEXTRACT(A18,""^\S+""))*(motors!B:B=BU18), 0)), """")"),4.2)</f>
        <v>4.2</v>
      </c>
      <c r="BW18" s="47">
        <f>IFERROR(__xludf.DUMMYFUNCTION("IFERROR(INDEX(motors!F:F, MATCH(1, (motors!A:A=REGEXEXTRACT(A18,""^\S+""))*(motors!B:B=BU18), 0)), """")"),2.4)</f>
        <v>2.4</v>
      </c>
      <c r="BX18" s="51">
        <v>2.0</v>
      </c>
      <c r="BY18" s="52">
        <v>31.0</v>
      </c>
      <c r="BZ18" s="53" t="s">
        <v>533</v>
      </c>
      <c r="CA18" s="53" t="str">
        <f>IFERROR(__xludf.DUMMYFUNCTION("IFERROR(REGEXEXTRACT(BZ18, ""(?i)[A-Z]+-D-E-([^-]+)-E""), """")"),"HQQE")</f>
        <v>HQQE</v>
      </c>
    </row>
    <row r="19" ht="11.25" customHeight="1">
      <c r="A19" s="54" t="s">
        <v>534</v>
      </c>
      <c r="B19" s="55">
        <v>7.4111757E7</v>
      </c>
      <c r="C19" s="56">
        <v>0.0</v>
      </c>
      <c r="D19" s="56">
        <v>0.8</v>
      </c>
      <c r="E19" s="56">
        <v>1.0</v>
      </c>
      <c r="F19" s="56">
        <v>1.2</v>
      </c>
      <c r="G19" s="56">
        <v>1.4</v>
      </c>
      <c r="H19" s="56">
        <v>1.6</v>
      </c>
      <c r="I19" s="56">
        <v>1.8</v>
      </c>
      <c r="J19" s="56">
        <v>2.0</v>
      </c>
      <c r="K19" s="56">
        <v>2.2</v>
      </c>
      <c r="L19" s="56">
        <v>2.4</v>
      </c>
      <c r="M19" s="48">
        <v>151.2842387146</v>
      </c>
      <c r="N19" s="56">
        <v>141.30441355072864</v>
      </c>
      <c r="O19" s="56">
        <v>137.512170674</v>
      </c>
      <c r="P19" s="56">
        <v>133.01441517130624</v>
      </c>
      <c r="Q19" s="56">
        <v>127.79604067919104</v>
      </c>
      <c r="R19" s="56">
        <v>121.3</v>
      </c>
      <c r="S19" s="56">
        <v>113.2</v>
      </c>
      <c r="T19" s="56">
        <v>102.3</v>
      </c>
      <c r="U19" s="56">
        <v>87.9</v>
      </c>
      <c r="V19" s="56">
        <v>71.2</v>
      </c>
      <c r="W19" s="49">
        <v>0.53</v>
      </c>
      <c r="X19" s="56">
        <v>0.9075</v>
      </c>
      <c r="Y19" s="56">
        <v>0.9775</v>
      </c>
      <c r="Z19" s="56">
        <v>1.0375</v>
      </c>
      <c r="AA19" s="56">
        <v>1.085</v>
      </c>
      <c r="AB19" s="56">
        <v>1.1199999999999999</v>
      </c>
      <c r="AC19" s="56">
        <v>1.1424999999999998</v>
      </c>
      <c r="AD19" s="56">
        <v>1.155</v>
      </c>
      <c r="AE19" s="56">
        <v>1.1575</v>
      </c>
      <c r="AF19" s="56">
        <v>1.145</v>
      </c>
      <c r="AG19" s="49">
        <v>1.024</v>
      </c>
      <c r="AH19" s="56">
        <v>1.035</v>
      </c>
      <c r="AI19" s="56">
        <v>1.033</v>
      </c>
      <c r="AJ19" s="56">
        <v>1.059</v>
      </c>
      <c r="AK19" s="56">
        <v>1.115</v>
      </c>
      <c r="AL19" s="56">
        <v>1.212</v>
      </c>
      <c r="AM19" s="56">
        <v>1.368</v>
      </c>
      <c r="AN19" s="56">
        <v>1.611</v>
      </c>
      <c r="AO19" s="56">
        <v>1.905</v>
      </c>
      <c r="AP19" s="56">
        <v>2.313</v>
      </c>
      <c r="AQ19" s="49">
        <v>0.0</v>
      </c>
      <c r="AR19" s="56">
        <v>34.2</v>
      </c>
      <c r="AS19" s="56">
        <v>40.49</v>
      </c>
      <c r="AT19" s="56">
        <v>44.19</v>
      </c>
      <c r="AU19" s="56">
        <v>46.64</v>
      </c>
      <c r="AV19" s="56">
        <v>47.81</v>
      </c>
      <c r="AW19" s="56">
        <v>47.59</v>
      </c>
      <c r="AX19" s="56">
        <v>45.83</v>
      </c>
      <c r="AY19" s="56">
        <v>42.26</v>
      </c>
      <c r="AZ19" s="56">
        <v>36.55</v>
      </c>
      <c r="BA19" s="50">
        <v>678.0</v>
      </c>
      <c r="BB19" s="57">
        <v>240.0</v>
      </c>
      <c r="BC19" s="57">
        <v>150.0</v>
      </c>
      <c r="BD19" s="57">
        <v>118.0</v>
      </c>
      <c r="BE19" s="57" t="s">
        <v>494</v>
      </c>
      <c r="BF19" s="57" t="s">
        <v>495</v>
      </c>
      <c r="BG19" s="57" t="s">
        <v>496</v>
      </c>
      <c r="BH19" s="57" t="s">
        <v>497</v>
      </c>
      <c r="BI19" s="57">
        <v>100.0</v>
      </c>
      <c r="BJ19" s="57">
        <v>150.0</v>
      </c>
      <c r="BK19" s="57">
        <v>250.0</v>
      </c>
      <c r="BL19" s="57">
        <v>180.0</v>
      </c>
      <c r="BM19" s="57">
        <v>210.0</v>
      </c>
      <c r="BN19" s="57">
        <v>75.0</v>
      </c>
      <c r="BO19" s="57">
        <v>30.0</v>
      </c>
      <c r="BP19" s="57" t="s">
        <v>498</v>
      </c>
      <c r="BQ19" s="57" t="s">
        <v>499</v>
      </c>
      <c r="BR19" s="58">
        <v>25.0</v>
      </c>
      <c r="BS19" s="59" t="s">
        <v>500</v>
      </c>
      <c r="BT19" s="59" t="s">
        <v>500</v>
      </c>
      <c r="BU19" s="58">
        <v>1.5</v>
      </c>
      <c r="BV19" s="47">
        <f>IFERROR(__xludf.DUMMYFUNCTION("IFERROR(INDEX(motors!E:E, MATCH(1, (motors!A:A=REGEXEXTRACT(A19,""^\S+""))*(motors!B:B=BU19), 0)), """")"),5.6)</f>
        <v>5.6</v>
      </c>
      <c r="BW19" s="47">
        <f>IFERROR(__xludf.DUMMYFUNCTION("IFERROR(INDEX(motors!F:F, MATCH(1, (motors!A:A=REGEXEXTRACT(A19,""^\S+""))*(motors!B:B=BU19), 0)), """")"),3.2)</f>
        <v>3.2</v>
      </c>
      <c r="BX19" s="57">
        <v>2.0</v>
      </c>
      <c r="BY19" s="58">
        <v>40.0</v>
      </c>
      <c r="BZ19" s="59" t="s">
        <v>535</v>
      </c>
      <c r="CA19" s="53" t="str">
        <f>IFERROR(__xludf.DUMMYFUNCTION("IFERROR(REGEXEXTRACT(BZ19, ""(?i)[A-Z]+-D-E-([^-]+)-E""), """")"),"HQQE")</f>
        <v>HQQE</v>
      </c>
    </row>
    <row r="20" ht="11.25" customHeight="1">
      <c r="A20" s="45" t="s">
        <v>536</v>
      </c>
      <c r="B20" s="46">
        <v>7.4111758E7</v>
      </c>
      <c r="C20" s="47">
        <v>0.0</v>
      </c>
      <c r="D20" s="47">
        <v>0.8</v>
      </c>
      <c r="E20" s="47">
        <v>1.0</v>
      </c>
      <c r="F20" s="47">
        <v>1.2</v>
      </c>
      <c r="G20" s="47">
        <v>1.4</v>
      </c>
      <c r="H20" s="47">
        <v>1.6</v>
      </c>
      <c r="I20" s="47">
        <v>1.8</v>
      </c>
      <c r="J20" s="47">
        <v>2.0</v>
      </c>
      <c r="K20" s="47">
        <v>2.2</v>
      </c>
      <c r="L20" s="47">
        <v>2.4</v>
      </c>
      <c r="M20" s="48">
        <v>163.4170731997</v>
      </c>
      <c r="N20" s="47">
        <v>153.9859067081137</v>
      </c>
      <c r="O20" s="47">
        <v>149.82187672270004</v>
      </c>
      <c r="P20" s="47">
        <v>144.1796730883052</v>
      </c>
      <c r="Q20" s="47">
        <v>137.50920055615808</v>
      </c>
      <c r="R20" s="47">
        <v>130.1120683532673</v>
      </c>
      <c r="S20" s="47">
        <v>121.4</v>
      </c>
      <c r="T20" s="47">
        <v>110.8</v>
      </c>
      <c r="U20" s="47">
        <v>96.5</v>
      </c>
      <c r="V20" s="47">
        <v>79.76</v>
      </c>
      <c r="W20" s="49">
        <v>0.5724</v>
      </c>
      <c r="X20" s="47">
        <v>0.9801</v>
      </c>
      <c r="Y20" s="47">
        <v>1.0557</v>
      </c>
      <c r="Z20" s="47">
        <v>1.1205</v>
      </c>
      <c r="AA20" s="47">
        <v>1.1718</v>
      </c>
      <c r="AB20" s="47">
        <v>1.2096</v>
      </c>
      <c r="AC20" s="47">
        <v>1.2339</v>
      </c>
      <c r="AD20" s="47">
        <v>1.2473999999999998</v>
      </c>
      <c r="AE20" s="47">
        <v>1.2501</v>
      </c>
      <c r="AF20" s="47">
        <v>1.2366</v>
      </c>
      <c r="AG20" s="49">
        <v>1.024</v>
      </c>
      <c r="AH20" s="47">
        <v>1.035</v>
      </c>
      <c r="AI20" s="47">
        <v>1.033</v>
      </c>
      <c r="AJ20" s="47">
        <v>1.059</v>
      </c>
      <c r="AK20" s="47">
        <v>1.115</v>
      </c>
      <c r="AL20" s="47">
        <v>1.212</v>
      </c>
      <c r="AM20" s="47">
        <v>1.368</v>
      </c>
      <c r="AN20" s="47">
        <v>1.611</v>
      </c>
      <c r="AO20" s="47">
        <v>1.905</v>
      </c>
      <c r="AP20" s="47">
        <v>2.313</v>
      </c>
      <c r="AQ20" s="49">
        <v>0.0</v>
      </c>
      <c r="AR20" s="47">
        <v>34.2</v>
      </c>
      <c r="AS20" s="47">
        <v>40.49</v>
      </c>
      <c r="AT20" s="47">
        <v>44.19</v>
      </c>
      <c r="AU20" s="47">
        <v>46.64</v>
      </c>
      <c r="AV20" s="47">
        <v>47.81</v>
      </c>
      <c r="AW20" s="47">
        <v>47.59</v>
      </c>
      <c r="AX20" s="47">
        <v>45.83</v>
      </c>
      <c r="AY20" s="47">
        <v>42.26</v>
      </c>
      <c r="AZ20" s="47">
        <v>36.55</v>
      </c>
      <c r="BA20" s="50">
        <v>714.0</v>
      </c>
      <c r="BB20" s="51">
        <v>240.0</v>
      </c>
      <c r="BC20" s="51">
        <v>150.0</v>
      </c>
      <c r="BD20" s="51">
        <v>118.0</v>
      </c>
      <c r="BE20" s="51" t="s">
        <v>494</v>
      </c>
      <c r="BF20" s="51" t="s">
        <v>495</v>
      </c>
      <c r="BG20" s="51" t="s">
        <v>496</v>
      </c>
      <c r="BH20" s="51" t="s">
        <v>497</v>
      </c>
      <c r="BI20" s="51">
        <v>100.0</v>
      </c>
      <c r="BJ20" s="51">
        <v>150.0</v>
      </c>
      <c r="BK20" s="51">
        <v>250.0</v>
      </c>
      <c r="BL20" s="51">
        <v>180.0</v>
      </c>
      <c r="BM20" s="51">
        <v>210.0</v>
      </c>
      <c r="BN20" s="51">
        <v>75.0</v>
      </c>
      <c r="BO20" s="51">
        <v>30.0</v>
      </c>
      <c r="BP20" s="51" t="s">
        <v>498</v>
      </c>
      <c r="BQ20" s="51" t="s">
        <v>499</v>
      </c>
      <c r="BR20" s="52">
        <v>25.0</v>
      </c>
      <c r="BS20" s="53" t="s">
        <v>500</v>
      </c>
      <c r="BT20" s="53" t="s">
        <v>500</v>
      </c>
      <c r="BU20" s="52">
        <v>1.5</v>
      </c>
      <c r="BV20" s="47">
        <f>IFERROR(__xludf.DUMMYFUNCTION("IFERROR(INDEX(motors!E:E, MATCH(1, (motors!A:A=REGEXEXTRACT(A20,""^\S+""))*(motors!B:B=BU20), 0)), """")"),5.6)</f>
        <v>5.6</v>
      </c>
      <c r="BW20" s="47">
        <f>IFERROR(__xludf.DUMMYFUNCTION("IFERROR(INDEX(motors!F:F, MATCH(1, (motors!A:A=REGEXEXTRACT(A20,""^\S+""))*(motors!B:B=BU20), 0)), """")"),3.2)</f>
        <v>3.2</v>
      </c>
      <c r="BX20" s="51">
        <v>2.0</v>
      </c>
      <c r="BY20" s="52">
        <v>41.0</v>
      </c>
      <c r="BZ20" s="53" t="s">
        <v>537</v>
      </c>
      <c r="CA20" s="53" t="str">
        <f>IFERROR(__xludf.DUMMYFUNCTION("IFERROR(REGEXEXTRACT(BZ20, ""(?i)[A-Z]+-D-E-([^-]+)-E""), """")"),"HQQE")</f>
        <v>HQQE</v>
      </c>
    </row>
    <row r="21" ht="11.25" customHeight="1">
      <c r="A21" s="54" t="s">
        <v>538</v>
      </c>
      <c r="B21" s="55">
        <v>7.4111759E7</v>
      </c>
      <c r="C21" s="56">
        <v>0.0</v>
      </c>
      <c r="D21" s="56">
        <v>0.8</v>
      </c>
      <c r="E21" s="56">
        <v>1.0</v>
      </c>
      <c r="F21" s="56">
        <v>1.2</v>
      </c>
      <c r="G21" s="56">
        <v>1.4</v>
      </c>
      <c r="H21" s="56">
        <v>1.6</v>
      </c>
      <c r="I21" s="56">
        <v>1.8</v>
      </c>
      <c r="J21" s="56">
        <v>2.0</v>
      </c>
      <c r="K21" s="56">
        <v>2.2</v>
      </c>
      <c r="L21" s="56">
        <v>2.4</v>
      </c>
      <c r="M21" s="48">
        <v>181.2370395017</v>
      </c>
      <c r="N21" s="56">
        <v>170.4962471430033</v>
      </c>
      <c r="O21" s="56">
        <v>166.20022807479998</v>
      </c>
      <c r="P21" s="56">
        <v>160.42615435535348</v>
      </c>
      <c r="Q21" s="56">
        <v>153.41857321164014</v>
      </c>
      <c r="R21" s="56">
        <v>145.31806185804226</v>
      </c>
      <c r="S21" s="56">
        <v>135.86002825387283</v>
      </c>
      <c r="T21" s="56">
        <v>123.2</v>
      </c>
      <c r="U21" s="56">
        <v>107.97998440087079</v>
      </c>
      <c r="V21" s="56">
        <v>91.23</v>
      </c>
      <c r="W21" s="49">
        <v>0.636</v>
      </c>
      <c r="X21" s="56">
        <v>1.089</v>
      </c>
      <c r="Y21" s="56">
        <v>1.173</v>
      </c>
      <c r="Z21" s="56">
        <v>1.245</v>
      </c>
      <c r="AA21" s="56">
        <v>1.302</v>
      </c>
      <c r="AB21" s="56">
        <v>1.344</v>
      </c>
      <c r="AC21" s="56">
        <v>1.371</v>
      </c>
      <c r="AD21" s="56">
        <v>1.386</v>
      </c>
      <c r="AE21" s="56">
        <v>1.389</v>
      </c>
      <c r="AF21" s="56">
        <v>1.374</v>
      </c>
      <c r="AG21" s="49">
        <v>1.024</v>
      </c>
      <c r="AH21" s="56">
        <v>1.035</v>
      </c>
      <c r="AI21" s="56">
        <v>1.033</v>
      </c>
      <c r="AJ21" s="56">
        <v>1.059</v>
      </c>
      <c r="AK21" s="56">
        <v>1.115</v>
      </c>
      <c r="AL21" s="56">
        <v>1.212</v>
      </c>
      <c r="AM21" s="56">
        <v>1.368</v>
      </c>
      <c r="AN21" s="56">
        <v>1.611</v>
      </c>
      <c r="AO21" s="56">
        <v>1.905</v>
      </c>
      <c r="AP21" s="56">
        <v>2.313</v>
      </c>
      <c r="AQ21" s="49">
        <v>0.0</v>
      </c>
      <c r="AR21" s="56">
        <v>34.2</v>
      </c>
      <c r="AS21" s="56">
        <v>40.49</v>
      </c>
      <c r="AT21" s="56">
        <v>44.19</v>
      </c>
      <c r="AU21" s="56">
        <v>46.64</v>
      </c>
      <c r="AV21" s="56">
        <v>47.81</v>
      </c>
      <c r="AW21" s="56">
        <v>47.59</v>
      </c>
      <c r="AX21" s="56">
        <v>45.83</v>
      </c>
      <c r="AY21" s="56">
        <v>42.26</v>
      </c>
      <c r="AZ21" s="56">
        <v>36.55</v>
      </c>
      <c r="BA21" s="50">
        <v>768.0</v>
      </c>
      <c r="BB21" s="57">
        <v>240.0</v>
      </c>
      <c r="BC21" s="57">
        <v>150.0</v>
      </c>
      <c r="BD21" s="57">
        <v>118.0</v>
      </c>
      <c r="BE21" s="57" t="s">
        <v>494</v>
      </c>
      <c r="BF21" s="57" t="s">
        <v>495</v>
      </c>
      <c r="BG21" s="57" t="s">
        <v>496</v>
      </c>
      <c r="BH21" s="57" t="s">
        <v>497</v>
      </c>
      <c r="BI21" s="57">
        <v>100.0</v>
      </c>
      <c r="BJ21" s="57">
        <v>150.0</v>
      </c>
      <c r="BK21" s="57">
        <v>250.0</v>
      </c>
      <c r="BL21" s="57">
        <v>180.0</v>
      </c>
      <c r="BM21" s="57">
        <v>210.0</v>
      </c>
      <c r="BN21" s="57">
        <v>75.0</v>
      </c>
      <c r="BO21" s="57">
        <v>30.0</v>
      </c>
      <c r="BP21" s="57" t="s">
        <v>498</v>
      </c>
      <c r="BQ21" s="57" t="s">
        <v>499</v>
      </c>
      <c r="BR21" s="58">
        <v>25.0</v>
      </c>
      <c r="BS21" s="59" t="s">
        <v>500</v>
      </c>
      <c r="BT21" s="59" t="s">
        <v>500</v>
      </c>
      <c r="BU21" s="58">
        <v>1.5</v>
      </c>
      <c r="BV21" s="47">
        <f>IFERROR(__xludf.DUMMYFUNCTION("IFERROR(INDEX(motors!E:E, MATCH(1, (motors!A:A=REGEXEXTRACT(A21,""^\S+""))*(motors!B:B=BU21), 0)), """")"),5.6)</f>
        <v>5.6</v>
      </c>
      <c r="BW21" s="47">
        <f>IFERROR(__xludf.DUMMYFUNCTION("IFERROR(INDEX(motors!F:F, MATCH(1, (motors!A:A=REGEXEXTRACT(A21,""^\S+""))*(motors!B:B=BU21), 0)), """")"),3.2)</f>
        <v>3.2</v>
      </c>
      <c r="BX21" s="57">
        <v>2.0</v>
      </c>
      <c r="BY21" s="58">
        <v>42.0</v>
      </c>
      <c r="BZ21" s="59" t="s">
        <v>539</v>
      </c>
      <c r="CA21" s="53" t="str">
        <f>IFERROR(__xludf.DUMMYFUNCTION("IFERROR(REGEXEXTRACT(BZ21, ""(?i)[A-Z]+-D-E-([^-]+)-E""), """")"),"HQQE")</f>
        <v>HQQE</v>
      </c>
    </row>
    <row r="22" ht="11.25" customHeight="1">
      <c r="A22" s="45" t="s">
        <v>540</v>
      </c>
      <c r="B22" s="46">
        <v>7.411176E7</v>
      </c>
      <c r="C22" s="47">
        <v>0.0</v>
      </c>
      <c r="D22" s="47">
        <v>0.8</v>
      </c>
      <c r="E22" s="47">
        <v>1.0</v>
      </c>
      <c r="F22" s="47">
        <v>1.2</v>
      </c>
      <c r="G22" s="47">
        <v>1.4</v>
      </c>
      <c r="H22" s="47">
        <v>1.6</v>
      </c>
      <c r="I22" s="47">
        <v>1.8</v>
      </c>
      <c r="J22" s="47">
        <v>2.0</v>
      </c>
      <c r="K22" s="47">
        <v>2.2</v>
      </c>
      <c r="L22" s="47">
        <v>2.4</v>
      </c>
      <c r="M22" s="48">
        <v>198.5709797912</v>
      </c>
      <c r="N22" s="47">
        <v>187.6284233820416</v>
      </c>
      <c r="O22" s="47">
        <v>182.9773884395</v>
      </c>
      <c r="P22" s="47">
        <v>176.8665181356301</v>
      </c>
      <c r="Q22" s="47">
        <v>169.31254201167633</v>
      </c>
      <c r="R22" s="47">
        <v>160.2822744262362</v>
      </c>
      <c r="S22" s="47">
        <v>149.5315718325848</v>
      </c>
      <c r="T22" s="47">
        <v>136.44429005600003</v>
      </c>
      <c r="U22" s="47">
        <v>120.2</v>
      </c>
      <c r="V22" s="47">
        <v>102.5</v>
      </c>
      <c r="W22" s="49">
        <v>0.6996</v>
      </c>
      <c r="X22" s="47">
        <v>1.1979</v>
      </c>
      <c r="Y22" s="47">
        <v>1.2903</v>
      </c>
      <c r="Z22" s="47">
        <v>1.3695000000000002</v>
      </c>
      <c r="AA22" s="47">
        <v>1.4322000000000001</v>
      </c>
      <c r="AB22" s="47">
        <v>1.4784</v>
      </c>
      <c r="AC22" s="47">
        <v>1.5081</v>
      </c>
      <c r="AD22" s="47">
        <v>1.5246</v>
      </c>
      <c r="AE22" s="47">
        <v>1.5279</v>
      </c>
      <c r="AF22" s="47">
        <v>1.5114</v>
      </c>
      <c r="AG22" s="49">
        <v>1.024</v>
      </c>
      <c r="AH22" s="47">
        <v>1.035</v>
      </c>
      <c r="AI22" s="47">
        <v>1.033</v>
      </c>
      <c r="AJ22" s="47">
        <v>1.059</v>
      </c>
      <c r="AK22" s="47">
        <v>1.115</v>
      </c>
      <c r="AL22" s="47">
        <v>1.212</v>
      </c>
      <c r="AM22" s="47">
        <v>1.368</v>
      </c>
      <c r="AN22" s="47">
        <v>1.611</v>
      </c>
      <c r="AO22" s="47">
        <v>1.905</v>
      </c>
      <c r="AP22" s="47">
        <v>2.313</v>
      </c>
      <c r="AQ22" s="49">
        <v>0.0</v>
      </c>
      <c r="AR22" s="47">
        <v>34.2</v>
      </c>
      <c r="AS22" s="47">
        <v>40.49</v>
      </c>
      <c r="AT22" s="47">
        <v>44.19</v>
      </c>
      <c r="AU22" s="47">
        <v>46.64</v>
      </c>
      <c r="AV22" s="47">
        <v>47.81</v>
      </c>
      <c r="AW22" s="47">
        <v>47.59</v>
      </c>
      <c r="AX22" s="47">
        <v>45.83</v>
      </c>
      <c r="AY22" s="47">
        <v>42.26</v>
      </c>
      <c r="AZ22" s="47">
        <v>36.55</v>
      </c>
      <c r="BA22" s="50">
        <v>832.0</v>
      </c>
      <c r="BB22" s="51">
        <v>280.0</v>
      </c>
      <c r="BC22" s="51">
        <v>168.0</v>
      </c>
      <c r="BD22" s="51">
        <v>127.0</v>
      </c>
      <c r="BE22" s="51" t="s">
        <v>494</v>
      </c>
      <c r="BF22" s="51" t="s">
        <v>495</v>
      </c>
      <c r="BG22" s="51" t="s">
        <v>496</v>
      </c>
      <c r="BH22" s="51" t="s">
        <v>497</v>
      </c>
      <c r="BI22" s="51">
        <v>100.0</v>
      </c>
      <c r="BJ22" s="51">
        <v>150.0</v>
      </c>
      <c r="BK22" s="51">
        <v>250.0</v>
      </c>
      <c r="BL22" s="51">
        <v>180.0</v>
      </c>
      <c r="BM22" s="51">
        <v>210.0</v>
      </c>
      <c r="BN22" s="51">
        <v>75.0</v>
      </c>
      <c r="BO22" s="51">
        <v>30.0</v>
      </c>
      <c r="BP22" s="51" t="s">
        <v>498</v>
      </c>
      <c r="BQ22" s="51" t="s">
        <v>499</v>
      </c>
      <c r="BR22" s="52">
        <v>25.0</v>
      </c>
      <c r="BS22" s="53" t="s">
        <v>500</v>
      </c>
      <c r="BT22" s="53" t="s">
        <v>500</v>
      </c>
      <c r="BU22" s="52">
        <v>2.2</v>
      </c>
      <c r="BV22" s="47">
        <f>IFERROR(__xludf.DUMMYFUNCTION("IFERROR(INDEX(motors!E:E, MATCH(1, (motors!A:A=REGEXEXTRACT(A22,""^\S+""))*(motors!B:B=BU22), 0)), """")"),7.9)</f>
        <v>7.9</v>
      </c>
      <c r="BW22" s="47">
        <f>IFERROR(__xludf.DUMMYFUNCTION("IFERROR(INDEX(motors!F:F, MATCH(1, (motors!A:A=REGEXEXTRACT(A22,""^\S+""))*(motors!B:B=BU22), 0)), """")"),4.6)</f>
        <v>4.6</v>
      </c>
      <c r="BX22" s="51">
        <v>2.0</v>
      </c>
      <c r="BY22" s="52">
        <v>44.0</v>
      </c>
      <c r="BZ22" s="53" t="s">
        <v>541</v>
      </c>
      <c r="CA22" s="53" t="str">
        <f>IFERROR(__xludf.DUMMYFUNCTION("IFERROR(REGEXEXTRACT(BZ22, ""(?i)[A-Z]+-D-E-([^-]+)-E""), """")"),"HQQE")</f>
        <v>HQQE</v>
      </c>
    </row>
    <row r="23" ht="11.25" customHeight="1">
      <c r="A23" s="54" t="s">
        <v>542</v>
      </c>
      <c r="B23" s="55">
        <v>7.4111761E7</v>
      </c>
      <c r="C23" s="56">
        <v>0.0</v>
      </c>
      <c r="D23" s="56">
        <v>0.8</v>
      </c>
      <c r="E23" s="56">
        <v>1.0</v>
      </c>
      <c r="F23" s="56">
        <v>1.2</v>
      </c>
      <c r="G23" s="56">
        <v>1.4</v>
      </c>
      <c r="H23" s="56">
        <v>1.6</v>
      </c>
      <c r="I23" s="56">
        <v>1.8</v>
      </c>
      <c r="J23" s="56">
        <v>2.0</v>
      </c>
      <c r="K23" s="56">
        <v>2.2</v>
      </c>
      <c r="L23" s="56">
        <v>2.4</v>
      </c>
      <c r="M23" s="48">
        <v>217.2620557962</v>
      </c>
      <c r="N23" s="56">
        <v>205.16012433975087</v>
      </c>
      <c r="O23" s="56">
        <v>199.4773778068</v>
      </c>
      <c r="P23" s="56">
        <v>192.30345777193844</v>
      </c>
      <c r="Q23" s="56">
        <v>183.897144737754</v>
      </c>
      <c r="R23" s="56">
        <v>174.37947412239296</v>
      </c>
      <c r="S23" s="56">
        <v>163.47874753900686</v>
      </c>
      <c r="T23" s="56">
        <v>149.8</v>
      </c>
      <c r="U23" s="56">
        <v>133.4</v>
      </c>
      <c r="V23" s="56">
        <v>115.0</v>
      </c>
      <c r="W23" s="49">
        <v>0.7632</v>
      </c>
      <c r="X23" s="56">
        <v>1.3068</v>
      </c>
      <c r="Y23" s="56">
        <v>1.4076000000000002</v>
      </c>
      <c r="Z23" s="56">
        <v>1.494</v>
      </c>
      <c r="AA23" s="56">
        <v>1.5624</v>
      </c>
      <c r="AB23" s="56">
        <v>1.6128</v>
      </c>
      <c r="AC23" s="56">
        <v>1.6452</v>
      </c>
      <c r="AD23" s="56">
        <v>1.6632</v>
      </c>
      <c r="AE23" s="56">
        <v>1.6668</v>
      </c>
      <c r="AF23" s="56">
        <v>1.6488</v>
      </c>
      <c r="AG23" s="49">
        <v>1.024</v>
      </c>
      <c r="AH23" s="56">
        <v>1.035</v>
      </c>
      <c r="AI23" s="56">
        <v>1.033</v>
      </c>
      <c r="AJ23" s="56">
        <v>1.059</v>
      </c>
      <c r="AK23" s="56">
        <v>1.115</v>
      </c>
      <c r="AL23" s="56">
        <v>1.212</v>
      </c>
      <c r="AM23" s="56">
        <v>1.368</v>
      </c>
      <c r="AN23" s="56">
        <v>1.611</v>
      </c>
      <c r="AO23" s="56">
        <v>1.905</v>
      </c>
      <c r="AP23" s="56">
        <v>2.313</v>
      </c>
      <c r="AQ23" s="49">
        <v>0.0</v>
      </c>
      <c r="AR23" s="56">
        <v>34.2</v>
      </c>
      <c r="AS23" s="56">
        <v>40.49</v>
      </c>
      <c r="AT23" s="56">
        <v>44.19</v>
      </c>
      <c r="AU23" s="56">
        <v>46.64</v>
      </c>
      <c r="AV23" s="56">
        <v>47.81</v>
      </c>
      <c r="AW23" s="56">
        <v>47.59</v>
      </c>
      <c r="AX23" s="56">
        <v>45.83</v>
      </c>
      <c r="AY23" s="56">
        <v>42.26</v>
      </c>
      <c r="AZ23" s="56">
        <v>36.55</v>
      </c>
      <c r="BA23" s="50">
        <v>886.0</v>
      </c>
      <c r="BB23" s="57">
        <v>280.0</v>
      </c>
      <c r="BC23" s="57">
        <v>168.0</v>
      </c>
      <c r="BD23" s="57">
        <v>127.0</v>
      </c>
      <c r="BE23" s="57" t="s">
        <v>494</v>
      </c>
      <c r="BF23" s="57" t="s">
        <v>495</v>
      </c>
      <c r="BG23" s="57" t="s">
        <v>496</v>
      </c>
      <c r="BH23" s="57" t="s">
        <v>497</v>
      </c>
      <c r="BI23" s="57">
        <v>100.0</v>
      </c>
      <c r="BJ23" s="57">
        <v>150.0</v>
      </c>
      <c r="BK23" s="57">
        <v>250.0</v>
      </c>
      <c r="BL23" s="57">
        <v>180.0</v>
      </c>
      <c r="BM23" s="57">
        <v>210.0</v>
      </c>
      <c r="BN23" s="57">
        <v>75.0</v>
      </c>
      <c r="BO23" s="57">
        <v>30.0</v>
      </c>
      <c r="BP23" s="57" t="s">
        <v>498</v>
      </c>
      <c r="BQ23" s="57" t="s">
        <v>499</v>
      </c>
      <c r="BR23" s="58">
        <v>25.0</v>
      </c>
      <c r="BS23" s="59" t="s">
        <v>500</v>
      </c>
      <c r="BT23" s="59" t="s">
        <v>500</v>
      </c>
      <c r="BU23" s="58">
        <v>2.2</v>
      </c>
      <c r="BV23" s="47">
        <f>IFERROR(__xludf.DUMMYFUNCTION("IFERROR(INDEX(motors!E:E, MATCH(1, (motors!A:A=REGEXEXTRACT(A23,""^\S+""))*(motors!B:B=BU23), 0)), """")"),7.9)</f>
        <v>7.9</v>
      </c>
      <c r="BW23" s="47">
        <f>IFERROR(__xludf.DUMMYFUNCTION("IFERROR(INDEX(motors!F:F, MATCH(1, (motors!A:A=REGEXEXTRACT(A23,""^\S+""))*(motors!B:B=BU23), 0)), """")"),4.6)</f>
        <v>4.6</v>
      </c>
      <c r="BX23" s="57">
        <v>2.0</v>
      </c>
      <c r="BY23" s="58">
        <v>45.0</v>
      </c>
      <c r="BZ23" s="59" t="s">
        <v>543</v>
      </c>
      <c r="CA23" s="53" t="str">
        <f>IFERROR(__xludf.DUMMYFUNCTION("IFERROR(REGEXEXTRACT(BZ23, ""(?i)[A-Z]+-D-E-([^-]+)-E""), """")"),"HQQE")</f>
        <v>HQQE</v>
      </c>
    </row>
    <row r="24" ht="11.25" customHeight="1">
      <c r="A24" s="46"/>
      <c r="B24" s="46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8"/>
      <c r="N24" s="47"/>
      <c r="O24" s="47"/>
      <c r="P24" s="47"/>
      <c r="Q24" s="47"/>
      <c r="R24" s="47"/>
      <c r="S24" s="47"/>
      <c r="T24" s="47"/>
      <c r="U24" s="47"/>
      <c r="V24" s="47"/>
      <c r="W24" s="49"/>
      <c r="X24" s="47"/>
      <c r="Y24" s="47"/>
      <c r="Z24" s="47"/>
      <c r="AA24" s="47"/>
      <c r="AB24" s="47"/>
      <c r="AC24" s="47"/>
      <c r="AD24" s="47"/>
      <c r="AE24" s="47"/>
      <c r="AF24" s="47"/>
      <c r="AG24" s="49"/>
      <c r="AH24" s="47"/>
      <c r="AI24" s="47"/>
      <c r="AJ24" s="47"/>
      <c r="AK24" s="47"/>
      <c r="AL24" s="47"/>
      <c r="AM24" s="47"/>
      <c r="AN24" s="47"/>
      <c r="AO24" s="47"/>
      <c r="AP24" s="47"/>
      <c r="AQ24" s="49"/>
      <c r="AR24" s="47"/>
      <c r="AS24" s="47"/>
      <c r="AT24" s="47"/>
      <c r="AU24" s="47"/>
      <c r="AV24" s="47"/>
      <c r="AW24" s="47"/>
      <c r="AX24" s="47"/>
      <c r="AY24" s="47"/>
      <c r="AZ24" s="47"/>
      <c r="BA24" s="50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3"/>
      <c r="BS24" s="53"/>
      <c r="BT24" s="53"/>
      <c r="BU24" s="53"/>
      <c r="BV24" s="47" t="str">
        <f>IFERROR(__xludf.DUMMYFUNCTION("IFERROR(INDEX(motors!E:E, MATCH(1, (motors!A:A=REGEXEXTRACT(A24,""^\S+""))*(motors!B:B=BU24), 0)), """")"),"")</f>
        <v/>
      </c>
      <c r="BW24" s="47" t="str">
        <f>IFERROR(__xludf.DUMMYFUNCTION("IFERROR(INDEX(motors!F:F, MATCH(1, (motors!A:A=REGEXEXTRACT(A24,""^\S+""))*(motors!B:B=BU24), 0)), """")"),"")</f>
        <v/>
      </c>
      <c r="BX24" s="51"/>
      <c r="BY24" s="53"/>
      <c r="BZ24" s="53"/>
      <c r="CA24" s="53" t="str">
        <f>IFERROR(__xludf.DUMMYFUNCTION("IFERROR(REGEXEXTRACT(BZ24, ""(?i)[A-Z]+-D-E-([^-]+)-E""), """")"),"")</f>
        <v/>
      </c>
    </row>
    <row r="25" ht="11.25" customHeight="1">
      <c r="A25" s="54" t="s">
        <v>544</v>
      </c>
      <c r="B25" s="55">
        <v>7.4113744E7</v>
      </c>
      <c r="C25" s="56">
        <v>0.0</v>
      </c>
      <c r="D25" s="56">
        <v>1.2</v>
      </c>
      <c r="E25" s="56">
        <v>2.0</v>
      </c>
      <c r="F25" s="56">
        <v>2.8</v>
      </c>
      <c r="G25" s="56">
        <v>3.0</v>
      </c>
      <c r="H25" s="56">
        <v>3.2</v>
      </c>
      <c r="I25" s="56">
        <v>3.4</v>
      </c>
      <c r="J25" s="56">
        <v>3.6</v>
      </c>
      <c r="K25" s="56">
        <v>4.0</v>
      </c>
      <c r="L25" s="56">
        <v>4.4</v>
      </c>
      <c r="M25" s="48">
        <v>13.8705276909</v>
      </c>
      <c r="N25" s="56">
        <v>11.993568985981153</v>
      </c>
      <c r="O25" s="56">
        <v>10.5978891871</v>
      </c>
      <c r="P25" s="56">
        <v>9.020713686981088</v>
      </c>
      <c r="Q25" s="56">
        <v>8.5418962398</v>
      </c>
      <c r="R25" s="56">
        <v>8.029558874731553</v>
      </c>
      <c r="S25" s="56">
        <v>7.4949823360685475</v>
      </c>
      <c r="T25" s="56">
        <v>6.958218106867302</v>
      </c>
      <c r="U25" s="56">
        <v>5.7</v>
      </c>
      <c r="V25" s="56">
        <v>4.4</v>
      </c>
      <c r="W25" s="49">
        <v>0.05</v>
      </c>
      <c r="X25" s="56">
        <v>0.092</v>
      </c>
      <c r="Y25" s="56">
        <v>0.116</v>
      </c>
      <c r="Z25" s="56">
        <v>0.132</v>
      </c>
      <c r="AA25" s="56">
        <v>0.134</v>
      </c>
      <c r="AB25" s="56">
        <v>0.136</v>
      </c>
      <c r="AC25" s="56">
        <v>0.138</v>
      </c>
      <c r="AD25" s="56">
        <v>0.14</v>
      </c>
      <c r="AE25" s="56">
        <v>0.14</v>
      </c>
      <c r="AF25" s="56">
        <v>0.136</v>
      </c>
      <c r="AG25" s="49">
        <v>1.148</v>
      </c>
      <c r="AH25" s="56">
        <v>1.192</v>
      </c>
      <c r="AI25" s="56">
        <v>1.273</v>
      </c>
      <c r="AJ25" s="56">
        <v>1.424</v>
      </c>
      <c r="AK25" s="56">
        <v>1.473</v>
      </c>
      <c r="AL25" s="56">
        <v>1.526</v>
      </c>
      <c r="AM25" s="56">
        <v>1.599</v>
      </c>
      <c r="AN25" s="56">
        <v>1.719</v>
      </c>
      <c r="AO25" s="56">
        <v>2.115</v>
      </c>
      <c r="AP25" s="56">
        <v>2.795</v>
      </c>
      <c r="AQ25" s="49">
        <v>0.0</v>
      </c>
      <c r="AR25" s="56">
        <v>43.44</v>
      </c>
      <c r="AS25" s="56">
        <v>53.97</v>
      </c>
      <c r="AT25" s="56">
        <v>57.97</v>
      </c>
      <c r="AU25" s="56">
        <v>57.95</v>
      </c>
      <c r="AV25" s="56">
        <v>57.5</v>
      </c>
      <c r="AW25" s="56">
        <v>56.59</v>
      </c>
      <c r="AX25" s="56">
        <v>55.19</v>
      </c>
      <c r="AY25" s="56">
        <v>50.77</v>
      </c>
      <c r="AZ25" s="56">
        <v>43.93</v>
      </c>
      <c r="BA25" s="50">
        <v>254.0</v>
      </c>
      <c r="BB25" s="57">
        <v>207.0</v>
      </c>
      <c r="BC25" s="57">
        <v>134.0</v>
      </c>
      <c r="BD25" s="57">
        <v>112.0</v>
      </c>
      <c r="BE25" s="57" t="s">
        <v>494</v>
      </c>
      <c r="BF25" s="57" t="s">
        <v>495</v>
      </c>
      <c r="BG25" s="57" t="s">
        <v>496</v>
      </c>
      <c r="BH25" s="57" t="s">
        <v>497</v>
      </c>
      <c r="BI25" s="57">
        <v>100.0</v>
      </c>
      <c r="BJ25" s="57">
        <v>150.0</v>
      </c>
      <c r="BK25" s="57">
        <v>250.0</v>
      </c>
      <c r="BL25" s="57">
        <v>180.0</v>
      </c>
      <c r="BM25" s="57">
        <v>210.0</v>
      </c>
      <c r="BN25" s="57">
        <v>75.0</v>
      </c>
      <c r="BO25" s="57">
        <v>30.0</v>
      </c>
      <c r="BP25" s="57" t="s">
        <v>498</v>
      </c>
      <c r="BQ25" s="57" t="s">
        <v>499</v>
      </c>
      <c r="BR25" s="58">
        <v>25.0</v>
      </c>
      <c r="BS25" s="59" t="s">
        <v>500</v>
      </c>
      <c r="BT25" s="59" t="s">
        <v>500</v>
      </c>
      <c r="BU25" s="58">
        <v>0.37</v>
      </c>
      <c r="BV25" s="47">
        <f>IFERROR(__xludf.DUMMYFUNCTION("IFERROR(INDEX(motors!E:E, MATCH(1, (motors!A:A=REGEXEXTRACT(A25,""^\S+""))*(motors!B:B=BU25), 0)), """")"),1.6)</f>
        <v>1.6</v>
      </c>
      <c r="BW25" s="47">
        <f>IFERROR(__xludf.DUMMYFUNCTION("IFERROR(INDEX(motors!F:F, MATCH(1, (motors!A:A=REGEXEXTRACT(A25,""^\S+""))*(motors!B:B=BU25), 0)), """")"),0.9)</f>
        <v>0.9</v>
      </c>
      <c r="BX25" s="57">
        <v>2.0</v>
      </c>
      <c r="BY25" s="58">
        <v>21.0</v>
      </c>
      <c r="BZ25" s="59" t="s">
        <v>545</v>
      </c>
      <c r="CA25" s="53" t="str">
        <f>IFERROR(__xludf.DUMMYFUNCTION("IFERROR(REGEXEXTRACT(BZ25, ""(?i)[A-Z]+-D-E-([^-]+)-E""), """")"),"HQQE")</f>
        <v>HQQE</v>
      </c>
    </row>
    <row r="26" ht="11.25" customHeight="1">
      <c r="A26" s="45" t="s">
        <v>546</v>
      </c>
      <c r="B26" s="46">
        <v>7.4113745E7</v>
      </c>
      <c r="C26" s="47">
        <v>0.0</v>
      </c>
      <c r="D26" s="47">
        <v>1.2</v>
      </c>
      <c r="E26" s="47">
        <v>2.0</v>
      </c>
      <c r="F26" s="47">
        <v>2.8</v>
      </c>
      <c r="G26" s="47">
        <v>3.0</v>
      </c>
      <c r="H26" s="47">
        <v>3.2</v>
      </c>
      <c r="I26" s="47">
        <v>3.4</v>
      </c>
      <c r="J26" s="47">
        <v>3.6</v>
      </c>
      <c r="K26" s="47">
        <v>4.0</v>
      </c>
      <c r="L26" s="47">
        <v>4.4</v>
      </c>
      <c r="M26" s="48">
        <v>19.9994146383</v>
      </c>
      <c r="N26" s="47">
        <v>18.023871713594787</v>
      </c>
      <c r="O26" s="47">
        <v>16.031854143700002</v>
      </c>
      <c r="P26" s="47">
        <v>13.7313237177054</v>
      </c>
      <c r="Q26" s="47">
        <v>12.9182295092</v>
      </c>
      <c r="R26" s="47">
        <v>12.078670054905203</v>
      </c>
      <c r="S26" s="47">
        <v>11.0870008043566</v>
      </c>
      <c r="T26" s="47">
        <v>10.1462778210931</v>
      </c>
      <c r="U26" s="47">
        <v>8.006034385900028</v>
      </c>
      <c r="V26" s="47">
        <v>5.7</v>
      </c>
      <c r="W26" s="49">
        <v>0.07500000000000001</v>
      </c>
      <c r="X26" s="47">
        <v>0.138</v>
      </c>
      <c r="Y26" s="47">
        <v>0.17400000000000002</v>
      </c>
      <c r="Z26" s="47">
        <v>0.198</v>
      </c>
      <c r="AA26" s="47">
        <v>0.201</v>
      </c>
      <c r="AB26" s="47">
        <v>0.20400000000000001</v>
      </c>
      <c r="AC26" s="47">
        <v>0.20700000000000002</v>
      </c>
      <c r="AD26" s="47">
        <v>0.21000000000000002</v>
      </c>
      <c r="AE26" s="47">
        <v>0.21000000000000002</v>
      </c>
      <c r="AF26" s="47">
        <v>0.20400000000000001</v>
      </c>
      <c r="AG26" s="49">
        <v>1.148</v>
      </c>
      <c r="AH26" s="47">
        <v>1.192</v>
      </c>
      <c r="AI26" s="47">
        <v>1.273</v>
      </c>
      <c r="AJ26" s="47">
        <v>1.424</v>
      </c>
      <c r="AK26" s="47">
        <v>1.473</v>
      </c>
      <c r="AL26" s="47">
        <v>1.526</v>
      </c>
      <c r="AM26" s="47">
        <v>1.599</v>
      </c>
      <c r="AN26" s="47">
        <v>1.719</v>
      </c>
      <c r="AO26" s="47">
        <v>2.115</v>
      </c>
      <c r="AP26" s="47">
        <v>2.795</v>
      </c>
      <c r="AQ26" s="49">
        <v>0.0</v>
      </c>
      <c r="AR26" s="47">
        <v>43.44</v>
      </c>
      <c r="AS26" s="47">
        <v>53.97</v>
      </c>
      <c r="AT26" s="47">
        <v>57.97</v>
      </c>
      <c r="AU26" s="47">
        <v>57.95</v>
      </c>
      <c r="AV26" s="47">
        <v>57.5</v>
      </c>
      <c r="AW26" s="47">
        <v>56.59</v>
      </c>
      <c r="AX26" s="47">
        <v>55.19</v>
      </c>
      <c r="AY26" s="47">
        <v>50.77</v>
      </c>
      <c r="AZ26" s="47">
        <v>43.93</v>
      </c>
      <c r="BA26" s="50">
        <v>272.0</v>
      </c>
      <c r="BB26" s="51">
        <v>207.0</v>
      </c>
      <c r="BC26" s="51">
        <v>134.0</v>
      </c>
      <c r="BD26" s="51">
        <v>112.0</v>
      </c>
      <c r="BE26" s="51" t="s">
        <v>494</v>
      </c>
      <c r="BF26" s="51" t="s">
        <v>495</v>
      </c>
      <c r="BG26" s="51" t="s">
        <v>496</v>
      </c>
      <c r="BH26" s="51" t="s">
        <v>497</v>
      </c>
      <c r="BI26" s="51">
        <v>100.0</v>
      </c>
      <c r="BJ26" s="51">
        <v>150.0</v>
      </c>
      <c r="BK26" s="51">
        <v>250.0</v>
      </c>
      <c r="BL26" s="51">
        <v>180.0</v>
      </c>
      <c r="BM26" s="51">
        <v>210.0</v>
      </c>
      <c r="BN26" s="51">
        <v>75.0</v>
      </c>
      <c r="BO26" s="51">
        <v>30.0</v>
      </c>
      <c r="BP26" s="51" t="s">
        <v>498</v>
      </c>
      <c r="BQ26" s="51" t="s">
        <v>499</v>
      </c>
      <c r="BR26" s="52">
        <v>25.0</v>
      </c>
      <c r="BS26" s="53" t="s">
        <v>500</v>
      </c>
      <c r="BT26" s="53" t="s">
        <v>500</v>
      </c>
      <c r="BU26" s="52">
        <v>0.37</v>
      </c>
      <c r="BV26" s="47">
        <f>IFERROR(__xludf.DUMMYFUNCTION("IFERROR(INDEX(motors!E:E, MATCH(1, (motors!A:A=REGEXEXTRACT(A26,""^\S+""))*(motors!B:B=BU26), 0)), """")"),1.6)</f>
        <v>1.6</v>
      </c>
      <c r="BW26" s="47">
        <f>IFERROR(__xludf.DUMMYFUNCTION("IFERROR(INDEX(motors!F:F, MATCH(1, (motors!A:A=REGEXEXTRACT(A26,""^\S+""))*(motors!B:B=BU26), 0)), """")"),0.9)</f>
        <v>0.9</v>
      </c>
      <c r="BX26" s="51">
        <v>2.0</v>
      </c>
      <c r="BY26" s="52">
        <v>21.0</v>
      </c>
      <c r="BZ26" s="53" t="s">
        <v>547</v>
      </c>
      <c r="CA26" s="53" t="str">
        <f>IFERROR(__xludf.DUMMYFUNCTION("IFERROR(REGEXEXTRACT(BZ26, ""(?i)[A-Z]+-D-E-([^-]+)-E""), """")"),"HQQE")</f>
        <v>HQQE</v>
      </c>
    </row>
    <row r="27" ht="11.25" customHeight="1">
      <c r="A27" s="54" t="s">
        <v>548</v>
      </c>
      <c r="B27" s="55">
        <v>7.4113746E7</v>
      </c>
      <c r="C27" s="56">
        <v>0.0</v>
      </c>
      <c r="D27" s="56">
        <v>1.2</v>
      </c>
      <c r="E27" s="56">
        <v>2.0</v>
      </c>
      <c r="F27" s="56">
        <v>2.8</v>
      </c>
      <c r="G27" s="56">
        <v>3.0</v>
      </c>
      <c r="H27" s="56">
        <v>3.2</v>
      </c>
      <c r="I27" s="56">
        <v>3.4</v>
      </c>
      <c r="J27" s="56">
        <v>3.6</v>
      </c>
      <c r="K27" s="56">
        <v>4.0</v>
      </c>
      <c r="L27" s="56">
        <v>4.4</v>
      </c>
      <c r="M27" s="48">
        <v>25.9966949449</v>
      </c>
      <c r="N27" s="56">
        <v>24.095959218325024</v>
      </c>
      <c r="O27" s="56">
        <v>21.542643296500003</v>
      </c>
      <c r="P27" s="56">
        <v>18.48537760663657</v>
      </c>
      <c r="Q27" s="56">
        <v>17.457513160300024</v>
      </c>
      <c r="R27" s="56">
        <v>16.29968150981621</v>
      </c>
      <c r="S27" s="56">
        <v>15.14</v>
      </c>
      <c r="T27" s="56">
        <v>13.8</v>
      </c>
      <c r="U27" s="56">
        <v>11.0564608817</v>
      </c>
      <c r="V27" s="56">
        <v>8.1</v>
      </c>
      <c r="W27" s="49">
        <v>0.1</v>
      </c>
      <c r="X27" s="56">
        <v>0.184</v>
      </c>
      <c r="Y27" s="56">
        <v>0.232</v>
      </c>
      <c r="Z27" s="56">
        <v>0.264</v>
      </c>
      <c r="AA27" s="56">
        <v>0.268</v>
      </c>
      <c r="AB27" s="56">
        <v>0.272</v>
      </c>
      <c r="AC27" s="56">
        <v>0.276</v>
      </c>
      <c r="AD27" s="56">
        <v>0.28</v>
      </c>
      <c r="AE27" s="56">
        <v>0.28</v>
      </c>
      <c r="AF27" s="56">
        <v>0.272</v>
      </c>
      <c r="AG27" s="49">
        <v>1.148</v>
      </c>
      <c r="AH27" s="56">
        <v>1.192</v>
      </c>
      <c r="AI27" s="56">
        <v>1.273</v>
      </c>
      <c r="AJ27" s="56">
        <v>1.424</v>
      </c>
      <c r="AK27" s="56">
        <v>1.473</v>
      </c>
      <c r="AL27" s="56">
        <v>1.526</v>
      </c>
      <c r="AM27" s="56">
        <v>1.599</v>
      </c>
      <c r="AN27" s="56">
        <v>1.719</v>
      </c>
      <c r="AO27" s="56">
        <v>2.115</v>
      </c>
      <c r="AP27" s="56">
        <v>2.795</v>
      </c>
      <c r="AQ27" s="49">
        <v>0.0</v>
      </c>
      <c r="AR27" s="56">
        <v>43.44</v>
      </c>
      <c r="AS27" s="56">
        <v>53.97</v>
      </c>
      <c r="AT27" s="56">
        <v>57.97</v>
      </c>
      <c r="AU27" s="56">
        <v>57.95</v>
      </c>
      <c r="AV27" s="56">
        <v>57.5</v>
      </c>
      <c r="AW27" s="56">
        <v>56.59</v>
      </c>
      <c r="AX27" s="56">
        <v>55.19</v>
      </c>
      <c r="AY27" s="56">
        <v>50.77</v>
      </c>
      <c r="AZ27" s="56">
        <v>43.93</v>
      </c>
      <c r="BA27" s="50">
        <v>290.0</v>
      </c>
      <c r="BB27" s="57">
        <v>207.0</v>
      </c>
      <c r="BC27" s="57">
        <v>134.0</v>
      </c>
      <c r="BD27" s="57">
        <v>112.0</v>
      </c>
      <c r="BE27" s="57" t="s">
        <v>494</v>
      </c>
      <c r="BF27" s="57" t="s">
        <v>495</v>
      </c>
      <c r="BG27" s="57" t="s">
        <v>496</v>
      </c>
      <c r="BH27" s="57" t="s">
        <v>497</v>
      </c>
      <c r="BI27" s="57">
        <v>100.0</v>
      </c>
      <c r="BJ27" s="57">
        <v>150.0</v>
      </c>
      <c r="BK27" s="57">
        <v>250.0</v>
      </c>
      <c r="BL27" s="57">
        <v>180.0</v>
      </c>
      <c r="BM27" s="57">
        <v>210.0</v>
      </c>
      <c r="BN27" s="57">
        <v>75.0</v>
      </c>
      <c r="BO27" s="57">
        <v>30.0</v>
      </c>
      <c r="BP27" s="57" t="s">
        <v>498</v>
      </c>
      <c r="BQ27" s="57" t="s">
        <v>499</v>
      </c>
      <c r="BR27" s="58">
        <v>25.0</v>
      </c>
      <c r="BS27" s="59" t="s">
        <v>500</v>
      </c>
      <c r="BT27" s="59" t="s">
        <v>500</v>
      </c>
      <c r="BU27" s="58">
        <v>0.37</v>
      </c>
      <c r="BV27" s="47">
        <f>IFERROR(__xludf.DUMMYFUNCTION("IFERROR(INDEX(motors!E:E, MATCH(1, (motors!A:A=REGEXEXTRACT(A27,""^\S+""))*(motors!B:B=BU27), 0)), """")"),1.6)</f>
        <v>1.6</v>
      </c>
      <c r="BW27" s="47">
        <f>IFERROR(__xludf.DUMMYFUNCTION("IFERROR(INDEX(motors!F:F, MATCH(1, (motors!A:A=REGEXEXTRACT(A27,""^\S+""))*(motors!B:B=BU27), 0)), """")"),0.9)</f>
        <v>0.9</v>
      </c>
      <c r="BX27" s="57">
        <v>2.0</v>
      </c>
      <c r="BY27" s="58">
        <v>22.0</v>
      </c>
      <c r="BZ27" s="59" t="s">
        <v>549</v>
      </c>
      <c r="CA27" s="53" t="str">
        <f>IFERROR(__xludf.DUMMYFUNCTION("IFERROR(REGEXEXTRACT(BZ27, ""(?i)[A-Z]+-D-E-([^-]+)-E""), """")"),"HQQE")</f>
        <v>HQQE</v>
      </c>
    </row>
    <row r="28" ht="11.25" customHeight="1">
      <c r="A28" s="45" t="s">
        <v>550</v>
      </c>
      <c r="B28" s="46">
        <v>7.4113747E7</v>
      </c>
      <c r="C28" s="47">
        <v>0.0</v>
      </c>
      <c r="D28" s="47">
        <v>1.2</v>
      </c>
      <c r="E28" s="47">
        <v>2.0</v>
      </c>
      <c r="F28" s="47">
        <v>2.8</v>
      </c>
      <c r="G28" s="47">
        <v>3.0</v>
      </c>
      <c r="H28" s="47">
        <v>3.2</v>
      </c>
      <c r="I28" s="47">
        <v>3.4</v>
      </c>
      <c r="J28" s="47">
        <v>3.6</v>
      </c>
      <c r="K28" s="47">
        <v>4.0</v>
      </c>
      <c r="L28" s="47">
        <v>4.4</v>
      </c>
      <c r="M28" s="48">
        <v>32.0195267557</v>
      </c>
      <c r="N28" s="47">
        <v>30.00598707777443</v>
      </c>
      <c r="O28" s="47">
        <v>26.9070250411</v>
      </c>
      <c r="P28" s="47">
        <v>23.03853095144893</v>
      </c>
      <c r="Q28" s="47">
        <v>21.839637512800003</v>
      </c>
      <c r="R28" s="47">
        <v>20.51854739342722</v>
      </c>
      <c r="S28" s="47">
        <v>19.068168288868538</v>
      </c>
      <c r="T28" s="47">
        <v>17.48892380473801</v>
      </c>
      <c r="U28" s="47">
        <v>13.994900077699995</v>
      </c>
      <c r="V28" s="47">
        <v>10.2648368370581</v>
      </c>
      <c r="W28" s="49">
        <v>0.125</v>
      </c>
      <c r="X28" s="47">
        <v>0.22999999999999998</v>
      </c>
      <c r="Y28" s="47">
        <v>0.29000000000000004</v>
      </c>
      <c r="Z28" s="47">
        <v>0.33</v>
      </c>
      <c r="AA28" s="47">
        <v>0.335</v>
      </c>
      <c r="AB28" s="47">
        <v>0.34</v>
      </c>
      <c r="AC28" s="47">
        <v>0.34500000000000003</v>
      </c>
      <c r="AD28" s="47">
        <v>0.35000000000000003</v>
      </c>
      <c r="AE28" s="47">
        <v>0.35000000000000003</v>
      </c>
      <c r="AF28" s="47">
        <v>0.34</v>
      </c>
      <c r="AG28" s="49">
        <v>1.148</v>
      </c>
      <c r="AH28" s="47">
        <v>1.192</v>
      </c>
      <c r="AI28" s="47">
        <v>1.273</v>
      </c>
      <c r="AJ28" s="47">
        <v>1.424</v>
      </c>
      <c r="AK28" s="47">
        <v>1.473</v>
      </c>
      <c r="AL28" s="47">
        <v>1.526</v>
      </c>
      <c r="AM28" s="47">
        <v>1.599</v>
      </c>
      <c r="AN28" s="47">
        <v>1.719</v>
      </c>
      <c r="AO28" s="47">
        <v>2.115</v>
      </c>
      <c r="AP28" s="47">
        <v>2.795</v>
      </c>
      <c r="AQ28" s="49">
        <v>0.0</v>
      </c>
      <c r="AR28" s="47">
        <v>43.44</v>
      </c>
      <c r="AS28" s="47">
        <v>53.97</v>
      </c>
      <c r="AT28" s="47">
        <v>57.97</v>
      </c>
      <c r="AU28" s="47">
        <v>57.95</v>
      </c>
      <c r="AV28" s="47">
        <v>57.5</v>
      </c>
      <c r="AW28" s="47">
        <v>56.59</v>
      </c>
      <c r="AX28" s="47">
        <v>55.19</v>
      </c>
      <c r="AY28" s="47">
        <v>50.77</v>
      </c>
      <c r="AZ28" s="47">
        <v>43.93</v>
      </c>
      <c r="BA28" s="50">
        <v>308.0</v>
      </c>
      <c r="BB28" s="51">
        <v>207.0</v>
      </c>
      <c r="BC28" s="51">
        <v>134.0</v>
      </c>
      <c r="BD28" s="51">
        <v>112.0</v>
      </c>
      <c r="BE28" s="51" t="s">
        <v>494</v>
      </c>
      <c r="BF28" s="51" t="s">
        <v>495</v>
      </c>
      <c r="BG28" s="51" t="s">
        <v>496</v>
      </c>
      <c r="BH28" s="51" t="s">
        <v>497</v>
      </c>
      <c r="BI28" s="51">
        <v>100.0</v>
      </c>
      <c r="BJ28" s="51">
        <v>150.0</v>
      </c>
      <c r="BK28" s="51">
        <v>250.0</v>
      </c>
      <c r="BL28" s="51">
        <v>180.0</v>
      </c>
      <c r="BM28" s="51">
        <v>210.0</v>
      </c>
      <c r="BN28" s="51">
        <v>75.0</v>
      </c>
      <c r="BO28" s="51">
        <v>30.0</v>
      </c>
      <c r="BP28" s="51" t="s">
        <v>498</v>
      </c>
      <c r="BQ28" s="51" t="s">
        <v>499</v>
      </c>
      <c r="BR28" s="52">
        <v>25.0</v>
      </c>
      <c r="BS28" s="53" t="s">
        <v>500</v>
      </c>
      <c r="BT28" s="53" t="s">
        <v>500</v>
      </c>
      <c r="BU28" s="52">
        <v>0.37</v>
      </c>
      <c r="BV28" s="47">
        <f>IFERROR(__xludf.DUMMYFUNCTION("IFERROR(INDEX(motors!E:E, MATCH(1, (motors!A:A=REGEXEXTRACT(A28,""^\S+""))*(motors!B:B=BU28), 0)), """")"),1.6)</f>
        <v>1.6</v>
      </c>
      <c r="BW28" s="47">
        <f>IFERROR(__xludf.DUMMYFUNCTION("IFERROR(INDEX(motors!F:F, MATCH(1, (motors!A:A=REGEXEXTRACT(A28,""^\S+""))*(motors!B:B=BU28), 0)), """")"),0.9)</f>
        <v>0.9</v>
      </c>
      <c r="BX28" s="51">
        <v>2.0</v>
      </c>
      <c r="BY28" s="52">
        <v>22.0</v>
      </c>
      <c r="BZ28" s="53" t="s">
        <v>551</v>
      </c>
      <c r="CA28" s="53" t="str">
        <f>IFERROR(__xludf.DUMMYFUNCTION("IFERROR(REGEXEXTRACT(BZ28, ""(?i)[A-Z]+-D-E-([^-]+)-E""), """")"),"HQQE")</f>
        <v>HQQE</v>
      </c>
    </row>
    <row r="29" ht="11.25" customHeight="1">
      <c r="A29" s="54" t="s">
        <v>552</v>
      </c>
      <c r="B29" s="55">
        <v>7.4113748E7</v>
      </c>
      <c r="C29" s="56">
        <v>0.0</v>
      </c>
      <c r="D29" s="56">
        <v>1.2</v>
      </c>
      <c r="E29" s="56">
        <v>2.0</v>
      </c>
      <c r="F29" s="56">
        <v>2.8</v>
      </c>
      <c r="G29" s="56">
        <v>3.0</v>
      </c>
      <c r="H29" s="56">
        <v>3.2</v>
      </c>
      <c r="I29" s="56">
        <v>3.4</v>
      </c>
      <c r="J29" s="56">
        <v>3.6</v>
      </c>
      <c r="K29" s="56">
        <v>4.0</v>
      </c>
      <c r="L29" s="56">
        <v>4.4</v>
      </c>
      <c r="M29" s="48">
        <v>38.0185406436</v>
      </c>
      <c r="N29" s="56">
        <v>36.05467129263705</v>
      </c>
      <c r="O29" s="56">
        <v>32.4575313452</v>
      </c>
      <c r="P29" s="56">
        <v>27.67469726859047</v>
      </c>
      <c r="Q29" s="56">
        <v>26.031915977400004</v>
      </c>
      <c r="R29" s="56">
        <v>24.13609038782426</v>
      </c>
      <c r="S29" s="56">
        <v>22.1549837512505</v>
      </c>
      <c r="T29" s="56">
        <v>20.3262224491099</v>
      </c>
      <c r="U29" s="56">
        <v>16.4056776628001</v>
      </c>
      <c r="V29" s="56">
        <v>12.0</v>
      </c>
      <c r="W29" s="49">
        <v>0.15000000000000002</v>
      </c>
      <c r="X29" s="56">
        <v>0.276</v>
      </c>
      <c r="Y29" s="56">
        <v>0.34800000000000003</v>
      </c>
      <c r="Z29" s="56">
        <v>0.396</v>
      </c>
      <c r="AA29" s="56">
        <v>0.402</v>
      </c>
      <c r="AB29" s="56">
        <v>0.40800000000000003</v>
      </c>
      <c r="AC29" s="56">
        <v>0.41400000000000003</v>
      </c>
      <c r="AD29" s="56">
        <v>0.42000000000000004</v>
      </c>
      <c r="AE29" s="56">
        <v>0.42000000000000004</v>
      </c>
      <c r="AF29" s="56">
        <v>0.40800000000000003</v>
      </c>
      <c r="AG29" s="49">
        <v>1.148</v>
      </c>
      <c r="AH29" s="56">
        <v>1.192</v>
      </c>
      <c r="AI29" s="56">
        <v>1.273</v>
      </c>
      <c r="AJ29" s="56">
        <v>1.424</v>
      </c>
      <c r="AK29" s="56">
        <v>1.473</v>
      </c>
      <c r="AL29" s="56">
        <v>1.526</v>
      </c>
      <c r="AM29" s="56">
        <v>1.599</v>
      </c>
      <c r="AN29" s="56">
        <v>1.719</v>
      </c>
      <c r="AO29" s="56">
        <v>2.115</v>
      </c>
      <c r="AP29" s="56">
        <v>2.795</v>
      </c>
      <c r="AQ29" s="49">
        <v>0.0</v>
      </c>
      <c r="AR29" s="56">
        <v>43.44</v>
      </c>
      <c r="AS29" s="56">
        <v>53.97</v>
      </c>
      <c r="AT29" s="56">
        <v>57.97</v>
      </c>
      <c r="AU29" s="56">
        <v>57.95</v>
      </c>
      <c r="AV29" s="56">
        <v>57.5</v>
      </c>
      <c r="AW29" s="56">
        <v>56.59</v>
      </c>
      <c r="AX29" s="56">
        <v>55.19</v>
      </c>
      <c r="AY29" s="56">
        <v>50.77</v>
      </c>
      <c r="AZ29" s="56">
        <v>43.93</v>
      </c>
      <c r="BA29" s="50">
        <v>326.0</v>
      </c>
      <c r="BB29" s="57">
        <v>207.0</v>
      </c>
      <c r="BC29" s="57">
        <v>134.0</v>
      </c>
      <c r="BD29" s="57">
        <v>112.0</v>
      </c>
      <c r="BE29" s="57" t="s">
        <v>494</v>
      </c>
      <c r="BF29" s="57" t="s">
        <v>495</v>
      </c>
      <c r="BG29" s="57" t="s">
        <v>496</v>
      </c>
      <c r="BH29" s="57" t="s">
        <v>497</v>
      </c>
      <c r="BI29" s="57">
        <v>100.0</v>
      </c>
      <c r="BJ29" s="57">
        <v>150.0</v>
      </c>
      <c r="BK29" s="57">
        <v>250.0</v>
      </c>
      <c r="BL29" s="57">
        <v>180.0</v>
      </c>
      <c r="BM29" s="57">
        <v>210.0</v>
      </c>
      <c r="BN29" s="57">
        <v>75.0</v>
      </c>
      <c r="BO29" s="57">
        <v>30.0</v>
      </c>
      <c r="BP29" s="57" t="s">
        <v>498</v>
      </c>
      <c r="BQ29" s="57" t="s">
        <v>499</v>
      </c>
      <c r="BR29" s="58">
        <v>25.0</v>
      </c>
      <c r="BS29" s="59" t="s">
        <v>500</v>
      </c>
      <c r="BT29" s="59" t="s">
        <v>500</v>
      </c>
      <c r="BU29" s="58">
        <v>0.55</v>
      </c>
      <c r="BV29" s="47">
        <f>IFERROR(__xludf.DUMMYFUNCTION("IFERROR(INDEX(motors!E:E, MATCH(1, (motors!A:A=REGEXEXTRACT(A29,""^\S+""))*(motors!B:B=BU29), 0)), """")"),2.3)</f>
        <v>2.3</v>
      </c>
      <c r="BW29" s="47">
        <f>IFERROR(__xludf.DUMMYFUNCTION("IFERROR(INDEX(motors!F:F, MATCH(1, (motors!A:A=REGEXEXTRACT(A29,""^\S+""))*(motors!B:B=BU29), 0)), """")"),1.3)</f>
        <v>1.3</v>
      </c>
      <c r="BX29" s="57">
        <v>2.0</v>
      </c>
      <c r="BY29" s="58">
        <v>23.0</v>
      </c>
      <c r="BZ29" s="59" t="s">
        <v>553</v>
      </c>
      <c r="CA29" s="53" t="str">
        <f>IFERROR(__xludf.DUMMYFUNCTION("IFERROR(REGEXEXTRACT(BZ29, ""(?i)[A-Z]+-D-E-([^-]+)-E""), """")"),"HQQE")</f>
        <v>HQQE</v>
      </c>
    </row>
    <row r="30" ht="11.25" customHeight="1">
      <c r="A30" s="45" t="s">
        <v>554</v>
      </c>
      <c r="B30" s="46">
        <v>7.4113749E7</v>
      </c>
      <c r="C30" s="47">
        <v>0.0</v>
      </c>
      <c r="D30" s="47">
        <v>1.2</v>
      </c>
      <c r="E30" s="47">
        <v>2.0</v>
      </c>
      <c r="F30" s="47">
        <v>2.8</v>
      </c>
      <c r="G30" s="47">
        <v>3.0</v>
      </c>
      <c r="H30" s="47">
        <v>3.2</v>
      </c>
      <c r="I30" s="47">
        <v>3.4</v>
      </c>
      <c r="J30" s="47">
        <v>3.6</v>
      </c>
      <c r="K30" s="47">
        <v>4.0</v>
      </c>
      <c r="L30" s="47">
        <v>4.4</v>
      </c>
      <c r="M30" s="48">
        <v>45.0213800382</v>
      </c>
      <c r="N30" s="47">
        <v>41.94999254097389</v>
      </c>
      <c r="O30" s="47">
        <v>38.805116325</v>
      </c>
      <c r="P30" s="47">
        <v>32.71865536853588</v>
      </c>
      <c r="Q30" s="47">
        <v>30.676584352500004</v>
      </c>
      <c r="R30" s="47">
        <v>28.6744697276075</v>
      </c>
      <c r="S30" s="47">
        <v>26.5681285896871</v>
      </c>
      <c r="T30" s="47">
        <v>24.5</v>
      </c>
      <c r="U30" s="47">
        <v>19.525895940600005</v>
      </c>
      <c r="V30" s="47">
        <v>14.4</v>
      </c>
      <c r="W30" s="49">
        <v>0.17500000000000002</v>
      </c>
      <c r="X30" s="47">
        <v>0.322</v>
      </c>
      <c r="Y30" s="47">
        <v>0.406</v>
      </c>
      <c r="Z30" s="47">
        <v>0.462</v>
      </c>
      <c r="AA30" s="47">
        <v>0.46900000000000003</v>
      </c>
      <c r="AB30" s="47">
        <v>0.47600000000000003</v>
      </c>
      <c r="AC30" s="47">
        <v>0.48300000000000004</v>
      </c>
      <c r="AD30" s="47">
        <v>0.49000000000000005</v>
      </c>
      <c r="AE30" s="47">
        <v>0.49000000000000005</v>
      </c>
      <c r="AF30" s="47">
        <v>0.47600000000000003</v>
      </c>
      <c r="AG30" s="49">
        <v>1.148</v>
      </c>
      <c r="AH30" s="47">
        <v>1.192</v>
      </c>
      <c r="AI30" s="47">
        <v>1.273</v>
      </c>
      <c r="AJ30" s="47">
        <v>1.424</v>
      </c>
      <c r="AK30" s="47">
        <v>1.473</v>
      </c>
      <c r="AL30" s="47">
        <v>1.526</v>
      </c>
      <c r="AM30" s="47">
        <v>1.599</v>
      </c>
      <c r="AN30" s="47">
        <v>1.719</v>
      </c>
      <c r="AO30" s="47">
        <v>2.115</v>
      </c>
      <c r="AP30" s="47">
        <v>2.795</v>
      </c>
      <c r="AQ30" s="49">
        <v>0.0</v>
      </c>
      <c r="AR30" s="47">
        <v>43.44</v>
      </c>
      <c r="AS30" s="47">
        <v>53.97</v>
      </c>
      <c r="AT30" s="47">
        <v>57.97</v>
      </c>
      <c r="AU30" s="47">
        <v>57.95</v>
      </c>
      <c r="AV30" s="47">
        <v>57.5</v>
      </c>
      <c r="AW30" s="47">
        <v>56.59</v>
      </c>
      <c r="AX30" s="47">
        <v>55.19</v>
      </c>
      <c r="AY30" s="47">
        <v>50.77</v>
      </c>
      <c r="AZ30" s="47">
        <v>43.93</v>
      </c>
      <c r="BA30" s="50">
        <v>344.0</v>
      </c>
      <c r="BB30" s="51">
        <v>207.0</v>
      </c>
      <c r="BC30" s="51">
        <v>134.0</v>
      </c>
      <c r="BD30" s="51">
        <v>112.0</v>
      </c>
      <c r="BE30" s="51" t="s">
        <v>494</v>
      </c>
      <c r="BF30" s="51" t="s">
        <v>495</v>
      </c>
      <c r="BG30" s="51" t="s">
        <v>496</v>
      </c>
      <c r="BH30" s="51" t="s">
        <v>497</v>
      </c>
      <c r="BI30" s="51">
        <v>100.0</v>
      </c>
      <c r="BJ30" s="51">
        <v>150.0</v>
      </c>
      <c r="BK30" s="51">
        <v>250.0</v>
      </c>
      <c r="BL30" s="51">
        <v>180.0</v>
      </c>
      <c r="BM30" s="51">
        <v>210.0</v>
      </c>
      <c r="BN30" s="51">
        <v>75.0</v>
      </c>
      <c r="BO30" s="51">
        <v>30.0</v>
      </c>
      <c r="BP30" s="51" t="s">
        <v>498</v>
      </c>
      <c r="BQ30" s="51" t="s">
        <v>499</v>
      </c>
      <c r="BR30" s="52">
        <v>25.0</v>
      </c>
      <c r="BS30" s="53" t="s">
        <v>500</v>
      </c>
      <c r="BT30" s="53" t="s">
        <v>500</v>
      </c>
      <c r="BU30" s="52">
        <v>0.55</v>
      </c>
      <c r="BV30" s="47">
        <f>IFERROR(__xludf.DUMMYFUNCTION("IFERROR(INDEX(motors!E:E, MATCH(1, (motors!A:A=REGEXEXTRACT(A30,""^\S+""))*(motors!B:B=BU30), 0)), """")"),2.3)</f>
        <v>2.3</v>
      </c>
      <c r="BW30" s="47">
        <f>IFERROR(__xludf.DUMMYFUNCTION("IFERROR(INDEX(motors!F:F, MATCH(1, (motors!A:A=REGEXEXTRACT(A30,""^\S+""))*(motors!B:B=BU30), 0)), """")"),1.3)</f>
        <v>1.3</v>
      </c>
      <c r="BX30" s="51">
        <v>2.0</v>
      </c>
      <c r="BY30" s="52">
        <v>23.0</v>
      </c>
      <c r="BZ30" s="53" t="s">
        <v>555</v>
      </c>
      <c r="CA30" s="53" t="str">
        <f>IFERROR(__xludf.DUMMYFUNCTION("IFERROR(REGEXEXTRACT(BZ30, ""(?i)[A-Z]+-D-E-([^-]+)-E""), """")"),"HQQE")</f>
        <v>HQQE</v>
      </c>
    </row>
    <row r="31" ht="11.25" customHeight="1">
      <c r="A31" s="54" t="s">
        <v>556</v>
      </c>
      <c r="B31" s="55">
        <v>7.411375E7</v>
      </c>
      <c r="C31" s="56">
        <v>0.0</v>
      </c>
      <c r="D31" s="56">
        <v>1.2</v>
      </c>
      <c r="E31" s="56">
        <v>2.0</v>
      </c>
      <c r="F31" s="56">
        <v>2.8</v>
      </c>
      <c r="G31" s="56">
        <v>3.0</v>
      </c>
      <c r="H31" s="56">
        <v>3.2</v>
      </c>
      <c r="I31" s="56">
        <v>3.4</v>
      </c>
      <c r="J31" s="56">
        <v>3.6</v>
      </c>
      <c r="K31" s="56">
        <v>4.0</v>
      </c>
      <c r="L31" s="56">
        <v>4.4</v>
      </c>
      <c r="M31" s="48">
        <v>51.030178799</v>
      </c>
      <c r="N31" s="56">
        <v>47.97718544530995</v>
      </c>
      <c r="O31" s="56">
        <v>43.87240637239999</v>
      </c>
      <c r="P31" s="56">
        <v>37.19973122577227</v>
      </c>
      <c r="Q31" s="56">
        <v>34.92949664240001</v>
      </c>
      <c r="R31" s="56">
        <v>32.65</v>
      </c>
      <c r="S31" s="56">
        <v>30.4</v>
      </c>
      <c r="T31" s="56">
        <v>27.88</v>
      </c>
      <c r="U31" s="56">
        <v>22.475163403399982</v>
      </c>
      <c r="V31" s="56">
        <v>16.8</v>
      </c>
      <c r="W31" s="49">
        <v>0.2</v>
      </c>
      <c r="X31" s="56">
        <v>0.368</v>
      </c>
      <c r="Y31" s="56">
        <v>0.464</v>
      </c>
      <c r="Z31" s="56">
        <v>0.528</v>
      </c>
      <c r="AA31" s="56">
        <v>0.536</v>
      </c>
      <c r="AB31" s="56">
        <v>0.544</v>
      </c>
      <c r="AC31" s="56">
        <v>0.552</v>
      </c>
      <c r="AD31" s="56">
        <v>0.56</v>
      </c>
      <c r="AE31" s="56">
        <v>0.56</v>
      </c>
      <c r="AF31" s="56">
        <v>0.544</v>
      </c>
      <c r="AG31" s="49">
        <v>1.148</v>
      </c>
      <c r="AH31" s="56">
        <v>1.192</v>
      </c>
      <c r="AI31" s="56">
        <v>1.273</v>
      </c>
      <c r="AJ31" s="56">
        <v>1.424</v>
      </c>
      <c r="AK31" s="56">
        <v>1.473</v>
      </c>
      <c r="AL31" s="56">
        <v>1.526</v>
      </c>
      <c r="AM31" s="56">
        <v>1.599</v>
      </c>
      <c r="AN31" s="56">
        <v>1.719</v>
      </c>
      <c r="AO31" s="56">
        <v>2.115</v>
      </c>
      <c r="AP31" s="56">
        <v>2.795</v>
      </c>
      <c r="AQ31" s="49">
        <v>0.0</v>
      </c>
      <c r="AR31" s="56">
        <v>43.44</v>
      </c>
      <c r="AS31" s="56">
        <v>53.97</v>
      </c>
      <c r="AT31" s="56">
        <v>57.97</v>
      </c>
      <c r="AU31" s="56">
        <v>57.95</v>
      </c>
      <c r="AV31" s="56">
        <v>57.5</v>
      </c>
      <c r="AW31" s="56">
        <v>56.59</v>
      </c>
      <c r="AX31" s="56">
        <v>55.19</v>
      </c>
      <c r="AY31" s="56">
        <v>50.77</v>
      </c>
      <c r="AZ31" s="56">
        <v>43.93</v>
      </c>
      <c r="BA31" s="50">
        <v>362.0</v>
      </c>
      <c r="BB31" s="57">
        <v>207.0</v>
      </c>
      <c r="BC31" s="57">
        <v>134.0</v>
      </c>
      <c r="BD31" s="57">
        <v>112.0</v>
      </c>
      <c r="BE31" s="57" t="s">
        <v>494</v>
      </c>
      <c r="BF31" s="57" t="s">
        <v>495</v>
      </c>
      <c r="BG31" s="57" t="s">
        <v>496</v>
      </c>
      <c r="BH31" s="57" t="s">
        <v>497</v>
      </c>
      <c r="BI31" s="57">
        <v>100.0</v>
      </c>
      <c r="BJ31" s="57">
        <v>150.0</v>
      </c>
      <c r="BK31" s="57">
        <v>250.0</v>
      </c>
      <c r="BL31" s="57">
        <v>180.0</v>
      </c>
      <c r="BM31" s="57">
        <v>210.0</v>
      </c>
      <c r="BN31" s="57">
        <v>75.0</v>
      </c>
      <c r="BO31" s="57">
        <v>30.0</v>
      </c>
      <c r="BP31" s="57" t="s">
        <v>498</v>
      </c>
      <c r="BQ31" s="57" t="s">
        <v>499</v>
      </c>
      <c r="BR31" s="58">
        <v>25.0</v>
      </c>
      <c r="BS31" s="59" t="s">
        <v>500</v>
      </c>
      <c r="BT31" s="59" t="s">
        <v>500</v>
      </c>
      <c r="BU31" s="58">
        <v>0.75</v>
      </c>
      <c r="BV31" s="47">
        <f>IFERROR(__xludf.DUMMYFUNCTION("IFERROR(INDEX(motors!E:E, MATCH(1, (motors!A:A=REGEXEXTRACT(A31,""^\S+""))*(motors!B:B=BU31), 0)), """")"),3.0)</f>
        <v>3</v>
      </c>
      <c r="BW31" s="47">
        <f>IFERROR(__xludf.DUMMYFUNCTION("IFERROR(INDEX(motors!F:F, MATCH(1, (motors!A:A=REGEXEXTRACT(A31,""^\S+""))*(motors!B:B=BU31), 0)), """")"),1.7)</f>
        <v>1.7</v>
      </c>
      <c r="BX31" s="57">
        <v>2.0</v>
      </c>
      <c r="BY31" s="58">
        <v>24.0</v>
      </c>
      <c r="BZ31" s="59" t="s">
        <v>557</v>
      </c>
      <c r="CA31" s="53" t="str">
        <f>IFERROR(__xludf.DUMMYFUNCTION("IFERROR(REGEXEXTRACT(BZ31, ""(?i)[A-Z]+-D-E-([^-]+)-E""), """")"),"HQQE")</f>
        <v>HQQE</v>
      </c>
    </row>
    <row r="32" ht="11.25" customHeight="1">
      <c r="A32" s="45" t="s">
        <v>558</v>
      </c>
      <c r="B32" s="46">
        <v>7.4113751E7</v>
      </c>
      <c r="C32" s="47">
        <v>0.0</v>
      </c>
      <c r="D32" s="47">
        <v>1.2</v>
      </c>
      <c r="E32" s="47">
        <v>2.0</v>
      </c>
      <c r="F32" s="47">
        <v>2.8</v>
      </c>
      <c r="G32" s="47">
        <v>3.0</v>
      </c>
      <c r="H32" s="47">
        <v>3.2</v>
      </c>
      <c r="I32" s="47">
        <v>3.4</v>
      </c>
      <c r="J32" s="47">
        <v>3.6</v>
      </c>
      <c r="K32" s="47">
        <v>4.0</v>
      </c>
      <c r="L32" s="47">
        <v>4.4</v>
      </c>
      <c r="M32" s="48">
        <v>57.045157519</v>
      </c>
      <c r="N32" s="47">
        <v>52.84898761508627</v>
      </c>
      <c r="O32" s="47">
        <v>48.945486355</v>
      </c>
      <c r="P32" s="47">
        <v>41.57159329948844</v>
      </c>
      <c r="Q32" s="47">
        <v>39.2764908067</v>
      </c>
      <c r="R32" s="47">
        <v>36.84591698670228</v>
      </c>
      <c r="S32" s="47">
        <v>34.29988782760374</v>
      </c>
      <c r="T32" s="47">
        <v>31.7528218029349</v>
      </c>
      <c r="U32" s="47">
        <v>26.2697909286</v>
      </c>
      <c r="V32" s="47">
        <v>20.002216380094097</v>
      </c>
      <c r="W32" s="49">
        <v>0.225</v>
      </c>
      <c r="X32" s="47">
        <v>0.414</v>
      </c>
      <c r="Y32" s="47">
        <v>0.522</v>
      </c>
      <c r="Z32" s="47">
        <v>0.5940000000000001</v>
      </c>
      <c r="AA32" s="47">
        <v>0.603</v>
      </c>
      <c r="AB32" s="47">
        <v>0.6120000000000001</v>
      </c>
      <c r="AC32" s="47">
        <v>0.621</v>
      </c>
      <c r="AD32" s="47">
        <v>0.6300000000000001</v>
      </c>
      <c r="AE32" s="47">
        <v>0.6300000000000001</v>
      </c>
      <c r="AF32" s="47">
        <v>0.6120000000000001</v>
      </c>
      <c r="AG32" s="49">
        <v>1.148</v>
      </c>
      <c r="AH32" s="47">
        <v>1.192</v>
      </c>
      <c r="AI32" s="47">
        <v>1.273</v>
      </c>
      <c r="AJ32" s="47">
        <v>1.424</v>
      </c>
      <c r="AK32" s="47">
        <v>1.473</v>
      </c>
      <c r="AL32" s="47">
        <v>1.526</v>
      </c>
      <c r="AM32" s="47">
        <v>1.599</v>
      </c>
      <c r="AN32" s="47">
        <v>1.719</v>
      </c>
      <c r="AO32" s="47">
        <v>2.115</v>
      </c>
      <c r="AP32" s="47">
        <v>2.795</v>
      </c>
      <c r="AQ32" s="49">
        <v>0.0</v>
      </c>
      <c r="AR32" s="47">
        <v>43.44</v>
      </c>
      <c r="AS32" s="47">
        <v>53.97</v>
      </c>
      <c r="AT32" s="47">
        <v>57.97</v>
      </c>
      <c r="AU32" s="47">
        <v>57.95</v>
      </c>
      <c r="AV32" s="47">
        <v>57.5</v>
      </c>
      <c r="AW32" s="47">
        <v>56.59</v>
      </c>
      <c r="AX32" s="47">
        <v>55.19</v>
      </c>
      <c r="AY32" s="47">
        <v>50.77</v>
      </c>
      <c r="AZ32" s="47">
        <v>43.93</v>
      </c>
      <c r="BA32" s="50">
        <v>380.0</v>
      </c>
      <c r="BB32" s="51">
        <v>207.0</v>
      </c>
      <c r="BC32" s="51">
        <v>134.0</v>
      </c>
      <c r="BD32" s="51">
        <v>112.0</v>
      </c>
      <c r="BE32" s="51" t="s">
        <v>494</v>
      </c>
      <c r="BF32" s="51" t="s">
        <v>495</v>
      </c>
      <c r="BG32" s="51" t="s">
        <v>496</v>
      </c>
      <c r="BH32" s="51" t="s">
        <v>497</v>
      </c>
      <c r="BI32" s="51">
        <v>100.0</v>
      </c>
      <c r="BJ32" s="51">
        <v>150.0</v>
      </c>
      <c r="BK32" s="51">
        <v>250.0</v>
      </c>
      <c r="BL32" s="51">
        <v>180.0</v>
      </c>
      <c r="BM32" s="51">
        <v>210.0</v>
      </c>
      <c r="BN32" s="51">
        <v>75.0</v>
      </c>
      <c r="BO32" s="51">
        <v>30.0</v>
      </c>
      <c r="BP32" s="51" t="s">
        <v>498</v>
      </c>
      <c r="BQ32" s="51" t="s">
        <v>499</v>
      </c>
      <c r="BR32" s="52">
        <v>25.0</v>
      </c>
      <c r="BS32" s="53" t="s">
        <v>500</v>
      </c>
      <c r="BT32" s="53" t="s">
        <v>500</v>
      </c>
      <c r="BU32" s="52">
        <v>0.75</v>
      </c>
      <c r="BV32" s="47">
        <f>IFERROR(__xludf.DUMMYFUNCTION("IFERROR(INDEX(motors!E:E, MATCH(1, (motors!A:A=REGEXEXTRACT(A32,""^\S+""))*(motors!B:B=BU32), 0)), """")"),3.0)</f>
        <v>3</v>
      </c>
      <c r="BW32" s="47">
        <f>IFERROR(__xludf.DUMMYFUNCTION("IFERROR(INDEX(motors!F:F, MATCH(1, (motors!A:A=REGEXEXTRACT(A32,""^\S+""))*(motors!B:B=BU32), 0)), """")"),1.7)</f>
        <v>1.7</v>
      </c>
      <c r="BX32" s="51">
        <v>2.0</v>
      </c>
      <c r="BY32" s="52">
        <v>24.0</v>
      </c>
      <c r="BZ32" s="53" t="s">
        <v>559</v>
      </c>
      <c r="CA32" s="53" t="str">
        <f>IFERROR(__xludf.DUMMYFUNCTION("IFERROR(REGEXEXTRACT(BZ32, ""(?i)[A-Z]+-D-E-([^-]+)-E""), """")"),"HQQE")</f>
        <v>HQQE</v>
      </c>
    </row>
    <row r="33" ht="11.25" customHeight="1">
      <c r="A33" s="54" t="s">
        <v>560</v>
      </c>
      <c r="B33" s="55">
        <v>7.4113752E7</v>
      </c>
      <c r="C33" s="56">
        <v>0.0</v>
      </c>
      <c r="D33" s="56">
        <v>1.2</v>
      </c>
      <c r="E33" s="56">
        <v>2.0</v>
      </c>
      <c r="F33" s="56">
        <v>2.8</v>
      </c>
      <c r="G33" s="56">
        <v>3.0</v>
      </c>
      <c r="H33" s="56">
        <v>3.2</v>
      </c>
      <c r="I33" s="56">
        <v>3.4</v>
      </c>
      <c r="J33" s="56">
        <v>3.6</v>
      </c>
      <c r="K33" s="56">
        <v>4.0</v>
      </c>
      <c r="L33" s="56">
        <v>4.4</v>
      </c>
      <c r="M33" s="48">
        <v>63.0417390374</v>
      </c>
      <c r="N33" s="56">
        <v>58.91607343411981</v>
      </c>
      <c r="O33" s="56">
        <v>54.7065392336</v>
      </c>
      <c r="P33" s="56">
        <v>46.15215031053555</v>
      </c>
      <c r="Q33" s="56">
        <v>43.3458391811</v>
      </c>
      <c r="R33" s="56">
        <v>40.55</v>
      </c>
      <c r="S33" s="56">
        <v>37.65</v>
      </c>
      <c r="T33" s="56">
        <v>34.65</v>
      </c>
      <c r="U33" s="56">
        <v>27.986883508999995</v>
      </c>
      <c r="V33" s="56">
        <v>20.8</v>
      </c>
      <c r="W33" s="49">
        <v>0.25</v>
      </c>
      <c r="X33" s="56">
        <v>0.45999999999999996</v>
      </c>
      <c r="Y33" s="56">
        <v>0.5800000000000001</v>
      </c>
      <c r="Z33" s="56">
        <v>0.66</v>
      </c>
      <c r="AA33" s="56">
        <v>0.67</v>
      </c>
      <c r="AB33" s="56">
        <v>0.68</v>
      </c>
      <c r="AC33" s="56">
        <v>0.6900000000000001</v>
      </c>
      <c r="AD33" s="56">
        <v>0.7000000000000001</v>
      </c>
      <c r="AE33" s="56">
        <v>0.7000000000000001</v>
      </c>
      <c r="AF33" s="56">
        <v>0.68</v>
      </c>
      <c r="AG33" s="49">
        <v>1.148</v>
      </c>
      <c r="AH33" s="56">
        <v>1.192</v>
      </c>
      <c r="AI33" s="56">
        <v>1.273</v>
      </c>
      <c r="AJ33" s="56">
        <v>1.424</v>
      </c>
      <c r="AK33" s="56">
        <v>1.473</v>
      </c>
      <c r="AL33" s="56">
        <v>1.526</v>
      </c>
      <c r="AM33" s="56">
        <v>1.599</v>
      </c>
      <c r="AN33" s="56">
        <v>1.719</v>
      </c>
      <c r="AO33" s="56">
        <v>2.115</v>
      </c>
      <c r="AP33" s="56">
        <v>2.795</v>
      </c>
      <c r="AQ33" s="49">
        <v>0.0</v>
      </c>
      <c r="AR33" s="56">
        <v>43.44</v>
      </c>
      <c r="AS33" s="56">
        <v>53.97</v>
      </c>
      <c r="AT33" s="56">
        <v>57.97</v>
      </c>
      <c r="AU33" s="56">
        <v>57.95</v>
      </c>
      <c r="AV33" s="56">
        <v>57.5</v>
      </c>
      <c r="AW33" s="56">
        <v>56.59</v>
      </c>
      <c r="AX33" s="56">
        <v>55.19</v>
      </c>
      <c r="AY33" s="56">
        <v>50.77</v>
      </c>
      <c r="AZ33" s="56">
        <v>43.93</v>
      </c>
      <c r="BA33" s="50">
        <v>398.0</v>
      </c>
      <c r="BB33" s="57">
        <v>207.0</v>
      </c>
      <c r="BC33" s="57">
        <v>134.0</v>
      </c>
      <c r="BD33" s="57">
        <v>112.0</v>
      </c>
      <c r="BE33" s="57" t="s">
        <v>494</v>
      </c>
      <c r="BF33" s="57" t="s">
        <v>495</v>
      </c>
      <c r="BG33" s="57" t="s">
        <v>496</v>
      </c>
      <c r="BH33" s="57" t="s">
        <v>497</v>
      </c>
      <c r="BI33" s="57">
        <v>100.0</v>
      </c>
      <c r="BJ33" s="57">
        <v>150.0</v>
      </c>
      <c r="BK33" s="57">
        <v>250.0</v>
      </c>
      <c r="BL33" s="57">
        <v>180.0</v>
      </c>
      <c r="BM33" s="57">
        <v>210.0</v>
      </c>
      <c r="BN33" s="57">
        <v>75.0</v>
      </c>
      <c r="BO33" s="57">
        <v>30.0</v>
      </c>
      <c r="BP33" s="57" t="s">
        <v>498</v>
      </c>
      <c r="BQ33" s="57" t="s">
        <v>499</v>
      </c>
      <c r="BR33" s="58">
        <v>25.0</v>
      </c>
      <c r="BS33" s="59" t="s">
        <v>500</v>
      </c>
      <c r="BT33" s="59" t="s">
        <v>500</v>
      </c>
      <c r="BU33" s="58">
        <v>0.75</v>
      </c>
      <c r="BV33" s="47">
        <f>IFERROR(__xludf.DUMMYFUNCTION("IFERROR(INDEX(motors!E:E, MATCH(1, (motors!A:A=REGEXEXTRACT(A33,""^\S+""))*(motors!B:B=BU33), 0)), """")"),3.0)</f>
        <v>3</v>
      </c>
      <c r="BW33" s="47">
        <f>IFERROR(__xludf.DUMMYFUNCTION("IFERROR(INDEX(motors!F:F, MATCH(1, (motors!A:A=REGEXEXTRACT(A33,""^\S+""))*(motors!B:B=BU33), 0)), """")"),1.7)</f>
        <v>1.7</v>
      </c>
      <c r="BX33" s="57">
        <v>2.0</v>
      </c>
      <c r="BY33" s="58">
        <v>25.0</v>
      </c>
      <c r="BZ33" s="59" t="s">
        <v>561</v>
      </c>
      <c r="CA33" s="53" t="str">
        <f>IFERROR(__xludf.DUMMYFUNCTION("IFERROR(REGEXEXTRACT(BZ33, ""(?i)[A-Z]+-D-E-([^-]+)-E""), """")"),"HQQE")</f>
        <v>HQQE</v>
      </c>
    </row>
    <row r="34" ht="11.25" customHeight="1">
      <c r="A34" s="45" t="s">
        <v>562</v>
      </c>
      <c r="B34" s="46">
        <v>7.4113753E7</v>
      </c>
      <c r="C34" s="47">
        <v>0.0</v>
      </c>
      <c r="D34" s="47">
        <v>1.2</v>
      </c>
      <c r="E34" s="47">
        <v>2.0</v>
      </c>
      <c r="F34" s="47">
        <v>2.8</v>
      </c>
      <c r="G34" s="47">
        <v>3.0</v>
      </c>
      <c r="H34" s="47">
        <v>3.2</v>
      </c>
      <c r="I34" s="47">
        <v>3.4</v>
      </c>
      <c r="J34" s="47">
        <v>3.6</v>
      </c>
      <c r="K34" s="47">
        <v>4.0</v>
      </c>
      <c r="L34" s="47">
        <v>4.4</v>
      </c>
      <c r="M34" s="48">
        <v>70.0023340605</v>
      </c>
      <c r="N34" s="47">
        <v>64.9127830210154</v>
      </c>
      <c r="O34" s="47">
        <v>59.813917386700005</v>
      </c>
      <c r="P34" s="47">
        <v>51.028723819057255</v>
      </c>
      <c r="Q34" s="47">
        <v>48.16994384160001</v>
      </c>
      <c r="R34" s="47">
        <v>45.05514398955779</v>
      </c>
      <c r="S34" s="47">
        <v>41.9</v>
      </c>
      <c r="T34" s="47">
        <v>38.7</v>
      </c>
      <c r="U34" s="47">
        <v>30.8</v>
      </c>
      <c r="V34" s="47">
        <v>22.5</v>
      </c>
      <c r="W34" s="49">
        <v>0.275</v>
      </c>
      <c r="X34" s="47">
        <v>0.506</v>
      </c>
      <c r="Y34" s="47">
        <v>0.638</v>
      </c>
      <c r="Z34" s="47">
        <v>0.726</v>
      </c>
      <c r="AA34" s="47">
        <v>0.7370000000000001</v>
      </c>
      <c r="AB34" s="47">
        <v>0.748</v>
      </c>
      <c r="AC34" s="47">
        <v>0.7590000000000001</v>
      </c>
      <c r="AD34" s="47">
        <v>0.77</v>
      </c>
      <c r="AE34" s="47">
        <v>0.77</v>
      </c>
      <c r="AF34" s="47">
        <v>0.748</v>
      </c>
      <c r="AG34" s="49">
        <v>1.148</v>
      </c>
      <c r="AH34" s="47">
        <v>1.192</v>
      </c>
      <c r="AI34" s="47">
        <v>1.273</v>
      </c>
      <c r="AJ34" s="47">
        <v>1.424</v>
      </c>
      <c r="AK34" s="47">
        <v>1.473</v>
      </c>
      <c r="AL34" s="47">
        <v>1.526</v>
      </c>
      <c r="AM34" s="47">
        <v>1.599</v>
      </c>
      <c r="AN34" s="47">
        <v>1.719</v>
      </c>
      <c r="AO34" s="47">
        <v>2.115</v>
      </c>
      <c r="AP34" s="47">
        <v>2.795</v>
      </c>
      <c r="AQ34" s="49">
        <v>0.0</v>
      </c>
      <c r="AR34" s="47">
        <v>43.44</v>
      </c>
      <c r="AS34" s="47">
        <v>53.97</v>
      </c>
      <c r="AT34" s="47">
        <v>57.97</v>
      </c>
      <c r="AU34" s="47">
        <v>57.95</v>
      </c>
      <c r="AV34" s="47">
        <v>57.5</v>
      </c>
      <c r="AW34" s="47">
        <v>56.59</v>
      </c>
      <c r="AX34" s="47">
        <v>55.19</v>
      </c>
      <c r="AY34" s="47">
        <v>50.77</v>
      </c>
      <c r="AZ34" s="47">
        <v>43.93</v>
      </c>
      <c r="BA34" s="50">
        <v>426.0</v>
      </c>
      <c r="BB34" s="51">
        <v>240.0</v>
      </c>
      <c r="BC34" s="51">
        <v>150.0</v>
      </c>
      <c r="BD34" s="51">
        <v>118.0</v>
      </c>
      <c r="BE34" s="51" t="s">
        <v>494</v>
      </c>
      <c r="BF34" s="51" t="s">
        <v>495</v>
      </c>
      <c r="BG34" s="51" t="s">
        <v>496</v>
      </c>
      <c r="BH34" s="51" t="s">
        <v>497</v>
      </c>
      <c r="BI34" s="51">
        <v>100.0</v>
      </c>
      <c r="BJ34" s="51">
        <v>150.0</v>
      </c>
      <c r="BK34" s="51">
        <v>250.0</v>
      </c>
      <c r="BL34" s="51">
        <v>180.0</v>
      </c>
      <c r="BM34" s="51">
        <v>210.0</v>
      </c>
      <c r="BN34" s="51">
        <v>75.0</v>
      </c>
      <c r="BO34" s="51">
        <v>30.0</v>
      </c>
      <c r="BP34" s="51" t="s">
        <v>498</v>
      </c>
      <c r="BQ34" s="51" t="s">
        <v>499</v>
      </c>
      <c r="BR34" s="52">
        <v>25.0</v>
      </c>
      <c r="BS34" s="53" t="s">
        <v>500</v>
      </c>
      <c r="BT34" s="53" t="s">
        <v>500</v>
      </c>
      <c r="BU34" s="52">
        <v>1.1</v>
      </c>
      <c r="BV34" s="47">
        <f>IFERROR(__xludf.DUMMYFUNCTION("IFERROR(INDEX(motors!E:E, MATCH(1, (motors!A:A=REGEXEXTRACT(A34,""^\S+""))*(motors!B:B=BU34), 0)), """")"),4.2)</f>
        <v>4.2</v>
      </c>
      <c r="BW34" s="47">
        <f>IFERROR(__xludf.DUMMYFUNCTION("IFERROR(INDEX(motors!F:F, MATCH(1, (motors!A:A=REGEXEXTRACT(A34,""^\S+""))*(motors!B:B=BU34), 0)), """")"),2.4)</f>
        <v>2.4</v>
      </c>
      <c r="BX34" s="51">
        <v>2.0</v>
      </c>
      <c r="BY34" s="52">
        <v>25.0</v>
      </c>
      <c r="BZ34" s="53" t="s">
        <v>563</v>
      </c>
      <c r="CA34" s="53" t="str">
        <f>IFERROR(__xludf.DUMMYFUNCTION("IFERROR(REGEXEXTRACT(BZ34, ""(?i)[A-Z]+-D-E-([^-]+)-E""), """")"),"HQQE")</f>
        <v>HQQE</v>
      </c>
    </row>
    <row r="35" ht="11.25" customHeight="1">
      <c r="A35" s="54" t="s">
        <v>564</v>
      </c>
      <c r="B35" s="55">
        <v>7.4113754E7</v>
      </c>
      <c r="C35" s="56">
        <v>0.0</v>
      </c>
      <c r="D35" s="56">
        <v>1.2</v>
      </c>
      <c r="E35" s="56">
        <v>2.0</v>
      </c>
      <c r="F35" s="56">
        <v>2.8</v>
      </c>
      <c r="G35" s="56">
        <v>3.0</v>
      </c>
      <c r="H35" s="56">
        <v>3.2</v>
      </c>
      <c r="I35" s="56">
        <v>3.4</v>
      </c>
      <c r="J35" s="56">
        <v>3.6</v>
      </c>
      <c r="K35" s="56">
        <v>4.0</v>
      </c>
      <c r="L35" s="56">
        <v>4.4</v>
      </c>
      <c r="M35" s="48">
        <v>76.0573744856</v>
      </c>
      <c r="N35" s="56">
        <v>70.73283689355007</v>
      </c>
      <c r="O35" s="56">
        <v>65.4274274976</v>
      </c>
      <c r="P35" s="56">
        <v>55.26682044809473</v>
      </c>
      <c r="Q35" s="56">
        <v>52.16591420929999</v>
      </c>
      <c r="R35" s="56">
        <v>48.89975818190205</v>
      </c>
      <c r="S35" s="56">
        <v>45.47830006228651</v>
      </c>
      <c r="T35" s="56">
        <v>41.89124908749818</v>
      </c>
      <c r="U35" s="56">
        <v>34.04407251120001</v>
      </c>
      <c r="V35" s="56">
        <v>24.9</v>
      </c>
      <c r="W35" s="49">
        <v>0.30000000000000004</v>
      </c>
      <c r="X35" s="56">
        <v>0.552</v>
      </c>
      <c r="Y35" s="56">
        <v>0.6960000000000001</v>
      </c>
      <c r="Z35" s="56">
        <v>0.792</v>
      </c>
      <c r="AA35" s="56">
        <v>0.804</v>
      </c>
      <c r="AB35" s="56">
        <v>0.8160000000000001</v>
      </c>
      <c r="AC35" s="56">
        <v>0.8280000000000001</v>
      </c>
      <c r="AD35" s="56">
        <v>0.8400000000000001</v>
      </c>
      <c r="AE35" s="56">
        <v>0.8400000000000001</v>
      </c>
      <c r="AF35" s="56">
        <v>0.8160000000000001</v>
      </c>
      <c r="AG35" s="49">
        <v>1.148</v>
      </c>
      <c r="AH35" s="56">
        <v>1.192</v>
      </c>
      <c r="AI35" s="56">
        <v>1.273</v>
      </c>
      <c r="AJ35" s="56">
        <v>1.424</v>
      </c>
      <c r="AK35" s="56">
        <v>1.473</v>
      </c>
      <c r="AL35" s="56">
        <v>1.526</v>
      </c>
      <c r="AM35" s="56">
        <v>1.599</v>
      </c>
      <c r="AN35" s="56">
        <v>1.719</v>
      </c>
      <c r="AO35" s="56">
        <v>2.115</v>
      </c>
      <c r="AP35" s="56">
        <v>2.795</v>
      </c>
      <c r="AQ35" s="49">
        <v>0.0</v>
      </c>
      <c r="AR35" s="56">
        <v>43.44</v>
      </c>
      <c r="AS35" s="56">
        <v>53.97</v>
      </c>
      <c r="AT35" s="56">
        <v>57.97</v>
      </c>
      <c r="AU35" s="56">
        <v>57.95</v>
      </c>
      <c r="AV35" s="56">
        <v>57.5</v>
      </c>
      <c r="AW35" s="56">
        <v>56.59</v>
      </c>
      <c r="AX35" s="56">
        <v>55.19</v>
      </c>
      <c r="AY35" s="56">
        <v>50.77</v>
      </c>
      <c r="AZ35" s="56">
        <v>43.93</v>
      </c>
      <c r="BA35" s="50">
        <v>444.0</v>
      </c>
      <c r="BB35" s="57">
        <v>240.0</v>
      </c>
      <c r="BC35" s="57">
        <v>150.0</v>
      </c>
      <c r="BD35" s="57">
        <v>118.0</v>
      </c>
      <c r="BE35" s="57" t="s">
        <v>494</v>
      </c>
      <c r="BF35" s="57" t="s">
        <v>495</v>
      </c>
      <c r="BG35" s="57" t="s">
        <v>496</v>
      </c>
      <c r="BH35" s="57" t="s">
        <v>497</v>
      </c>
      <c r="BI35" s="57">
        <v>100.0</v>
      </c>
      <c r="BJ35" s="57">
        <v>150.0</v>
      </c>
      <c r="BK35" s="57">
        <v>250.0</v>
      </c>
      <c r="BL35" s="57">
        <v>180.0</v>
      </c>
      <c r="BM35" s="57">
        <v>210.0</v>
      </c>
      <c r="BN35" s="57">
        <v>75.0</v>
      </c>
      <c r="BO35" s="57">
        <v>30.0</v>
      </c>
      <c r="BP35" s="57" t="s">
        <v>498</v>
      </c>
      <c r="BQ35" s="57" t="s">
        <v>499</v>
      </c>
      <c r="BR35" s="58">
        <v>25.0</v>
      </c>
      <c r="BS35" s="59" t="s">
        <v>500</v>
      </c>
      <c r="BT35" s="59" t="s">
        <v>500</v>
      </c>
      <c r="BU35" s="58">
        <v>1.1</v>
      </c>
      <c r="BV35" s="47">
        <f>IFERROR(__xludf.DUMMYFUNCTION("IFERROR(INDEX(motors!E:E, MATCH(1, (motors!A:A=REGEXEXTRACT(A35,""^\S+""))*(motors!B:B=BU35), 0)), """")"),4.2)</f>
        <v>4.2</v>
      </c>
      <c r="BW35" s="47">
        <f>IFERROR(__xludf.DUMMYFUNCTION("IFERROR(INDEX(motors!F:F, MATCH(1, (motors!A:A=REGEXEXTRACT(A35,""^\S+""))*(motors!B:B=BU35), 0)), """")"),2.4)</f>
        <v>2.4</v>
      </c>
      <c r="BX35" s="57">
        <v>2.0</v>
      </c>
      <c r="BY35" s="58">
        <v>26.0</v>
      </c>
      <c r="BZ35" s="59" t="s">
        <v>565</v>
      </c>
      <c r="CA35" s="53" t="str">
        <f>IFERROR(__xludf.DUMMYFUNCTION("IFERROR(REGEXEXTRACT(BZ35, ""(?i)[A-Z]+-D-E-([^-]+)-E""), """")"),"HQQE")</f>
        <v>HQQE</v>
      </c>
    </row>
    <row r="36" ht="11.25" customHeight="1">
      <c r="A36" s="45" t="s">
        <v>566</v>
      </c>
      <c r="B36" s="46">
        <v>7.4113755E7</v>
      </c>
      <c r="C36" s="47">
        <v>0.0</v>
      </c>
      <c r="D36" s="47">
        <v>1.2</v>
      </c>
      <c r="E36" s="47">
        <v>2.0</v>
      </c>
      <c r="F36" s="47">
        <v>2.8</v>
      </c>
      <c r="G36" s="47">
        <v>3.0</v>
      </c>
      <c r="H36" s="47">
        <v>3.2</v>
      </c>
      <c r="I36" s="47">
        <v>3.4</v>
      </c>
      <c r="J36" s="47">
        <v>3.6</v>
      </c>
      <c r="K36" s="47">
        <v>4.0</v>
      </c>
      <c r="L36" s="47">
        <v>4.4</v>
      </c>
      <c r="M36" s="48">
        <v>82.0646959541</v>
      </c>
      <c r="N36" s="47">
        <v>76.84391665234025</v>
      </c>
      <c r="O36" s="47">
        <v>70.73401327170001</v>
      </c>
      <c r="P36" s="47">
        <v>60.09227117077302</v>
      </c>
      <c r="Q36" s="47">
        <v>56.865551115199985</v>
      </c>
      <c r="R36" s="47">
        <v>53.43561095717868</v>
      </c>
      <c r="S36" s="47">
        <v>49.78901871423633</v>
      </c>
      <c r="T36" s="47">
        <v>45.88970180330651</v>
      </c>
      <c r="U36" s="47">
        <v>37.4</v>
      </c>
      <c r="V36" s="47">
        <v>27.5</v>
      </c>
      <c r="W36" s="49">
        <v>0.325</v>
      </c>
      <c r="X36" s="47">
        <v>0.598</v>
      </c>
      <c r="Y36" s="47">
        <v>0.754</v>
      </c>
      <c r="Z36" s="47">
        <v>0.8580000000000001</v>
      </c>
      <c r="AA36" s="47">
        <v>0.871</v>
      </c>
      <c r="AB36" s="47">
        <v>0.8840000000000001</v>
      </c>
      <c r="AC36" s="47">
        <v>0.897</v>
      </c>
      <c r="AD36" s="47">
        <v>0.9100000000000001</v>
      </c>
      <c r="AE36" s="47">
        <v>0.9100000000000001</v>
      </c>
      <c r="AF36" s="47">
        <v>0.8840000000000001</v>
      </c>
      <c r="AG36" s="49">
        <v>1.148</v>
      </c>
      <c r="AH36" s="47">
        <v>1.192</v>
      </c>
      <c r="AI36" s="47">
        <v>1.273</v>
      </c>
      <c r="AJ36" s="47">
        <v>1.424</v>
      </c>
      <c r="AK36" s="47">
        <v>1.473</v>
      </c>
      <c r="AL36" s="47">
        <v>1.526</v>
      </c>
      <c r="AM36" s="47">
        <v>1.599</v>
      </c>
      <c r="AN36" s="47">
        <v>1.719</v>
      </c>
      <c r="AO36" s="47">
        <v>2.115</v>
      </c>
      <c r="AP36" s="47">
        <v>2.795</v>
      </c>
      <c r="AQ36" s="49">
        <v>0.0</v>
      </c>
      <c r="AR36" s="47">
        <v>43.44</v>
      </c>
      <c r="AS36" s="47">
        <v>53.97</v>
      </c>
      <c r="AT36" s="47">
        <v>57.97</v>
      </c>
      <c r="AU36" s="47">
        <v>57.95</v>
      </c>
      <c r="AV36" s="47">
        <v>57.5</v>
      </c>
      <c r="AW36" s="47">
        <v>56.59</v>
      </c>
      <c r="AX36" s="47">
        <v>55.19</v>
      </c>
      <c r="AY36" s="47">
        <v>50.77</v>
      </c>
      <c r="AZ36" s="47">
        <v>43.93</v>
      </c>
      <c r="BA36" s="50">
        <v>462.0</v>
      </c>
      <c r="BB36" s="51">
        <v>240.0</v>
      </c>
      <c r="BC36" s="51">
        <v>150.0</v>
      </c>
      <c r="BD36" s="51">
        <v>118.0</v>
      </c>
      <c r="BE36" s="51" t="s">
        <v>494</v>
      </c>
      <c r="BF36" s="51" t="s">
        <v>495</v>
      </c>
      <c r="BG36" s="51" t="s">
        <v>496</v>
      </c>
      <c r="BH36" s="51" t="s">
        <v>497</v>
      </c>
      <c r="BI36" s="51">
        <v>100.0</v>
      </c>
      <c r="BJ36" s="51">
        <v>150.0</v>
      </c>
      <c r="BK36" s="51">
        <v>250.0</v>
      </c>
      <c r="BL36" s="51">
        <v>180.0</v>
      </c>
      <c r="BM36" s="51">
        <v>210.0</v>
      </c>
      <c r="BN36" s="51">
        <v>75.0</v>
      </c>
      <c r="BO36" s="51">
        <v>30.0</v>
      </c>
      <c r="BP36" s="51" t="s">
        <v>498</v>
      </c>
      <c r="BQ36" s="51" t="s">
        <v>499</v>
      </c>
      <c r="BR36" s="52">
        <v>25.0</v>
      </c>
      <c r="BS36" s="53" t="s">
        <v>500</v>
      </c>
      <c r="BT36" s="53" t="s">
        <v>500</v>
      </c>
      <c r="BU36" s="52">
        <v>1.1</v>
      </c>
      <c r="BV36" s="47">
        <f>IFERROR(__xludf.DUMMYFUNCTION("IFERROR(INDEX(motors!E:E, MATCH(1, (motors!A:A=REGEXEXTRACT(A36,""^\S+""))*(motors!B:B=BU36), 0)), """")"),4.2)</f>
        <v>4.2</v>
      </c>
      <c r="BW36" s="47">
        <f>IFERROR(__xludf.DUMMYFUNCTION("IFERROR(INDEX(motors!F:F, MATCH(1, (motors!A:A=REGEXEXTRACT(A36,""^\S+""))*(motors!B:B=BU36), 0)), """")"),2.4)</f>
        <v>2.4</v>
      </c>
      <c r="BX36" s="51">
        <v>2.0</v>
      </c>
      <c r="BY36" s="52">
        <v>26.0</v>
      </c>
      <c r="BZ36" s="53" t="s">
        <v>567</v>
      </c>
      <c r="CA36" s="53" t="str">
        <f>IFERROR(__xludf.DUMMYFUNCTION("IFERROR(REGEXEXTRACT(BZ36, ""(?i)[A-Z]+-D-E-([^-]+)-E""), """")"),"HQQE")</f>
        <v>HQQE</v>
      </c>
    </row>
    <row r="37" ht="11.25" customHeight="1">
      <c r="A37" s="54" t="s">
        <v>568</v>
      </c>
      <c r="B37" s="55">
        <v>7.4113756E7</v>
      </c>
      <c r="C37" s="56">
        <v>0.0</v>
      </c>
      <c r="D37" s="56">
        <v>1.2</v>
      </c>
      <c r="E37" s="56">
        <v>2.0</v>
      </c>
      <c r="F37" s="56">
        <v>2.8</v>
      </c>
      <c r="G37" s="56">
        <v>3.0</v>
      </c>
      <c r="H37" s="56">
        <v>3.2</v>
      </c>
      <c r="I37" s="56">
        <v>3.4</v>
      </c>
      <c r="J37" s="56">
        <v>3.6</v>
      </c>
      <c r="K37" s="56">
        <v>4.0</v>
      </c>
      <c r="L37" s="56">
        <v>4.4</v>
      </c>
      <c r="M37" s="48">
        <v>94.0696328244</v>
      </c>
      <c r="N37" s="56">
        <v>87.99194097284199</v>
      </c>
      <c r="O37" s="56">
        <v>81.70890133760001</v>
      </c>
      <c r="P37" s="56">
        <v>71.7597075992105</v>
      </c>
      <c r="Q37" s="56">
        <v>68.2842576645</v>
      </c>
      <c r="R37" s="56">
        <v>64.33562418631075</v>
      </c>
      <c r="S37" s="56">
        <v>59.90391770302369</v>
      </c>
      <c r="T37" s="56">
        <v>55.00316826602802</v>
      </c>
      <c r="U37" s="56">
        <v>45.0</v>
      </c>
      <c r="V37" s="56">
        <v>32.7</v>
      </c>
      <c r="W37" s="49">
        <v>0.375</v>
      </c>
      <c r="X37" s="56">
        <v>0.69</v>
      </c>
      <c r="Y37" s="56">
        <v>0.87</v>
      </c>
      <c r="Z37" s="56">
        <v>0.99</v>
      </c>
      <c r="AA37" s="56">
        <v>1.0050000000000001</v>
      </c>
      <c r="AB37" s="56">
        <v>1.02</v>
      </c>
      <c r="AC37" s="56">
        <v>1.0350000000000001</v>
      </c>
      <c r="AD37" s="56">
        <v>1.05</v>
      </c>
      <c r="AE37" s="56">
        <v>1.05</v>
      </c>
      <c r="AF37" s="56">
        <v>1.02</v>
      </c>
      <c r="AG37" s="49">
        <v>1.148</v>
      </c>
      <c r="AH37" s="56">
        <v>1.192</v>
      </c>
      <c r="AI37" s="56">
        <v>1.273</v>
      </c>
      <c r="AJ37" s="56">
        <v>1.424</v>
      </c>
      <c r="AK37" s="56">
        <v>1.473</v>
      </c>
      <c r="AL37" s="56">
        <v>1.526</v>
      </c>
      <c r="AM37" s="56">
        <v>1.599</v>
      </c>
      <c r="AN37" s="56">
        <v>1.719</v>
      </c>
      <c r="AO37" s="56">
        <v>2.115</v>
      </c>
      <c r="AP37" s="56">
        <v>2.795</v>
      </c>
      <c r="AQ37" s="49">
        <v>0.0</v>
      </c>
      <c r="AR37" s="56">
        <v>43.44</v>
      </c>
      <c r="AS37" s="56">
        <v>53.97</v>
      </c>
      <c r="AT37" s="56">
        <v>57.97</v>
      </c>
      <c r="AU37" s="56">
        <v>57.95</v>
      </c>
      <c r="AV37" s="56">
        <v>57.5</v>
      </c>
      <c r="AW37" s="56">
        <v>56.59</v>
      </c>
      <c r="AX37" s="56">
        <v>55.19</v>
      </c>
      <c r="AY37" s="56">
        <v>50.77</v>
      </c>
      <c r="AZ37" s="56">
        <v>43.93</v>
      </c>
      <c r="BA37" s="50">
        <v>498.0</v>
      </c>
      <c r="BB37" s="57">
        <v>240.0</v>
      </c>
      <c r="BC37" s="57">
        <v>150.0</v>
      </c>
      <c r="BD37" s="57">
        <v>118.0</v>
      </c>
      <c r="BE37" s="57" t="s">
        <v>494</v>
      </c>
      <c r="BF37" s="57" t="s">
        <v>495</v>
      </c>
      <c r="BG37" s="57" t="s">
        <v>496</v>
      </c>
      <c r="BH37" s="57" t="s">
        <v>497</v>
      </c>
      <c r="BI37" s="57">
        <v>100.0</v>
      </c>
      <c r="BJ37" s="57">
        <v>150.0</v>
      </c>
      <c r="BK37" s="57">
        <v>250.0</v>
      </c>
      <c r="BL37" s="57">
        <v>180.0</v>
      </c>
      <c r="BM37" s="57">
        <v>210.0</v>
      </c>
      <c r="BN37" s="57">
        <v>75.0</v>
      </c>
      <c r="BO37" s="57">
        <v>30.0</v>
      </c>
      <c r="BP37" s="57" t="s">
        <v>498</v>
      </c>
      <c r="BQ37" s="57" t="s">
        <v>499</v>
      </c>
      <c r="BR37" s="58">
        <v>25.0</v>
      </c>
      <c r="BS37" s="59" t="s">
        <v>500</v>
      </c>
      <c r="BT37" s="59" t="s">
        <v>500</v>
      </c>
      <c r="BU37" s="58">
        <v>1.1</v>
      </c>
      <c r="BV37" s="47">
        <f>IFERROR(__xludf.DUMMYFUNCTION("IFERROR(INDEX(motors!E:E, MATCH(1, (motors!A:A=REGEXEXTRACT(A37,""^\S+""))*(motors!B:B=BU37), 0)), """")"),4.2)</f>
        <v>4.2</v>
      </c>
      <c r="BW37" s="47">
        <f>IFERROR(__xludf.DUMMYFUNCTION("IFERROR(INDEX(motors!F:F, MATCH(1, (motors!A:A=REGEXEXTRACT(A37,""^\S+""))*(motors!B:B=BU37), 0)), """")"),2.4)</f>
        <v>2.4</v>
      </c>
      <c r="BX37" s="57">
        <v>2.0</v>
      </c>
      <c r="BY37" s="58">
        <v>27.0</v>
      </c>
      <c r="BZ37" s="59" t="s">
        <v>569</v>
      </c>
      <c r="CA37" s="53" t="str">
        <f>IFERROR(__xludf.DUMMYFUNCTION("IFERROR(REGEXEXTRACT(BZ37, ""(?i)[A-Z]+-D-E-([^-]+)-E""), """")"),"HQQE")</f>
        <v>HQQE</v>
      </c>
    </row>
    <row r="38" ht="11.25" customHeight="1">
      <c r="A38" s="45" t="s">
        <v>570</v>
      </c>
      <c r="B38" s="46">
        <v>7.4113757E7</v>
      </c>
      <c r="C38" s="47">
        <v>0.0</v>
      </c>
      <c r="D38" s="47">
        <v>1.2</v>
      </c>
      <c r="E38" s="47">
        <v>2.0</v>
      </c>
      <c r="F38" s="47">
        <v>2.8</v>
      </c>
      <c r="G38" s="47">
        <v>3.0</v>
      </c>
      <c r="H38" s="47">
        <v>3.2</v>
      </c>
      <c r="I38" s="47">
        <v>3.4</v>
      </c>
      <c r="J38" s="47">
        <v>3.6</v>
      </c>
      <c r="K38" s="47">
        <v>4.0</v>
      </c>
      <c r="L38" s="47">
        <v>4.4</v>
      </c>
      <c r="M38" s="48">
        <v>107.0755402741</v>
      </c>
      <c r="N38" s="47">
        <v>100.1461547632289</v>
      </c>
      <c r="O38" s="47">
        <v>93.0305819119</v>
      </c>
      <c r="P38" s="47">
        <v>82.51072410072467</v>
      </c>
      <c r="Q38" s="47">
        <v>78.68305430739997</v>
      </c>
      <c r="R38" s="47">
        <v>74.27334343617761</v>
      </c>
      <c r="S38" s="47">
        <v>69.29659614784143</v>
      </c>
      <c r="T38" s="47">
        <v>64.1</v>
      </c>
      <c r="U38" s="47">
        <v>52.4</v>
      </c>
      <c r="V38" s="47">
        <v>38.7</v>
      </c>
      <c r="W38" s="49">
        <v>0.42500000000000004</v>
      </c>
      <c r="X38" s="47">
        <v>0.782</v>
      </c>
      <c r="Y38" s="47">
        <v>0.9860000000000001</v>
      </c>
      <c r="Z38" s="47">
        <v>1.122</v>
      </c>
      <c r="AA38" s="47">
        <v>1.139</v>
      </c>
      <c r="AB38" s="47">
        <v>1.1560000000000001</v>
      </c>
      <c r="AC38" s="47">
        <v>1.173</v>
      </c>
      <c r="AD38" s="47">
        <v>1.1900000000000002</v>
      </c>
      <c r="AE38" s="47">
        <v>1.1900000000000002</v>
      </c>
      <c r="AF38" s="47">
        <v>1.1560000000000001</v>
      </c>
      <c r="AG38" s="49">
        <v>1.148</v>
      </c>
      <c r="AH38" s="47">
        <v>1.192</v>
      </c>
      <c r="AI38" s="47">
        <v>1.273</v>
      </c>
      <c r="AJ38" s="47">
        <v>1.424</v>
      </c>
      <c r="AK38" s="47">
        <v>1.473</v>
      </c>
      <c r="AL38" s="47">
        <v>1.526</v>
      </c>
      <c r="AM38" s="47">
        <v>1.599</v>
      </c>
      <c r="AN38" s="47">
        <v>1.719</v>
      </c>
      <c r="AO38" s="47">
        <v>2.115</v>
      </c>
      <c r="AP38" s="47">
        <v>2.795</v>
      </c>
      <c r="AQ38" s="49">
        <v>0.0</v>
      </c>
      <c r="AR38" s="47">
        <v>43.44</v>
      </c>
      <c r="AS38" s="47">
        <v>53.97</v>
      </c>
      <c r="AT38" s="47">
        <v>57.97</v>
      </c>
      <c r="AU38" s="47">
        <v>57.95</v>
      </c>
      <c r="AV38" s="47">
        <v>57.5</v>
      </c>
      <c r="AW38" s="47">
        <v>56.59</v>
      </c>
      <c r="AX38" s="47">
        <v>55.19</v>
      </c>
      <c r="AY38" s="47">
        <v>50.77</v>
      </c>
      <c r="AZ38" s="47">
        <v>43.93</v>
      </c>
      <c r="BA38" s="50">
        <v>534.0</v>
      </c>
      <c r="BB38" s="51">
        <v>240.0</v>
      </c>
      <c r="BC38" s="51">
        <v>150.0</v>
      </c>
      <c r="BD38" s="51">
        <v>118.0</v>
      </c>
      <c r="BE38" s="51" t="s">
        <v>494</v>
      </c>
      <c r="BF38" s="51" t="s">
        <v>495</v>
      </c>
      <c r="BG38" s="51" t="s">
        <v>496</v>
      </c>
      <c r="BH38" s="51" t="s">
        <v>497</v>
      </c>
      <c r="BI38" s="51">
        <v>100.0</v>
      </c>
      <c r="BJ38" s="51">
        <v>150.0</v>
      </c>
      <c r="BK38" s="51">
        <v>250.0</v>
      </c>
      <c r="BL38" s="51">
        <v>180.0</v>
      </c>
      <c r="BM38" s="51">
        <v>210.0</v>
      </c>
      <c r="BN38" s="51">
        <v>75.0</v>
      </c>
      <c r="BO38" s="51">
        <v>30.0</v>
      </c>
      <c r="BP38" s="51" t="s">
        <v>498</v>
      </c>
      <c r="BQ38" s="51" t="s">
        <v>499</v>
      </c>
      <c r="BR38" s="52">
        <v>25.0</v>
      </c>
      <c r="BS38" s="53" t="s">
        <v>500</v>
      </c>
      <c r="BT38" s="53" t="s">
        <v>500</v>
      </c>
      <c r="BU38" s="52">
        <v>1.5</v>
      </c>
      <c r="BV38" s="47">
        <f>IFERROR(__xludf.DUMMYFUNCTION("IFERROR(INDEX(motors!E:E, MATCH(1, (motors!A:A=REGEXEXTRACT(A38,""^\S+""))*(motors!B:B=BU38), 0)), """")"),5.6)</f>
        <v>5.6</v>
      </c>
      <c r="BW38" s="47">
        <f>IFERROR(__xludf.DUMMYFUNCTION("IFERROR(INDEX(motors!F:F, MATCH(1, (motors!A:A=REGEXEXTRACT(A38,""^\S+""))*(motors!B:B=BU38), 0)), """")"),3.2)</f>
        <v>3.2</v>
      </c>
      <c r="BX38" s="51">
        <v>2.0</v>
      </c>
      <c r="BY38" s="52">
        <v>28.0</v>
      </c>
      <c r="BZ38" s="53" t="s">
        <v>571</v>
      </c>
      <c r="CA38" s="53" t="str">
        <f>IFERROR(__xludf.DUMMYFUNCTION("IFERROR(REGEXEXTRACT(BZ38, ""(?i)[A-Z]+-D-E-([^-]+)-E""), """")"),"HQQE")</f>
        <v>HQQE</v>
      </c>
    </row>
    <row r="39" ht="11.25" customHeight="1">
      <c r="A39" s="54" t="s">
        <v>572</v>
      </c>
      <c r="B39" s="55">
        <v>7.4113758E7</v>
      </c>
      <c r="C39" s="56">
        <v>0.0</v>
      </c>
      <c r="D39" s="56">
        <v>1.2</v>
      </c>
      <c r="E39" s="56">
        <v>2.0</v>
      </c>
      <c r="F39" s="56">
        <v>2.8</v>
      </c>
      <c r="G39" s="56">
        <v>3.0</v>
      </c>
      <c r="H39" s="56">
        <v>3.2</v>
      </c>
      <c r="I39" s="56">
        <v>3.4</v>
      </c>
      <c r="J39" s="56">
        <v>3.6</v>
      </c>
      <c r="K39" s="56">
        <v>4.0</v>
      </c>
      <c r="L39" s="56">
        <v>4.4</v>
      </c>
      <c r="M39" s="48">
        <v>118.0958835925</v>
      </c>
      <c r="N39" s="56">
        <v>112.08954710921067</v>
      </c>
      <c r="O39" s="56">
        <v>103.6640718973</v>
      </c>
      <c r="P39" s="56">
        <v>91.92616916944444</v>
      </c>
      <c r="Q39" s="56">
        <v>87.68266543390001</v>
      </c>
      <c r="R39" s="56">
        <v>82.78093843650026</v>
      </c>
      <c r="S39" s="56">
        <v>77.2336539848007</v>
      </c>
      <c r="T39" s="56">
        <v>71.9</v>
      </c>
      <c r="U39" s="56">
        <v>58.9</v>
      </c>
      <c r="V39" s="56">
        <v>44.5</v>
      </c>
      <c r="W39" s="49">
        <v>0.47500000000000003</v>
      </c>
      <c r="X39" s="56">
        <v>0.874</v>
      </c>
      <c r="Y39" s="56">
        <v>1.102</v>
      </c>
      <c r="Z39" s="56">
        <v>1.254</v>
      </c>
      <c r="AA39" s="56">
        <v>1.2730000000000001</v>
      </c>
      <c r="AB39" s="56">
        <v>1.292</v>
      </c>
      <c r="AC39" s="56">
        <v>1.3110000000000002</v>
      </c>
      <c r="AD39" s="56">
        <v>1.33</v>
      </c>
      <c r="AE39" s="56">
        <v>1.33</v>
      </c>
      <c r="AF39" s="56">
        <v>1.292</v>
      </c>
      <c r="AG39" s="49">
        <v>1.148</v>
      </c>
      <c r="AH39" s="56">
        <v>1.192</v>
      </c>
      <c r="AI39" s="56">
        <v>1.273</v>
      </c>
      <c r="AJ39" s="56">
        <v>1.424</v>
      </c>
      <c r="AK39" s="56">
        <v>1.473</v>
      </c>
      <c r="AL39" s="56">
        <v>1.526</v>
      </c>
      <c r="AM39" s="56">
        <v>1.599</v>
      </c>
      <c r="AN39" s="56">
        <v>1.719</v>
      </c>
      <c r="AO39" s="56">
        <v>2.115</v>
      </c>
      <c r="AP39" s="56">
        <v>2.795</v>
      </c>
      <c r="AQ39" s="49">
        <v>0.0</v>
      </c>
      <c r="AR39" s="56">
        <v>43.44</v>
      </c>
      <c r="AS39" s="56">
        <v>53.97</v>
      </c>
      <c r="AT39" s="56">
        <v>57.97</v>
      </c>
      <c r="AU39" s="56">
        <v>57.95</v>
      </c>
      <c r="AV39" s="56">
        <v>57.5</v>
      </c>
      <c r="AW39" s="56">
        <v>56.59</v>
      </c>
      <c r="AX39" s="56">
        <v>55.19</v>
      </c>
      <c r="AY39" s="56">
        <v>50.77</v>
      </c>
      <c r="AZ39" s="56">
        <v>43.93</v>
      </c>
      <c r="BA39" s="50">
        <v>570.0</v>
      </c>
      <c r="BB39" s="57">
        <v>240.0</v>
      </c>
      <c r="BC39" s="57">
        <v>150.0</v>
      </c>
      <c r="BD39" s="57">
        <v>118.0</v>
      </c>
      <c r="BE39" s="57" t="s">
        <v>494</v>
      </c>
      <c r="BF39" s="57" t="s">
        <v>495</v>
      </c>
      <c r="BG39" s="57" t="s">
        <v>496</v>
      </c>
      <c r="BH39" s="57" t="s">
        <v>497</v>
      </c>
      <c r="BI39" s="57">
        <v>100.0</v>
      </c>
      <c r="BJ39" s="57">
        <v>150.0</v>
      </c>
      <c r="BK39" s="57">
        <v>250.0</v>
      </c>
      <c r="BL39" s="57">
        <v>180.0</v>
      </c>
      <c r="BM39" s="57">
        <v>210.0</v>
      </c>
      <c r="BN39" s="57">
        <v>75.0</v>
      </c>
      <c r="BO39" s="57">
        <v>30.0</v>
      </c>
      <c r="BP39" s="57" t="s">
        <v>498</v>
      </c>
      <c r="BQ39" s="57" t="s">
        <v>499</v>
      </c>
      <c r="BR39" s="58">
        <v>25.0</v>
      </c>
      <c r="BS39" s="59" t="s">
        <v>500</v>
      </c>
      <c r="BT39" s="59" t="s">
        <v>500</v>
      </c>
      <c r="BU39" s="58">
        <v>1.5</v>
      </c>
      <c r="BV39" s="47">
        <f>IFERROR(__xludf.DUMMYFUNCTION("IFERROR(INDEX(motors!E:E, MATCH(1, (motors!A:A=REGEXEXTRACT(A39,""^\S+""))*(motors!B:B=BU39), 0)), """")"),5.6)</f>
        <v>5.6</v>
      </c>
      <c r="BW39" s="47">
        <f>IFERROR(__xludf.DUMMYFUNCTION("IFERROR(INDEX(motors!F:F, MATCH(1, (motors!A:A=REGEXEXTRACT(A39,""^\S+""))*(motors!B:B=BU39), 0)), """")"),3.2)</f>
        <v>3.2</v>
      </c>
      <c r="BX39" s="57">
        <v>2.0</v>
      </c>
      <c r="BY39" s="58">
        <v>29.0</v>
      </c>
      <c r="BZ39" s="59" t="s">
        <v>573</v>
      </c>
      <c r="CA39" s="53" t="str">
        <f>IFERROR(__xludf.DUMMYFUNCTION("IFERROR(REGEXEXTRACT(BZ39, ""(?i)[A-Z]+-D-E-([^-]+)-E""), """")"),"HQQE")</f>
        <v>HQQE</v>
      </c>
    </row>
    <row r="40" ht="11.25" customHeight="1">
      <c r="A40" s="45" t="s">
        <v>574</v>
      </c>
      <c r="B40" s="46">
        <v>7.4113759E7</v>
      </c>
      <c r="C40" s="47">
        <v>0.0</v>
      </c>
      <c r="D40" s="47">
        <v>1.2</v>
      </c>
      <c r="E40" s="47">
        <v>2.0</v>
      </c>
      <c r="F40" s="47">
        <v>2.8</v>
      </c>
      <c r="G40" s="47">
        <v>3.0</v>
      </c>
      <c r="H40" s="47">
        <v>3.2</v>
      </c>
      <c r="I40" s="47">
        <v>3.4</v>
      </c>
      <c r="J40" s="47">
        <v>3.6</v>
      </c>
      <c r="K40" s="47">
        <v>4.0</v>
      </c>
      <c r="L40" s="47">
        <v>4.4</v>
      </c>
      <c r="M40" s="48">
        <v>129.1025572139</v>
      </c>
      <c r="N40" s="47">
        <v>122.89091151281342</v>
      </c>
      <c r="O40" s="47">
        <v>114.57156405910001</v>
      </c>
      <c r="P40" s="47">
        <v>100.66296072789285</v>
      </c>
      <c r="Q40" s="47">
        <v>96.1293460367</v>
      </c>
      <c r="R40" s="47">
        <v>91.10454858152062</v>
      </c>
      <c r="S40" s="47">
        <v>85.54078031868875</v>
      </c>
      <c r="T40" s="47">
        <v>79.3798130221423</v>
      </c>
      <c r="U40" s="47">
        <v>65.8</v>
      </c>
      <c r="V40" s="47">
        <v>49.9</v>
      </c>
      <c r="W40" s="49">
        <v>0.525</v>
      </c>
      <c r="X40" s="47">
        <v>0.966</v>
      </c>
      <c r="Y40" s="47">
        <v>1.218</v>
      </c>
      <c r="Z40" s="47">
        <v>1.3860000000000001</v>
      </c>
      <c r="AA40" s="47">
        <v>1.407</v>
      </c>
      <c r="AB40" s="47">
        <v>1.4280000000000002</v>
      </c>
      <c r="AC40" s="47">
        <v>1.449</v>
      </c>
      <c r="AD40" s="47">
        <v>1.4700000000000002</v>
      </c>
      <c r="AE40" s="47">
        <v>1.4700000000000002</v>
      </c>
      <c r="AF40" s="47">
        <v>1.4280000000000002</v>
      </c>
      <c r="AG40" s="49">
        <v>1.148</v>
      </c>
      <c r="AH40" s="47">
        <v>1.192</v>
      </c>
      <c r="AI40" s="47">
        <v>1.273</v>
      </c>
      <c r="AJ40" s="47">
        <v>1.424</v>
      </c>
      <c r="AK40" s="47">
        <v>1.473</v>
      </c>
      <c r="AL40" s="47">
        <v>1.526</v>
      </c>
      <c r="AM40" s="47">
        <v>1.599</v>
      </c>
      <c r="AN40" s="47">
        <v>1.719</v>
      </c>
      <c r="AO40" s="47">
        <v>2.115</v>
      </c>
      <c r="AP40" s="47">
        <v>2.795</v>
      </c>
      <c r="AQ40" s="49">
        <v>0.0</v>
      </c>
      <c r="AR40" s="47">
        <v>43.44</v>
      </c>
      <c r="AS40" s="47">
        <v>53.97</v>
      </c>
      <c r="AT40" s="47">
        <v>57.97</v>
      </c>
      <c r="AU40" s="47">
        <v>57.95</v>
      </c>
      <c r="AV40" s="47">
        <v>57.5</v>
      </c>
      <c r="AW40" s="47">
        <v>56.59</v>
      </c>
      <c r="AX40" s="47">
        <v>55.19</v>
      </c>
      <c r="AY40" s="47">
        <v>50.77</v>
      </c>
      <c r="AZ40" s="47">
        <v>43.93</v>
      </c>
      <c r="BA40" s="50">
        <v>616.0</v>
      </c>
      <c r="BB40" s="51">
        <v>280.0</v>
      </c>
      <c r="BC40" s="51">
        <v>168.0</v>
      </c>
      <c r="BD40" s="51">
        <v>127.0</v>
      </c>
      <c r="BE40" s="51" t="s">
        <v>494</v>
      </c>
      <c r="BF40" s="51" t="s">
        <v>495</v>
      </c>
      <c r="BG40" s="51" t="s">
        <v>496</v>
      </c>
      <c r="BH40" s="51" t="s">
        <v>497</v>
      </c>
      <c r="BI40" s="51">
        <v>100.0</v>
      </c>
      <c r="BJ40" s="51">
        <v>150.0</v>
      </c>
      <c r="BK40" s="51">
        <v>250.0</v>
      </c>
      <c r="BL40" s="51">
        <v>180.0</v>
      </c>
      <c r="BM40" s="51">
        <v>210.0</v>
      </c>
      <c r="BN40" s="51">
        <v>75.0</v>
      </c>
      <c r="BO40" s="51">
        <v>30.0</v>
      </c>
      <c r="BP40" s="51" t="s">
        <v>498</v>
      </c>
      <c r="BQ40" s="51" t="s">
        <v>499</v>
      </c>
      <c r="BR40" s="52">
        <v>25.0</v>
      </c>
      <c r="BS40" s="53" t="s">
        <v>500</v>
      </c>
      <c r="BT40" s="53" t="s">
        <v>500</v>
      </c>
      <c r="BU40" s="52">
        <v>2.2</v>
      </c>
      <c r="BV40" s="47">
        <f>IFERROR(__xludf.DUMMYFUNCTION("IFERROR(INDEX(motors!E:E, MATCH(1, (motors!A:A=REGEXEXTRACT(A40,""^\S+""))*(motors!B:B=BU40), 0)), """")"),7.9)</f>
        <v>7.9</v>
      </c>
      <c r="BW40" s="47">
        <f>IFERROR(__xludf.DUMMYFUNCTION("IFERROR(INDEX(motors!F:F, MATCH(1, (motors!A:A=REGEXEXTRACT(A40,""^\S+""))*(motors!B:B=BU40), 0)), """")"),4.6)</f>
        <v>4.6</v>
      </c>
      <c r="BX40" s="51">
        <v>2.0</v>
      </c>
      <c r="BY40" s="52">
        <v>30.0</v>
      </c>
      <c r="BZ40" s="53" t="s">
        <v>575</v>
      </c>
      <c r="CA40" s="53" t="str">
        <f>IFERROR(__xludf.DUMMYFUNCTION("IFERROR(REGEXEXTRACT(BZ40, ""(?i)[A-Z]+-D-E-([^-]+)-E""), """")"),"HQQE")</f>
        <v>HQQE</v>
      </c>
    </row>
    <row r="41" ht="11.25" customHeight="1">
      <c r="A41" s="54" t="s">
        <v>576</v>
      </c>
      <c r="B41" s="55">
        <v>7.411376E7</v>
      </c>
      <c r="C41" s="56">
        <v>0.0</v>
      </c>
      <c r="D41" s="56">
        <v>1.2</v>
      </c>
      <c r="E41" s="56">
        <v>2.0</v>
      </c>
      <c r="F41" s="56">
        <v>2.8</v>
      </c>
      <c r="G41" s="56">
        <v>3.0</v>
      </c>
      <c r="H41" s="56">
        <v>3.2</v>
      </c>
      <c r="I41" s="56">
        <v>3.4</v>
      </c>
      <c r="J41" s="56">
        <v>3.6</v>
      </c>
      <c r="K41" s="56">
        <v>4.0</v>
      </c>
      <c r="L41" s="56">
        <v>4.4</v>
      </c>
      <c r="M41" s="48">
        <v>142.0890127532</v>
      </c>
      <c r="N41" s="56">
        <v>134.01423223589984</v>
      </c>
      <c r="O41" s="56">
        <v>125.0677584538</v>
      </c>
      <c r="P41" s="56">
        <v>110.3636630918576</v>
      </c>
      <c r="Q41" s="56">
        <v>105.3075186041</v>
      </c>
      <c r="R41" s="56">
        <v>99.64166742268861</v>
      </c>
      <c r="S41" s="56">
        <v>93.38696676043855</v>
      </c>
      <c r="T41" s="56">
        <v>86.60306438731806</v>
      </c>
      <c r="U41" s="56">
        <v>73.0</v>
      </c>
      <c r="V41" s="56">
        <v>57.09000358247772</v>
      </c>
      <c r="W41" s="49">
        <v>0.5750000000000001</v>
      </c>
      <c r="X41" s="56">
        <v>1.058</v>
      </c>
      <c r="Y41" s="56">
        <v>1.334</v>
      </c>
      <c r="Z41" s="56">
        <v>1.518</v>
      </c>
      <c r="AA41" s="56">
        <v>1.5410000000000001</v>
      </c>
      <c r="AB41" s="56">
        <v>1.564</v>
      </c>
      <c r="AC41" s="56">
        <v>1.5870000000000002</v>
      </c>
      <c r="AD41" s="56">
        <v>1.61</v>
      </c>
      <c r="AE41" s="56">
        <v>1.61</v>
      </c>
      <c r="AF41" s="56">
        <v>1.564</v>
      </c>
      <c r="AG41" s="49">
        <v>1.148</v>
      </c>
      <c r="AH41" s="56">
        <v>1.192</v>
      </c>
      <c r="AI41" s="56">
        <v>1.273</v>
      </c>
      <c r="AJ41" s="56">
        <v>1.424</v>
      </c>
      <c r="AK41" s="56">
        <v>1.473</v>
      </c>
      <c r="AL41" s="56">
        <v>1.526</v>
      </c>
      <c r="AM41" s="56">
        <v>1.599</v>
      </c>
      <c r="AN41" s="56">
        <v>1.719</v>
      </c>
      <c r="AO41" s="56">
        <v>2.115</v>
      </c>
      <c r="AP41" s="56">
        <v>2.795</v>
      </c>
      <c r="AQ41" s="49">
        <v>0.0</v>
      </c>
      <c r="AR41" s="56">
        <v>43.44</v>
      </c>
      <c r="AS41" s="56">
        <v>53.97</v>
      </c>
      <c r="AT41" s="56">
        <v>57.97</v>
      </c>
      <c r="AU41" s="56">
        <v>57.95</v>
      </c>
      <c r="AV41" s="56">
        <v>57.5</v>
      </c>
      <c r="AW41" s="56">
        <v>56.59</v>
      </c>
      <c r="AX41" s="56">
        <v>55.19</v>
      </c>
      <c r="AY41" s="56">
        <v>50.77</v>
      </c>
      <c r="AZ41" s="56">
        <v>43.93</v>
      </c>
      <c r="BA41" s="50">
        <v>652.0</v>
      </c>
      <c r="BB41" s="57">
        <v>280.0</v>
      </c>
      <c r="BC41" s="57">
        <v>168.0</v>
      </c>
      <c r="BD41" s="57">
        <v>127.0</v>
      </c>
      <c r="BE41" s="57" t="s">
        <v>494</v>
      </c>
      <c r="BF41" s="57" t="s">
        <v>495</v>
      </c>
      <c r="BG41" s="57" t="s">
        <v>496</v>
      </c>
      <c r="BH41" s="57" t="s">
        <v>497</v>
      </c>
      <c r="BI41" s="57">
        <v>100.0</v>
      </c>
      <c r="BJ41" s="57">
        <v>150.0</v>
      </c>
      <c r="BK41" s="57">
        <v>250.0</v>
      </c>
      <c r="BL41" s="57">
        <v>180.0</v>
      </c>
      <c r="BM41" s="57">
        <v>210.0</v>
      </c>
      <c r="BN41" s="57">
        <v>75.0</v>
      </c>
      <c r="BO41" s="57">
        <v>30.0</v>
      </c>
      <c r="BP41" s="57" t="s">
        <v>498</v>
      </c>
      <c r="BQ41" s="57" t="s">
        <v>499</v>
      </c>
      <c r="BR41" s="58">
        <v>25.0</v>
      </c>
      <c r="BS41" s="59" t="s">
        <v>500</v>
      </c>
      <c r="BT41" s="59" t="s">
        <v>500</v>
      </c>
      <c r="BU41" s="58">
        <v>2.2</v>
      </c>
      <c r="BV41" s="47">
        <f>IFERROR(__xludf.DUMMYFUNCTION("IFERROR(INDEX(motors!E:E, MATCH(1, (motors!A:A=REGEXEXTRACT(A41,""^\S+""))*(motors!B:B=BU41), 0)), """")"),7.9)</f>
        <v>7.9</v>
      </c>
      <c r="BW41" s="47">
        <f>IFERROR(__xludf.DUMMYFUNCTION("IFERROR(INDEX(motors!F:F, MATCH(1, (motors!A:A=REGEXEXTRACT(A41,""^\S+""))*(motors!B:B=BU41), 0)), """")"),4.6)</f>
        <v>4.6</v>
      </c>
      <c r="BX41" s="57">
        <v>2.0</v>
      </c>
      <c r="BY41" s="58">
        <v>31.0</v>
      </c>
      <c r="BZ41" s="59" t="s">
        <v>577</v>
      </c>
      <c r="CA41" s="53" t="str">
        <f>IFERROR(__xludf.DUMMYFUNCTION("IFERROR(REGEXEXTRACT(BZ41, ""(?i)[A-Z]+-D-E-([^-]+)-E""), """")"),"HQQE")</f>
        <v>HQQE</v>
      </c>
    </row>
    <row r="42" ht="11.25" customHeight="1">
      <c r="A42" s="45" t="s">
        <v>578</v>
      </c>
      <c r="B42" s="46">
        <v>7.4113761E7</v>
      </c>
      <c r="C42" s="47">
        <v>0.0</v>
      </c>
      <c r="D42" s="47">
        <v>1.2</v>
      </c>
      <c r="E42" s="47">
        <v>2.0</v>
      </c>
      <c r="F42" s="47">
        <v>2.8</v>
      </c>
      <c r="G42" s="47">
        <v>3.0</v>
      </c>
      <c r="H42" s="47">
        <v>3.2</v>
      </c>
      <c r="I42" s="47">
        <v>3.4</v>
      </c>
      <c r="J42" s="47">
        <v>3.6</v>
      </c>
      <c r="K42" s="47">
        <v>4.0</v>
      </c>
      <c r="L42" s="47">
        <v>4.4</v>
      </c>
      <c r="M42" s="48">
        <v>153.1208953595</v>
      </c>
      <c r="N42" s="47">
        <v>145.9542760988431</v>
      </c>
      <c r="O42" s="47">
        <v>135.0277654539</v>
      </c>
      <c r="P42" s="47">
        <v>118.51498469337801</v>
      </c>
      <c r="Q42" s="47">
        <v>113.319526175</v>
      </c>
      <c r="R42" s="47">
        <v>107.62459306786069</v>
      </c>
      <c r="S42" s="47">
        <v>101.38710812593996</v>
      </c>
      <c r="T42" s="47">
        <v>94.56030453200354</v>
      </c>
      <c r="U42" s="47">
        <v>79.6</v>
      </c>
      <c r="V42" s="47">
        <v>61.5</v>
      </c>
      <c r="W42" s="49">
        <v>0.625</v>
      </c>
      <c r="X42" s="47">
        <v>1.15</v>
      </c>
      <c r="Y42" s="47">
        <v>1.4500000000000002</v>
      </c>
      <c r="Z42" s="47">
        <v>1.6500000000000001</v>
      </c>
      <c r="AA42" s="47">
        <v>1.675</v>
      </c>
      <c r="AB42" s="47">
        <v>1.7000000000000002</v>
      </c>
      <c r="AC42" s="47">
        <v>1.725</v>
      </c>
      <c r="AD42" s="47">
        <v>1.7500000000000002</v>
      </c>
      <c r="AE42" s="47">
        <v>1.7500000000000002</v>
      </c>
      <c r="AF42" s="47">
        <v>1.7000000000000002</v>
      </c>
      <c r="AG42" s="49">
        <v>1.148</v>
      </c>
      <c r="AH42" s="47">
        <v>1.192</v>
      </c>
      <c r="AI42" s="47">
        <v>1.273</v>
      </c>
      <c r="AJ42" s="47">
        <v>1.424</v>
      </c>
      <c r="AK42" s="47">
        <v>1.473</v>
      </c>
      <c r="AL42" s="47">
        <v>1.526</v>
      </c>
      <c r="AM42" s="47">
        <v>1.599</v>
      </c>
      <c r="AN42" s="47">
        <v>1.719</v>
      </c>
      <c r="AO42" s="47">
        <v>2.115</v>
      </c>
      <c r="AP42" s="47">
        <v>2.795</v>
      </c>
      <c r="AQ42" s="49">
        <v>0.0</v>
      </c>
      <c r="AR42" s="47">
        <v>43.44</v>
      </c>
      <c r="AS42" s="47">
        <v>53.97</v>
      </c>
      <c r="AT42" s="47">
        <v>57.97</v>
      </c>
      <c r="AU42" s="47">
        <v>57.95</v>
      </c>
      <c r="AV42" s="47">
        <v>57.5</v>
      </c>
      <c r="AW42" s="47">
        <v>56.59</v>
      </c>
      <c r="AX42" s="47">
        <v>55.19</v>
      </c>
      <c r="AY42" s="47">
        <v>50.77</v>
      </c>
      <c r="AZ42" s="47">
        <v>43.93</v>
      </c>
      <c r="BA42" s="50">
        <v>688.0</v>
      </c>
      <c r="BB42" s="51">
        <v>280.0</v>
      </c>
      <c r="BC42" s="51">
        <v>168.0</v>
      </c>
      <c r="BD42" s="51">
        <v>127.0</v>
      </c>
      <c r="BE42" s="51" t="s">
        <v>494</v>
      </c>
      <c r="BF42" s="51" t="s">
        <v>495</v>
      </c>
      <c r="BG42" s="51" t="s">
        <v>496</v>
      </c>
      <c r="BH42" s="51" t="s">
        <v>497</v>
      </c>
      <c r="BI42" s="51">
        <v>100.0</v>
      </c>
      <c r="BJ42" s="51">
        <v>150.0</v>
      </c>
      <c r="BK42" s="51">
        <v>250.0</v>
      </c>
      <c r="BL42" s="51">
        <v>180.0</v>
      </c>
      <c r="BM42" s="51">
        <v>210.0</v>
      </c>
      <c r="BN42" s="51">
        <v>75.0</v>
      </c>
      <c r="BO42" s="51">
        <v>30.0</v>
      </c>
      <c r="BP42" s="51" t="s">
        <v>498</v>
      </c>
      <c r="BQ42" s="51" t="s">
        <v>499</v>
      </c>
      <c r="BR42" s="52">
        <v>25.0</v>
      </c>
      <c r="BS42" s="53" t="s">
        <v>500</v>
      </c>
      <c r="BT42" s="53" t="s">
        <v>500</v>
      </c>
      <c r="BU42" s="52">
        <v>2.2</v>
      </c>
      <c r="BV42" s="47">
        <f>IFERROR(__xludf.DUMMYFUNCTION("IFERROR(INDEX(motors!E:E, MATCH(1, (motors!A:A=REGEXEXTRACT(A42,""^\S+""))*(motors!B:B=BU42), 0)), """")"),7.9)</f>
        <v>7.9</v>
      </c>
      <c r="BW42" s="47">
        <f>IFERROR(__xludf.DUMMYFUNCTION("IFERROR(INDEX(motors!F:F, MATCH(1, (motors!A:A=REGEXEXTRACT(A42,""^\S+""))*(motors!B:B=BU42), 0)), """")"),4.6)</f>
        <v>4.6</v>
      </c>
      <c r="BX42" s="51">
        <v>2.0</v>
      </c>
      <c r="BY42" s="52">
        <v>40.0</v>
      </c>
      <c r="BZ42" s="53" t="s">
        <v>579</v>
      </c>
      <c r="CA42" s="53" t="str">
        <f>IFERROR(__xludf.DUMMYFUNCTION("IFERROR(REGEXEXTRACT(BZ42, ""(?i)[A-Z]+-D-E-([^-]+)-E""), """")"),"HQQE")</f>
        <v>HQQE</v>
      </c>
    </row>
    <row r="43" ht="11.25" customHeight="1">
      <c r="A43" s="54" t="s">
        <v>580</v>
      </c>
      <c r="B43" s="55">
        <v>7.4113762E7</v>
      </c>
      <c r="C43" s="56">
        <v>0.0</v>
      </c>
      <c r="D43" s="56">
        <v>1.2</v>
      </c>
      <c r="E43" s="56">
        <v>2.0</v>
      </c>
      <c r="F43" s="56">
        <v>2.8</v>
      </c>
      <c r="G43" s="56">
        <v>3.0</v>
      </c>
      <c r="H43" s="56">
        <v>3.2</v>
      </c>
      <c r="I43" s="56">
        <v>3.4</v>
      </c>
      <c r="J43" s="56">
        <v>3.6</v>
      </c>
      <c r="K43" s="56">
        <v>4.0</v>
      </c>
      <c r="L43" s="56">
        <v>4.4</v>
      </c>
      <c r="M43" s="48">
        <v>166.1328307442</v>
      </c>
      <c r="N43" s="56">
        <v>157.9071790780375</v>
      </c>
      <c r="O43" s="56">
        <v>145.7755101764</v>
      </c>
      <c r="P43" s="56">
        <v>128.72718984235544</v>
      </c>
      <c r="Q43" s="56">
        <v>123.1918826831</v>
      </c>
      <c r="R43" s="56">
        <v>117.0283672800679</v>
      </c>
      <c r="S43" s="56">
        <v>110.20981558841883</v>
      </c>
      <c r="T43" s="56">
        <v>102.73931563869168</v>
      </c>
      <c r="U43" s="56">
        <v>87.0</v>
      </c>
      <c r="V43" s="56">
        <v>67.7</v>
      </c>
      <c r="W43" s="49">
        <v>0.675</v>
      </c>
      <c r="X43" s="56">
        <v>1.242</v>
      </c>
      <c r="Y43" s="56">
        <v>1.566</v>
      </c>
      <c r="Z43" s="56">
        <v>1.782</v>
      </c>
      <c r="AA43" s="56">
        <v>1.8090000000000002</v>
      </c>
      <c r="AB43" s="56">
        <v>1.836</v>
      </c>
      <c r="AC43" s="56">
        <v>1.8630000000000002</v>
      </c>
      <c r="AD43" s="56">
        <v>1.8900000000000001</v>
      </c>
      <c r="AE43" s="56">
        <v>1.8900000000000001</v>
      </c>
      <c r="AF43" s="56">
        <v>1.836</v>
      </c>
      <c r="AG43" s="49">
        <v>1.148</v>
      </c>
      <c r="AH43" s="56">
        <v>1.192</v>
      </c>
      <c r="AI43" s="56">
        <v>1.273</v>
      </c>
      <c r="AJ43" s="56">
        <v>1.424</v>
      </c>
      <c r="AK43" s="56">
        <v>1.473</v>
      </c>
      <c r="AL43" s="56">
        <v>1.526</v>
      </c>
      <c r="AM43" s="56">
        <v>1.599</v>
      </c>
      <c r="AN43" s="56">
        <v>1.719</v>
      </c>
      <c r="AO43" s="56">
        <v>2.115</v>
      </c>
      <c r="AP43" s="56">
        <v>2.795</v>
      </c>
      <c r="AQ43" s="49">
        <v>0.0</v>
      </c>
      <c r="AR43" s="56">
        <v>43.44</v>
      </c>
      <c r="AS43" s="56">
        <v>53.97</v>
      </c>
      <c r="AT43" s="56">
        <v>57.97</v>
      </c>
      <c r="AU43" s="56">
        <v>57.95</v>
      </c>
      <c r="AV43" s="56">
        <v>57.5</v>
      </c>
      <c r="AW43" s="56">
        <v>56.59</v>
      </c>
      <c r="AX43" s="56">
        <v>55.19</v>
      </c>
      <c r="AY43" s="56">
        <v>50.77</v>
      </c>
      <c r="AZ43" s="56">
        <v>43.93</v>
      </c>
      <c r="BA43" s="50">
        <v>724.0</v>
      </c>
      <c r="BB43" s="57">
        <v>280.0</v>
      </c>
      <c r="BC43" s="57">
        <v>168.0</v>
      </c>
      <c r="BD43" s="57">
        <v>127.0</v>
      </c>
      <c r="BE43" s="57" t="s">
        <v>494</v>
      </c>
      <c r="BF43" s="57" t="s">
        <v>495</v>
      </c>
      <c r="BG43" s="57" t="s">
        <v>496</v>
      </c>
      <c r="BH43" s="57" t="s">
        <v>497</v>
      </c>
      <c r="BI43" s="57">
        <v>100.0</v>
      </c>
      <c r="BJ43" s="57">
        <v>150.0</v>
      </c>
      <c r="BK43" s="57">
        <v>250.0</v>
      </c>
      <c r="BL43" s="57">
        <v>180.0</v>
      </c>
      <c r="BM43" s="57">
        <v>210.0</v>
      </c>
      <c r="BN43" s="57">
        <v>75.0</v>
      </c>
      <c r="BO43" s="57">
        <v>30.0</v>
      </c>
      <c r="BP43" s="57" t="s">
        <v>498</v>
      </c>
      <c r="BQ43" s="57" t="s">
        <v>499</v>
      </c>
      <c r="BR43" s="58">
        <v>25.0</v>
      </c>
      <c r="BS43" s="59" t="s">
        <v>500</v>
      </c>
      <c r="BT43" s="59" t="s">
        <v>500</v>
      </c>
      <c r="BU43" s="58">
        <v>2.2</v>
      </c>
      <c r="BV43" s="47">
        <f>IFERROR(__xludf.DUMMYFUNCTION("IFERROR(INDEX(motors!E:E, MATCH(1, (motors!A:A=REGEXEXTRACT(A43,""^\S+""))*(motors!B:B=BU43), 0)), """")"),7.9)</f>
        <v>7.9</v>
      </c>
      <c r="BW43" s="47">
        <f>IFERROR(__xludf.DUMMYFUNCTION("IFERROR(INDEX(motors!F:F, MATCH(1, (motors!A:A=REGEXEXTRACT(A43,""^\S+""))*(motors!B:B=BU43), 0)), """")"),4.6)</f>
        <v>4.6</v>
      </c>
      <c r="BX43" s="57">
        <v>2.0</v>
      </c>
      <c r="BY43" s="58">
        <v>41.0</v>
      </c>
      <c r="BZ43" s="59" t="s">
        <v>581</v>
      </c>
      <c r="CA43" s="53" t="str">
        <f>IFERROR(__xludf.DUMMYFUNCTION("IFERROR(REGEXEXTRACT(BZ43, ""(?i)[A-Z]+-D-E-([^-]+)-E""), """")"),"HQQE")</f>
        <v>HQQE</v>
      </c>
    </row>
    <row r="44" ht="11.25" customHeight="1">
      <c r="A44" s="45" t="s">
        <v>582</v>
      </c>
      <c r="B44" s="46">
        <v>7.4113763E7</v>
      </c>
      <c r="C44" s="47">
        <v>0.0</v>
      </c>
      <c r="D44" s="47">
        <v>1.2</v>
      </c>
      <c r="E44" s="47">
        <v>2.0</v>
      </c>
      <c r="F44" s="47">
        <v>2.8</v>
      </c>
      <c r="G44" s="47">
        <v>3.0</v>
      </c>
      <c r="H44" s="47">
        <v>3.2</v>
      </c>
      <c r="I44" s="47">
        <v>3.4</v>
      </c>
      <c r="J44" s="47">
        <v>3.6</v>
      </c>
      <c r="K44" s="47">
        <v>4.0</v>
      </c>
      <c r="L44" s="47">
        <v>4.4</v>
      </c>
      <c r="M44" s="48">
        <v>178.1397765924</v>
      </c>
      <c r="N44" s="47">
        <v>168.99540575245365</v>
      </c>
      <c r="O44" s="47">
        <v>155.8142110768</v>
      </c>
      <c r="P44" s="47">
        <v>137.14550810604493</v>
      </c>
      <c r="Q44" s="47">
        <v>131.43250599600003</v>
      </c>
      <c r="R44" s="47">
        <v>125.19060288464243</v>
      </c>
      <c r="S44" s="47">
        <v>118.33771621329576</v>
      </c>
      <c r="T44" s="47">
        <v>110.77408932392602</v>
      </c>
      <c r="U44" s="47">
        <v>93.6</v>
      </c>
      <c r="V44" s="47">
        <v>73.0</v>
      </c>
      <c r="W44" s="49">
        <v>0.7250000000000001</v>
      </c>
      <c r="X44" s="47">
        <v>1.334</v>
      </c>
      <c r="Y44" s="47">
        <v>1.6820000000000002</v>
      </c>
      <c r="Z44" s="47">
        <v>1.9140000000000001</v>
      </c>
      <c r="AA44" s="47">
        <v>1.943</v>
      </c>
      <c r="AB44" s="47">
        <v>1.9720000000000002</v>
      </c>
      <c r="AC44" s="47">
        <v>2.0010000000000003</v>
      </c>
      <c r="AD44" s="47">
        <v>2.0300000000000002</v>
      </c>
      <c r="AE44" s="47">
        <v>2.0300000000000002</v>
      </c>
      <c r="AF44" s="47">
        <v>1.9720000000000002</v>
      </c>
      <c r="AG44" s="49">
        <v>1.148</v>
      </c>
      <c r="AH44" s="47">
        <v>1.192</v>
      </c>
      <c r="AI44" s="47">
        <v>1.273</v>
      </c>
      <c r="AJ44" s="47">
        <v>1.424</v>
      </c>
      <c r="AK44" s="47">
        <v>1.473</v>
      </c>
      <c r="AL44" s="47">
        <v>1.526</v>
      </c>
      <c r="AM44" s="47">
        <v>1.599</v>
      </c>
      <c r="AN44" s="47">
        <v>1.719</v>
      </c>
      <c r="AO44" s="47">
        <v>2.115</v>
      </c>
      <c r="AP44" s="47">
        <v>2.795</v>
      </c>
      <c r="AQ44" s="49">
        <v>0.0</v>
      </c>
      <c r="AR44" s="47">
        <v>43.44</v>
      </c>
      <c r="AS44" s="47">
        <v>53.97</v>
      </c>
      <c r="AT44" s="47">
        <v>57.97</v>
      </c>
      <c r="AU44" s="47">
        <v>57.95</v>
      </c>
      <c r="AV44" s="47">
        <v>57.5</v>
      </c>
      <c r="AW44" s="47">
        <v>56.59</v>
      </c>
      <c r="AX44" s="47">
        <v>55.19</v>
      </c>
      <c r="AY44" s="47">
        <v>50.77</v>
      </c>
      <c r="AZ44" s="47">
        <v>43.93</v>
      </c>
      <c r="BA44" s="50">
        <v>760.0</v>
      </c>
      <c r="BB44" s="51">
        <v>280.0</v>
      </c>
      <c r="BC44" s="51">
        <v>168.0</v>
      </c>
      <c r="BD44" s="51">
        <v>127.0</v>
      </c>
      <c r="BE44" s="51" t="s">
        <v>494</v>
      </c>
      <c r="BF44" s="51" t="s">
        <v>495</v>
      </c>
      <c r="BG44" s="51" t="s">
        <v>496</v>
      </c>
      <c r="BH44" s="51" t="s">
        <v>497</v>
      </c>
      <c r="BI44" s="51">
        <v>100.0</v>
      </c>
      <c r="BJ44" s="51">
        <v>150.0</v>
      </c>
      <c r="BK44" s="51">
        <v>250.0</v>
      </c>
      <c r="BL44" s="51">
        <v>180.0</v>
      </c>
      <c r="BM44" s="51">
        <v>210.0</v>
      </c>
      <c r="BN44" s="51">
        <v>75.0</v>
      </c>
      <c r="BO44" s="51">
        <v>30.0</v>
      </c>
      <c r="BP44" s="51" t="s">
        <v>498</v>
      </c>
      <c r="BQ44" s="51" t="s">
        <v>499</v>
      </c>
      <c r="BR44" s="52">
        <v>25.0</v>
      </c>
      <c r="BS44" s="53" t="s">
        <v>500</v>
      </c>
      <c r="BT44" s="53" t="s">
        <v>500</v>
      </c>
      <c r="BU44" s="52">
        <v>2.2</v>
      </c>
      <c r="BV44" s="47">
        <f>IFERROR(__xludf.DUMMYFUNCTION("IFERROR(INDEX(motors!E:E, MATCH(1, (motors!A:A=REGEXEXTRACT(A44,""^\S+""))*(motors!B:B=BU44), 0)), """")"),7.9)</f>
        <v>7.9</v>
      </c>
      <c r="BW44" s="47">
        <f>IFERROR(__xludf.DUMMYFUNCTION("IFERROR(INDEX(motors!F:F, MATCH(1, (motors!A:A=REGEXEXTRACT(A44,""^\S+""))*(motors!B:B=BU44), 0)), """")"),4.6)</f>
        <v>4.6</v>
      </c>
      <c r="BX44" s="51">
        <v>2.0</v>
      </c>
      <c r="BY44" s="52">
        <v>42.0</v>
      </c>
      <c r="BZ44" s="53" t="s">
        <v>583</v>
      </c>
      <c r="CA44" s="53" t="str">
        <f>IFERROR(__xludf.DUMMYFUNCTION("IFERROR(REGEXEXTRACT(BZ44, ""(?i)[A-Z]+-D-E-([^-]+)-E""), """")"),"HQQE")</f>
        <v>HQQE</v>
      </c>
    </row>
    <row r="45" ht="11.25" customHeight="1">
      <c r="A45" s="54" t="s">
        <v>584</v>
      </c>
      <c r="B45" s="55">
        <v>7.4113764E7</v>
      </c>
      <c r="C45" s="56">
        <v>0.0</v>
      </c>
      <c r="D45" s="56">
        <v>1.2</v>
      </c>
      <c r="E45" s="56">
        <v>2.0</v>
      </c>
      <c r="F45" s="56">
        <v>2.8</v>
      </c>
      <c r="G45" s="56">
        <v>3.0</v>
      </c>
      <c r="H45" s="56">
        <v>3.2</v>
      </c>
      <c r="I45" s="56">
        <v>3.4</v>
      </c>
      <c r="J45" s="56">
        <v>3.6</v>
      </c>
      <c r="K45" s="56">
        <v>4.0</v>
      </c>
      <c r="L45" s="56">
        <v>4.4</v>
      </c>
      <c r="M45" s="48">
        <v>189.9959111178</v>
      </c>
      <c r="N45" s="56">
        <v>180.08346203960718</v>
      </c>
      <c r="O45" s="56">
        <v>166.5950911088</v>
      </c>
      <c r="P45" s="56">
        <v>146.9070632030066</v>
      </c>
      <c r="Q45" s="56">
        <v>140.6525155983</v>
      </c>
      <c r="R45" s="56">
        <v>133.78001896839274</v>
      </c>
      <c r="S45" s="56">
        <v>126.26682451464973</v>
      </c>
      <c r="T45" s="56">
        <v>118.10788606646246</v>
      </c>
      <c r="U45" s="56">
        <v>100.3</v>
      </c>
      <c r="V45" s="56">
        <v>80.5</v>
      </c>
      <c r="W45" s="49">
        <v>0.775</v>
      </c>
      <c r="X45" s="56">
        <v>1.426</v>
      </c>
      <c r="Y45" s="56">
        <v>1.798</v>
      </c>
      <c r="Z45" s="56">
        <v>2.0460000000000003</v>
      </c>
      <c r="AA45" s="56">
        <v>2.077</v>
      </c>
      <c r="AB45" s="56">
        <v>2.108</v>
      </c>
      <c r="AC45" s="56">
        <v>2.1390000000000002</v>
      </c>
      <c r="AD45" s="56">
        <v>2.1700000000000004</v>
      </c>
      <c r="AE45" s="56">
        <v>2.1700000000000004</v>
      </c>
      <c r="AF45" s="56">
        <v>2.108</v>
      </c>
      <c r="AG45" s="49">
        <v>1.148</v>
      </c>
      <c r="AH45" s="56">
        <v>1.192</v>
      </c>
      <c r="AI45" s="56">
        <v>1.273</v>
      </c>
      <c r="AJ45" s="56">
        <v>1.424</v>
      </c>
      <c r="AK45" s="56">
        <v>1.473</v>
      </c>
      <c r="AL45" s="56">
        <v>1.526</v>
      </c>
      <c r="AM45" s="56">
        <v>1.599</v>
      </c>
      <c r="AN45" s="56">
        <v>1.719</v>
      </c>
      <c r="AO45" s="56">
        <v>2.115</v>
      </c>
      <c r="AP45" s="56">
        <v>2.795</v>
      </c>
      <c r="AQ45" s="49">
        <v>0.0</v>
      </c>
      <c r="AR45" s="56">
        <v>43.44</v>
      </c>
      <c r="AS45" s="56">
        <v>53.97</v>
      </c>
      <c r="AT45" s="56">
        <v>57.97</v>
      </c>
      <c r="AU45" s="56">
        <v>57.95</v>
      </c>
      <c r="AV45" s="56">
        <v>57.5</v>
      </c>
      <c r="AW45" s="56">
        <v>56.59</v>
      </c>
      <c r="AX45" s="56">
        <v>55.19</v>
      </c>
      <c r="AY45" s="56">
        <v>50.77</v>
      </c>
      <c r="AZ45" s="56">
        <v>43.93</v>
      </c>
      <c r="BA45" s="50">
        <v>796.0</v>
      </c>
      <c r="BB45" s="57">
        <v>300.0</v>
      </c>
      <c r="BC45" s="57">
        <v>168.0</v>
      </c>
      <c r="BD45" s="57">
        <v>127.0</v>
      </c>
      <c r="BE45" s="57" t="s">
        <v>494</v>
      </c>
      <c r="BF45" s="57" t="s">
        <v>495</v>
      </c>
      <c r="BG45" s="57" t="s">
        <v>496</v>
      </c>
      <c r="BH45" s="57" t="s">
        <v>497</v>
      </c>
      <c r="BI45" s="57">
        <v>100.0</v>
      </c>
      <c r="BJ45" s="57">
        <v>150.0</v>
      </c>
      <c r="BK45" s="57">
        <v>250.0</v>
      </c>
      <c r="BL45" s="57">
        <v>180.0</v>
      </c>
      <c r="BM45" s="57">
        <v>210.0</v>
      </c>
      <c r="BN45" s="57">
        <v>75.0</v>
      </c>
      <c r="BO45" s="57">
        <v>30.0</v>
      </c>
      <c r="BP45" s="57" t="s">
        <v>498</v>
      </c>
      <c r="BQ45" s="57" t="s">
        <v>499</v>
      </c>
      <c r="BR45" s="58">
        <v>25.0</v>
      </c>
      <c r="BS45" s="59" t="s">
        <v>500</v>
      </c>
      <c r="BT45" s="59" t="s">
        <v>500</v>
      </c>
      <c r="BU45" s="58">
        <v>3.0</v>
      </c>
      <c r="BV45" s="47">
        <f>IFERROR(__xludf.DUMMYFUNCTION("IFERROR(INDEX(motors!E:E, MATCH(1, (motors!A:A=REGEXEXTRACT(A45,""^\S+""))*(motors!B:B=BU45), 0)), """")"),10.4)</f>
        <v>10.4</v>
      </c>
      <c r="BW45" s="47">
        <f>IFERROR(__xludf.DUMMYFUNCTION("IFERROR(INDEX(motors!F:F, MATCH(1, (motors!A:A=REGEXEXTRACT(A45,""^\S+""))*(motors!B:B=BU45), 0)), """")"),6.0)</f>
        <v>6</v>
      </c>
      <c r="BX45" s="57">
        <v>2.0</v>
      </c>
      <c r="BY45" s="58">
        <v>44.0</v>
      </c>
      <c r="BZ45" s="59" t="s">
        <v>585</v>
      </c>
      <c r="CA45" s="53" t="str">
        <f>IFERROR(__xludf.DUMMYFUNCTION("IFERROR(REGEXEXTRACT(BZ45, ""(?i)[A-Z]+-D-E-([^-]+)-E""), """")"),"HQQE")</f>
        <v>HQQE</v>
      </c>
    </row>
    <row r="46" ht="11.25" customHeight="1">
      <c r="A46" s="45" t="s">
        <v>586</v>
      </c>
      <c r="B46" s="46">
        <v>7.4113765E7</v>
      </c>
      <c r="C46" s="47">
        <v>0.0</v>
      </c>
      <c r="D46" s="47">
        <v>1.2</v>
      </c>
      <c r="E46" s="47">
        <v>2.0</v>
      </c>
      <c r="F46" s="47">
        <v>2.8</v>
      </c>
      <c r="G46" s="47">
        <v>3.0</v>
      </c>
      <c r="H46" s="47">
        <v>3.2</v>
      </c>
      <c r="I46" s="47">
        <v>3.4</v>
      </c>
      <c r="J46" s="47">
        <v>3.6</v>
      </c>
      <c r="K46" s="47">
        <v>4.0</v>
      </c>
      <c r="L46" s="47">
        <v>4.4</v>
      </c>
      <c r="M46" s="48">
        <v>202.1258468485</v>
      </c>
      <c r="N46" s="47">
        <v>191.13584526279337</v>
      </c>
      <c r="O46" s="47">
        <v>178.1008059713</v>
      </c>
      <c r="P46" s="47">
        <v>156.61874329651576</v>
      </c>
      <c r="Q46" s="47">
        <v>150.0124652092</v>
      </c>
      <c r="R46" s="47">
        <v>142.9020977100926</v>
      </c>
      <c r="S46" s="47">
        <v>135.24345600930064</v>
      </c>
      <c r="T46" s="47">
        <v>126.95825771240919</v>
      </c>
      <c r="U46" s="47">
        <v>108.5</v>
      </c>
      <c r="V46" s="47">
        <v>87.5</v>
      </c>
      <c r="W46" s="49">
        <v>0.8250000000000001</v>
      </c>
      <c r="X46" s="47">
        <v>1.518</v>
      </c>
      <c r="Y46" s="47">
        <v>1.9140000000000001</v>
      </c>
      <c r="Z46" s="47">
        <v>2.178</v>
      </c>
      <c r="AA46" s="47">
        <v>2.2110000000000003</v>
      </c>
      <c r="AB46" s="47">
        <v>2.244</v>
      </c>
      <c r="AC46" s="47">
        <v>2.277</v>
      </c>
      <c r="AD46" s="47">
        <v>2.31</v>
      </c>
      <c r="AE46" s="47">
        <v>2.31</v>
      </c>
      <c r="AF46" s="47">
        <v>2.244</v>
      </c>
      <c r="AG46" s="49">
        <v>1.148</v>
      </c>
      <c r="AH46" s="47">
        <v>1.192</v>
      </c>
      <c r="AI46" s="47">
        <v>1.273</v>
      </c>
      <c r="AJ46" s="47">
        <v>1.424</v>
      </c>
      <c r="AK46" s="47">
        <v>1.473</v>
      </c>
      <c r="AL46" s="47">
        <v>1.526</v>
      </c>
      <c r="AM46" s="47">
        <v>1.599</v>
      </c>
      <c r="AN46" s="47">
        <v>1.719</v>
      </c>
      <c r="AO46" s="47">
        <v>2.115</v>
      </c>
      <c r="AP46" s="47">
        <v>2.795</v>
      </c>
      <c r="AQ46" s="49">
        <v>0.0</v>
      </c>
      <c r="AR46" s="47">
        <v>43.44</v>
      </c>
      <c r="AS46" s="47">
        <v>53.97</v>
      </c>
      <c r="AT46" s="47">
        <v>57.97</v>
      </c>
      <c r="AU46" s="47">
        <v>57.95</v>
      </c>
      <c r="AV46" s="47">
        <v>57.5</v>
      </c>
      <c r="AW46" s="47">
        <v>56.59</v>
      </c>
      <c r="AX46" s="47">
        <v>55.19</v>
      </c>
      <c r="AY46" s="47">
        <v>50.77</v>
      </c>
      <c r="AZ46" s="47">
        <v>43.93</v>
      </c>
      <c r="BA46" s="50">
        <v>832.0</v>
      </c>
      <c r="BB46" s="51">
        <v>300.0</v>
      </c>
      <c r="BC46" s="51">
        <v>168.0</v>
      </c>
      <c r="BD46" s="51">
        <v>127.0</v>
      </c>
      <c r="BE46" s="51" t="s">
        <v>494</v>
      </c>
      <c r="BF46" s="51" t="s">
        <v>495</v>
      </c>
      <c r="BG46" s="51" t="s">
        <v>496</v>
      </c>
      <c r="BH46" s="51" t="s">
        <v>497</v>
      </c>
      <c r="BI46" s="51">
        <v>100.0</v>
      </c>
      <c r="BJ46" s="51">
        <v>150.0</v>
      </c>
      <c r="BK46" s="51">
        <v>250.0</v>
      </c>
      <c r="BL46" s="51">
        <v>180.0</v>
      </c>
      <c r="BM46" s="51">
        <v>210.0</v>
      </c>
      <c r="BN46" s="51">
        <v>75.0</v>
      </c>
      <c r="BO46" s="51">
        <v>30.0</v>
      </c>
      <c r="BP46" s="51" t="s">
        <v>498</v>
      </c>
      <c r="BQ46" s="51" t="s">
        <v>499</v>
      </c>
      <c r="BR46" s="52">
        <v>25.0</v>
      </c>
      <c r="BS46" s="53" t="s">
        <v>500</v>
      </c>
      <c r="BT46" s="53" t="s">
        <v>500</v>
      </c>
      <c r="BU46" s="52">
        <v>3.0</v>
      </c>
      <c r="BV46" s="47">
        <f>IFERROR(__xludf.DUMMYFUNCTION("IFERROR(INDEX(motors!E:E, MATCH(1, (motors!A:A=REGEXEXTRACT(A46,""^\S+""))*(motors!B:B=BU46), 0)), """")"),10.4)</f>
        <v>10.4</v>
      </c>
      <c r="BW46" s="47">
        <f>IFERROR(__xludf.DUMMYFUNCTION("IFERROR(INDEX(motors!F:F, MATCH(1, (motors!A:A=REGEXEXTRACT(A46,""^\S+""))*(motors!B:B=BU46), 0)), """")"),6.0)</f>
        <v>6</v>
      </c>
      <c r="BX46" s="51">
        <v>2.0</v>
      </c>
      <c r="BY46" s="52">
        <v>45.0</v>
      </c>
      <c r="BZ46" s="53" t="s">
        <v>587</v>
      </c>
      <c r="CA46" s="53" t="str">
        <f>IFERROR(__xludf.DUMMYFUNCTION("IFERROR(REGEXEXTRACT(BZ46, ""(?i)[A-Z]+-D-E-([^-]+)-E""), """")"),"HQQE")</f>
        <v>HQQE</v>
      </c>
    </row>
    <row r="47" ht="11.25" customHeight="1">
      <c r="A47" s="54" t="s">
        <v>588</v>
      </c>
      <c r="B47" s="55">
        <v>7.4113766E7</v>
      </c>
      <c r="C47" s="56">
        <v>0.0</v>
      </c>
      <c r="D47" s="56">
        <v>1.2</v>
      </c>
      <c r="E47" s="56">
        <v>2.0</v>
      </c>
      <c r="F47" s="56">
        <v>2.8</v>
      </c>
      <c r="G47" s="56">
        <v>3.0</v>
      </c>
      <c r="H47" s="56">
        <v>3.2</v>
      </c>
      <c r="I47" s="56">
        <v>3.4</v>
      </c>
      <c r="J47" s="56">
        <v>3.6</v>
      </c>
      <c r="K47" s="56">
        <v>4.0</v>
      </c>
      <c r="L47" s="56">
        <v>4.4</v>
      </c>
      <c r="M47" s="48">
        <v>219.9967638988</v>
      </c>
      <c r="N47" s="56">
        <v>209.12901629370091</v>
      </c>
      <c r="O47" s="56">
        <v>194.2714263158</v>
      </c>
      <c r="P47" s="56">
        <v>172.54383546373077</v>
      </c>
      <c r="Q47" s="56">
        <v>166.055330041</v>
      </c>
      <c r="R47" s="56">
        <v>159.02929110564492</v>
      </c>
      <c r="S47" s="56">
        <v>151.33369379908186</v>
      </c>
      <c r="T47" s="56">
        <v>142.78026631757385</v>
      </c>
      <c r="U47" s="56">
        <v>122.01448636800001</v>
      </c>
      <c r="V47" s="56">
        <v>98.5</v>
      </c>
      <c r="W47" s="49">
        <v>0.9</v>
      </c>
      <c r="X47" s="56">
        <v>1.656</v>
      </c>
      <c r="Y47" s="56">
        <v>2.088</v>
      </c>
      <c r="Z47" s="56">
        <v>2.3760000000000003</v>
      </c>
      <c r="AA47" s="56">
        <v>2.412</v>
      </c>
      <c r="AB47" s="56">
        <v>2.4480000000000004</v>
      </c>
      <c r="AC47" s="56">
        <v>2.484</v>
      </c>
      <c r="AD47" s="56">
        <v>2.5200000000000005</v>
      </c>
      <c r="AE47" s="56">
        <v>2.5200000000000005</v>
      </c>
      <c r="AF47" s="56">
        <v>2.4480000000000004</v>
      </c>
      <c r="AG47" s="49">
        <v>1.148</v>
      </c>
      <c r="AH47" s="56">
        <v>1.192</v>
      </c>
      <c r="AI47" s="56">
        <v>1.273</v>
      </c>
      <c r="AJ47" s="56">
        <v>1.424</v>
      </c>
      <c r="AK47" s="56">
        <v>1.473</v>
      </c>
      <c r="AL47" s="56">
        <v>1.526</v>
      </c>
      <c r="AM47" s="56">
        <v>1.599</v>
      </c>
      <c r="AN47" s="56">
        <v>1.719</v>
      </c>
      <c r="AO47" s="56">
        <v>2.115</v>
      </c>
      <c r="AP47" s="56">
        <v>2.795</v>
      </c>
      <c r="AQ47" s="49">
        <v>0.0</v>
      </c>
      <c r="AR47" s="56">
        <v>43.44</v>
      </c>
      <c r="AS47" s="56">
        <v>53.97</v>
      </c>
      <c r="AT47" s="56">
        <v>57.97</v>
      </c>
      <c r="AU47" s="56">
        <v>57.95</v>
      </c>
      <c r="AV47" s="56">
        <v>57.5</v>
      </c>
      <c r="AW47" s="56">
        <v>56.59</v>
      </c>
      <c r="AX47" s="56">
        <v>55.19</v>
      </c>
      <c r="AY47" s="56">
        <v>50.77</v>
      </c>
      <c r="AZ47" s="56">
        <v>43.93</v>
      </c>
      <c r="BA47" s="50">
        <v>886.0</v>
      </c>
      <c r="BB47" s="57">
        <v>300.0</v>
      </c>
      <c r="BC47" s="57">
        <v>168.0</v>
      </c>
      <c r="BD47" s="57">
        <v>127.0</v>
      </c>
      <c r="BE47" s="57" t="s">
        <v>494</v>
      </c>
      <c r="BF47" s="57" t="s">
        <v>495</v>
      </c>
      <c r="BG47" s="57" t="s">
        <v>496</v>
      </c>
      <c r="BH47" s="57" t="s">
        <v>497</v>
      </c>
      <c r="BI47" s="57">
        <v>100.0</v>
      </c>
      <c r="BJ47" s="57">
        <v>150.0</v>
      </c>
      <c r="BK47" s="57">
        <v>250.0</v>
      </c>
      <c r="BL47" s="57">
        <v>180.0</v>
      </c>
      <c r="BM47" s="57">
        <v>210.0</v>
      </c>
      <c r="BN47" s="57">
        <v>75.0</v>
      </c>
      <c r="BO47" s="57">
        <v>30.0</v>
      </c>
      <c r="BP47" s="57" t="s">
        <v>498</v>
      </c>
      <c r="BQ47" s="57" t="s">
        <v>499</v>
      </c>
      <c r="BR47" s="58">
        <v>25.0</v>
      </c>
      <c r="BS47" s="59" t="s">
        <v>500</v>
      </c>
      <c r="BT47" s="59" t="s">
        <v>500</v>
      </c>
      <c r="BU47" s="58">
        <v>3.0</v>
      </c>
      <c r="BV47" s="47">
        <f>IFERROR(__xludf.DUMMYFUNCTION("IFERROR(INDEX(motors!E:E, MATCH(1, (motors!A:A=REGEXEXTRACT(A47,""^\S+""))*(motors!B:B=BU47), 0)), """")"),10.4)</f>
        <v>10.4</v>
      </c>
      <c r="BW47" s="47">
        <f>IFERROR(__xludf.DUMMYFUNCTION("IFERROR(INDEX(motors!F:F, MATCH(1, (motors!A:A=REGEXEXTRACT(A47,""^\S+""))*(motors!B:B=BU47), 0)), """")"),6.0)</f>
        <v>6</v>
      </c>
      <c r="BX47" s="57">
        <v>2.0</v>
      </c>
      <c r="BY47" s="58">
        <v>47.0</v>
      </c>
      <c r="BZ47" s="59" t="s">
        <v>589</v>
      </c>
      <c r="CA47" s="53" t="str">
        <f>IFERROR(__xludf.DUMMYFUNCTION("IFERROR(REGEXEXTRACT(BZ47, ""(?i)[A-Z]+-D-E-([^-]+)-E""), """")"),"HQQE")</f>
        <v>HQQE</v>
      </c>
    </row>
    <row r="48" ht="11.25" customHeight="1">
      <c r="A48" s="46"/>
      <c r="B48" s="46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8"/>
      <c r="N48" s="47"/>
      <c r="O48" s="47"/>
      <c r="P48" s="47"/>
      <c r="Q48" s="47"/>
      <c r="R48" s="47"/>
      <c r="S48" s="47"/>
      <c r="T48" s="47"/>
      <c r="U48" s="47"/>
      <c r="V48" s="47"/>
      <c r="W48" s="49"/>
      <c r="X48" s="47"/>
      <c r="Y48" s="47"/>
      <c r="Z48" s="47"/>
      <c r="AA48" s="47"/>
      <c r="AB48" s="47"/>
      <c r="AC48" s="47"/>
      <c r="AD48" s="47"/>
      <c r="AE48" s="47"/>
      <c r="AF48" s="47"/>
      <c r="AG48" s="49"/>
      <c r="AH48" s="47"/>
      <c r="AI48" s="47"/>
      <c r="AJ48" s="47"/>
      <c r="AK48" s="47"/>
      <c r="AL48" s="47"/>
      <c r="AM48" s="47"/>
      <c r="AN48" s="47"/>
      <c r="AO48" s="47"/>
      <c r="AP48" s="47"/>
      <c r="AQ48" s="49"/>
      <c r="AR48" s="47"/>
      <c r="AS48" s="47"/>
      <c r="AT48" s="47"/>
      <c r="AU48" s="47"/>
      <c r="AV48" s="47"/>
      <c r="AW48" s="47"/>
      <c r="AX48" s="47"/>
      <c r="AY48" s="47"/>
      <c r="AZ48" s="47"/>
      <c r="BA48" s="50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3"/>
      <c r="BS48" s="53"/>
      <c r="BT48" s="53"/>
      <c r="BU48" s="53"/>
      <c r="BV48" s="47" t="str">
        <f>IFERROR(__xludf.DUMMYFUNCTION("IFERROR(INDEX(motors!E:E, MATCH(1, (motors!A:A=REGEXEXTRACT(A48,""^\S+""))*(motors!B:B=BU48), 0)), """")"),"")</f>
        <v/>
      </c>
      <c r="BW48" s="47" t="str">
        <f>IFERROR(__xludf.DUMMYFUNCTION("IFERROR(INDEX(motors!F:F, MATCH(1, (motors!A:A=REGEXEXTRACT(A48,""^\S+""))*(motors!B:B=BU48), 0)), """")"),"")</f>
        <v/>
      </c>
      <c r="BX48" s="51"/>
      <c r="BY48" s="53"/>
      <c r="BZ48" s="53"/>
      <c r="CA48" s="53" t="str">
        <f>IFERROR(__xludf.DUMMYFUNCTION("IFERROR(REGEXEXTRACT(BZ48, ""(?i)[A-Z]+-D-E-([^-]+)-E""), """")"),"")</f>
        <v/>
      </c>
    </row>
    <row r="49" ht="11.25" customHeight="1">
      <c r="A49" s="55" t="s">
        <v>590</v>
      </c>
      <c r="B49" s="55">
        <v>7.4115744E7</v>
      </c>
      <c r="C49" s="56">
        <v>0.0</v>
      </c>
      <c r="D49" s="56">
        <v>2.5</v>
      </c>
      <c r="E49" s="56">
        <v>3.0</v>
      </c>
      <c r="F49" s="56">
        <v>4.0</v>
      </c>
      <c r="G49" s="56">
        <v>5.0</v>
      </c>
      <c r="H49" s="56">
        <v>6.0</v>
      </c>
      <c r="I49" s="56">
        <v>6.5</v>
      </c>
      <c r="J49" s="56">
        <v>7.0</v>
      </c>
      <c r="K49" s="56">
        <v>7.5</v>
      </c>
      <c r="L49" s="56">
        <v>8.0</v>
      </c>
      <c r="M49" s="48">
        <v>15.5028586467</v>
      </c>
      <c r="N49" s="56">
        <v>13.55</v>
      </c>
      <c r="O49" s="56">
        <v>13.1</v>
      </c>
      <c r="P49" s="56">
        <v>12.1</v>
      </c>
      <c r="Q49" s="56">
        <v>10.8</v>
      </c>
      <c r="R49" s="56">
        <v>9.35</v>
      </c>
      <c r="S49" s="56">
        <v>8.5</v>
      </c>
      <c r="T49" s="56">
        <v>7.65</v>
      </c>
      <c r="U49" s="56">
        <v>6.75</v>
      </c>
      <c r="V49" s="56">
        <v>5.83</v>
      </c>
      <c r="W49" s="49">
        <v>0.08</v>
      </c>
      <c r="X49" s="56">
        <v>0.172</v>
      </c>
      <c r="Y49" s="56">
        <v>0.188</v>
      </c>
      <c r="Z49" s="56">
        <v>0.212</v>
      </c>
      <c r="AA49" s="56">
        <v>0.232</v>
      </c>
      <c r="AB49" s="56">
        <v>0.246</v>
      </c>
      <c r="AC49" s="56">
        <v>0.252</v>
      </c>
      <c r="AD49" s="56">
        <v>0.256</v>
      </c>
      <c r="AE49" s="56">
        <v>0.258</v>
      </c>
      <c r="AF49" s="56">
        <v>0.26</v>
      </c>
      <c r="AG49" s="49">
        <v>0.7</v>
      </c>
      <c r="AH49" s="56">
        <v>0.829</v>
      </c>
      <c r="AI49" s="56">
        <v>0.904</v>
      </c>
      <c r="AJ49" s="56">
        <v>1.199</v>
      </c>
      <c r="AK49" s="56">
        <v>1.561</v>
      </c>
      <c r="AL49" s="56">
        <v>1.993</v>
      </c>
      <c r="AM49" s="56">
        <v>2.24</v>
      </c>
      <c r="AN49" s="56">
        <v>2.514</v>
      </c>
      <c r="AO49" s="56">
        <v>2.819</v>
      </c>
      <c r="AP49" s="56">
        <v>3.165</v>
      </c>
      <c r="AQ49" s="49">
        <v>0.0</v>
      </c>
      <c r="AR49" s="56">
        <v>49.0</v>
      </c>
      <c r="AS49" s="56">
        <v>55.5</v>
      </c>
      <c r="AT49" s="56">
        <v>62.33</v>
      </c>
      <c r="AU49" s="56">
        <v>65.48</v>
      </c>
      <c r="AV49" s="56">
        <v>65.82</v>
      </c>
      <c r="AW49" s="56">
        <v>65.02</v>
      </c>
      <c r="AX49" s="56">
        <v>63.61</v>
      </c>
      <c r="AY49" s="56">
        <v>61.6</v>
      </c>
      <c r="AZ49" s="56">
        <v>59.02</v>
      </c>
      <c r="BA49" s="50">
        <v>272.0</v>
      </c>
      <c r="BB49" s="57">
        <v>207.0</v>
      </c>
      <c r="BC49" s="57">
        <v>134.0</v>
      </c>
      <c r="BD49" s="57">
        <v>112.0</v>
      </c>
      <c r="BE49" s="57" t="s">
        <v>494</v>
      </c>
      <c r="BF49" s="57" t="s">
        <v>495</v>
      </c>
      <c r="BG49" s="57" t="s">
        <v>496</v>
      </c>
      <c r="BH49" s="57" t="s">
        <v>497</v>
      </c>
      <c r="BI49" s="57">
        <v>100.0</v>
      </c>
      <c r="BJ49" s="57">
        <v>150.0</v>
      </c>
      <c r="BK49" s="57">
        <v>250.0</v>
      </c>
      <c r="BL49" s="57">
        <v>180.0</v>
      </c>
      <c r="BM49" s="57">
        <v>210.0</v>
      </c>
      <c r="BN49" s="57">
        <v>75.0</v>
      </c>
      <c r="BO49" s="57">
        <v>30.0</v>
      </c>
      <c r="BP49" s="57" t="s">
        <v>498</v>
      </c>
      <c r="BQ49" s="57" t="s">
        <v>499</v>
      </c>
      <c r="BR49" s="58">
        <v>25.0</v>
      </c>
      <c r="BS49" s="59" t="s">
        <v>500</v>
      </c>
      <c r="BT49" s="59" t="s">
        <v>500</v>
      </c>
      <c r="BU49" s="58">
        <v>0.37</v>
      </c>
      <c r="BV49" s="47">
        <f>IFERROR(__xludf.DUMMYFUNCTION("IFERROR(INDEX(motors!E:E, MATCH(1, (motors!A:A=REGEXEXTRACT(A49,""^\S+""))*(motors!B:B=BU49), 0)), """")"),1.6)</f>
        <v>1.6</v>
      </c>
      <c r="BW49" s="47">
        <f>IFERROR(__xludf.DUMMYFUNCTION("IFERROR(INDEX(motors!F:F, MATCH(1, (motors!A:A=REGEXEXTRACT(A49,""^\S+""))*(motors!B:B=BU49), 0)), """")"),0.9)</f>
        <v>0.9</v>
      </c>
      <c r="BX49" s="57">
        <v>2.0</v>
      </c>
      <c r="BY49" s="58">
        <v>22.0</v>
      </c>
      <c r="BZ49" s="59" t="s">
        <v>591</v>
      </c>
      <c r="CA49" s="53" t="str">
        <f>IFERROR(__xludf.DUMMYFUNCTION("IFERROR(REGEXEXTRACT(BZ49, ""(?i)[A-Z]+-D-E-([^-]+)-E""), """")"),"HQQE")</f>
        <v>HQQE</v>
      </c>
    </row>
    <row r="50" ht="11.25" customHeight="1">
      <c r="A50" s="46" t="s">
        <v>592</v>
      </c>
      <c r="B50" s="46">
        <v>7.4115745E7</v>
      </c>
      <c r="C50" s="47">
        <v>0.0</v>
      </c>
      <c r="D50" s="47">
        <v>2.5</v>
      </c>
      <c r="E50" s="47">
        <v>3.0</v>
      </c>
      <c r="F50" s="47">
        <v>4.0</v>
      </c>
      <c r="G50" s="47">
        <v>5.0</v>
      </c>
      <c r="H50" s="47">
        <v>6.0</v>
      </c>
      <c r="I50" s="47">
        <v>6.5</v>
      </c>
      <c r="J50" s="47">
        <v>7.0</v>
      </c>
      <c r="K50" s="47">
        <v>7.5</v>
      </c>
      <c r="L50" s="47">
        <v>8.0</v>
      </c>
      <c r="M50" s="48">
        <v>20.9965268107</v>
      </c>
      <c r="N50" s="47">
        <v>18.490455151715626</v>
      </c>
      <c r="O50" s="47">
        <v>17.8958760247</v>
      </c>
      <c r="P50" s="47">
        <v>16.5636241047</v>
      </c>
      <c r="Q50" s="47">
        <v>14.977507780700002</v>
      </c>
      <c r="R50" s="47">
        <v>13.0546317961</v>
      </c>
      <c r="S50" s="47">
        <v>11.941035703090625</v>
      </c>
      <c r="T50" s="47">
        <v>10.7132603487</v>
      </c>
      <c r="U50" s="47">
        <v>9.362982914059376</v>
      </c>
      <c r="V50" s="47">
        <v>7.883258182700001</v>
      </c>
      <c r="W50" s="49">
        <v>0.12</v>
      </c>
      <c r="X50" s="47">
        <v>0.258</v>
      </c>
      <c r="Y50" s="47">
        <v>0.28200000000000003</v>
      </c>
      <c r="Z50" s="47">
        <v>0.318</v>
      </c>
      <c r="AA50" s="47">
        <v>0.34800000000000003</v>
      </c>
      <c r="AB50" s="47">
        <v>0.369</v>
      </c>
      <c r="AC50" s="47">
        <v>0.378</v>
      </c>
      <c r="AD50" s="47">
        <v>0.384</v>
      </c>
      <c r="AE50" s="47">
        <v>0.387</v>
      </c>
      <c r="AF50" s="47">
        <v>0.39</v>
      </c>
      <c r="AG50" s="49">
        <v>0.7</v>
      </c>
      <c r="AH50" s="47">
        <v>0.829</v>
      </c>
      <c r="AI50" s="47">
        <v>0.904</v>
      </c>
      <c r="AJ50" s="47">
        <v>1.199</v>
      </c>
      <c r="AK50" s="47">
        <v>1.561</v>
      </c>
      <c r="AL50" s="47">
        <v>1.993</v>
      </c>
      <c r="AM50" s="47">
        <v>2.24</v>
      </c>
      <c r="AN50" s="47">
        <v>2.514</v>
      </c>
      <c r="AO50" s="47">
        <v>2.819</v>
      </c>
      <c r="AP50" s="47">
        <v>3.165</v>
      </c>
      <c r="AQ50" s="49">
        <v>0.0</v>
      </c>
      <c r="AR50" s="47">
        <v>49.0</v>
      </c>
      <c r="AS50" s="47">
        <v>55.5</v>
      </c>
      <c r="AT50" s="47">
        <v>62.33</v>
      </c>
      <c r="AU50" s="47">
        <v>65.48</v>
      </c>
      <c r="AV50" s="47">
        <v>65.82</v>
      </c>
      <c r="AW50" s="47">
        <v>65.02</v>
      </c>
      <c r="AX50" s="47">
        <v>63.61</v>
      </c>
      <c r="AY50" s="47">
        <v>61.6</v>
      </c>
      <c r="AZ50" s="47">
        <v>59.02</v>
      </c>
      <c r="BA50" s="50">
        <v>299.0</v>
      </c>
      <c r="BB50" s="51">
        <v>207.0</v>
      </c>
      <c r="BC50" s="51">
        <v>134.0</v>
      </c>
      <c r="BD50" s="51">
        <v>112.0</v>
      </c>
      <c r="BE50" s="51" t="s">
        <v>494</v>
      </c>
      <c r="BF50" s="51" t="s">
        <v>495</v>
      </c>
      <c r="BG50" s="51" t="s">
        <v>496</v>
      </c>
      <c r="BH50" s="51" t="s">
        <v>497</v>
      </c>
      <c r="BI50" s="51">
        <v>100.0</v>
      </c>
      <c r="BJ50" s="51">
        <v>150.0</v>
      </c>
      <c r="BK50" s="51">
        <v>250.0</v>
      </c>
      <c r="BL50" s="51">
        <v>180.0</v>
      </c>
      <c r="BM50" s="51">
        <v>210.0</v>
      </c>
      <c r="BN50" s="51">
        <v>75.0</v>
      </c>
      <c r="BO50" s="51">
        <v>30.0</v>
      </c>
      <c r="BP50" s="51" t="s">
        <v>498</v>
      </c>
      <c r="BQ50" s="51" t="s">
        <v>499</v>
      </c>
      <c r="BR50" s="52">
        <v>25.0</v>
      </c>
      <c r="BS50" s="53" t="s">
        <v>500</v>
      </c>
      <c r="BT50" s="53" t="s">
        <v>500</v>
      </c>
      <c r="BU50" s="52">
        <v>0.55</v>
      </c>
      <c r="BV50" s="47">
        <f>IFERROR(__xludf.DUMMYFUNCTION("IFERROR(INDEX(motors!E:E, MATCH(1, (motors!A:A=REGEXEXTRACT(A50,""^\S+""))*(motors!B:B=BU50), 0)), """")"),2.3)</f>
        <v>2.3</v>
      </c>
      <c r="BW50" s="47">
        <f>IFERROR(__xludf.DUMMYFUNCTION("IFERROR(INDEX(motors!F:F, MATCH(1, (motors!A:A=REGEXEXTRACT(A50,""^\S+""))*(motors!B:B=BU50), 0)), """")"),1.3)</f>
        <v>1.3</v>
      </c>
      <c r="BX50" s="51">
        <v>2.0</v>
      </c>
      <c r="BY50" s="52">
        <v>23.0</v>
      </c>
      <c r="BZ50" s="53" t="s">
        <v>593</v>
      </c>
      <c r="CA50" s="53" t="str">
        <f>IFERROR(__xludf.DUMMYFUNCTION("IFERROR(REGEXEXTRACT(BZ50, ""(?i)[A-Z]+-D-E-([^-]+)-E""), """")"),"HQQE")</f>
        <v>HQQE</v>
      </c>
    </row>
    <row r="51" ht="11.25" customHeight="1">
      <c r="A51" s="55" t="s">
        <v>594</v>
      </c>
      <c r="B51" s="55">
        <v>7.4115746E7</v>
      </c>
      <c r="C51" s="56">
        <v>0.0</v>
      </c>
      <c r="D51" s="56">
        <v>2.5</v>
      </c>
      <c r="E51" s="56">
        <v>3.0</v>
      </c>
      <c r="F51" s="56">
        <v>4.0</v>
      </c>
      <c r="G51" s="56">
        <v>5.0</v>
      </c>
      <c r="H51" s="56">
        <v>6.0</v>
      </c>
      <c r="I51" s="56">
        <v>6.5</v>
      </c>
      <c r="J51" s="56">
        <v>7.0</v>
      </c>
      <c r="K51" s="56">
        <v>7.5</v>
      </c>
      <c r="L51" s="56">
        <v>8.0</v>
      </c>
      <c r="M51" s="48">
        <v>26.7</v>
      </c>
      <c r="N51" s="56">
        <v>24.1</v>
      </c>
      <c r="O51" s="56">
        <v>23.4505997049</v>
      </c>
      <c r="P51" s="56">
        <v>21.9</v>
      </c>
      <c r="Q51" s="56">
        <v>19.962921174699996</v>
      </c>
      <c r="R51" s="56">
        <v>17.4</v>
      </c>
      <c r="S51" s="56">
        <v>15.85</v>
      </c>
      <c r="T51" s="56">
        <v>14.3</v>
      </c>
      <c r="U51" s="56">
        <v>12.55</v>
      </c>
      <c r="V51" s="56">
        <v>10.8</v>
      </c>
      <c r="W51" s="49">
        <v>0.16</v>
      </c>
      <c r="X51" s="56">
        <v>0.344</v>
      </c>
      <c r="Y51" s="56">
        <v>0.376</v>
      </c>
      <c r="Z51" s="56">
        <v>0.424</v>
      </c>
      <c r="AA51" s="56">
        <v>0.464</v>
      </c>
      <c r="AB51" s="56">
        <v>0.492</v>
      </c>
      <c r="AC51" s="56">
        <v>0.504</v>
      </c>
      <c r="AD51" s="56">
        <v>0.512</v>
      </c>
      <c r="AE51" s="56">
        <v>0.516</v>
      </c>
      <c r="AF51" s="56">
        <v>0.52</v>
      </c>
      <c r="AG51" s="49">
        <v>0.7</v>
      </c>
      <c r="AH51" s="56">
        <v>0.829</v>
      </c>
      <c r="AI51" s="56">
        <v>0.904</v>
      </c>
      <c r="AJ51" s="56">
        <v>1.199</v>
      </c>
      <c r="AK51" s="56">
        <v>1.561</v>
      </c>
      <c r="AL51" s="56">
        <v>1.993</v>
      </c>
      <c r="AM51" s="56">
        <v>2.24</v>
      </c>
      <c r="AN51" s="56">
        <v>2.514</v>
      </c>
      <c r="AO51" s="56">
        <v>2.819</v>
      </c>
      <c r="AP51" s="56">
        <v>3.165</v>
      </c>
      <c r="AQ51" s="49">
        <v>0.0</v>
      </c>
      <c r="AR51" s="56">
        <v>49.0</v>
      </c>
      <c r="AS51" s="56">
        <v>55.5</v>
      </c>
      <c r="AT51" s="56">
        <v>62.33</v>
      </c>
      <c r="AU51" s="56">
        <v>65.48</v>
      </c>
      <c r="AV51" s="56">
        <v>65.82</v>
      </c>
      <c r="AW51" s="56">
        <v>65.02</v>
      </c>
      <c r="AX51" s="56">
        <v>63.61</v>
      </c>
      <c r="AY51" s="56">
        <v>61.6</v>
      </c>
      <c r="AZ51" s="56">
        <v>59.02</v>
      </c>
      <c r="BA51" s="50">
        <v>326.0</v>
      </c>
      <c r="BB51" s="57">
        <v>207.0</v>
      </c>
      <c r="BC51" s="57">
        <v>134.0</v>
      </c>
      <c r="BD51" s="57">
        <v>112.0</v>
      </c>
      <c r="BE51" s="57" t="s">
        <v>494</v>
      </c>
      <c r="BF51" s="57" t="s">
        <v>495</v>
      </c>
      <c r="BG51" s="57" t="s">
        <v>496</v>
      </c>
      <c r="BH51" s="57" t="s">
        <v>497</v>
      </c>
      <c r="BI51" s="57">
        <v>100.0</v>
      </c>
      <c r="BJ51" s="57">
        <v>150.0</v>
      </c>
      <c r="BK51" s="57">
        <v>250.0</v>
      </c>
      <c r="BL51" s="57">
        <v>180.0</v>
      </c>
      <c r="BM51" s="57">
        <v>210.0</v>
      </c>
      <c r="BN51" s="57">
        <v>75.0</v>
      </c>
      <c r="BO51" s="57">
        <v>30.0</v>
      </c>
      <c r="BP51" s="57" t="s">
        <v>498</v>
      </c>
      <c r="BQ51" s="57" t="s">
        <v>499</v>
      </c>
      <c r="BR51" s="58">
        <v>25.0</v>
      </c>
      <c r="BS51" s="59" t="s">
        <v>500</v>
      </c>
      <c r="BT51" s="59" t="s">
        <v>500</v>
      </c>
      <c r="BU51" s="58">
        <v>0.55</v>
      </c>
      <c r="BV51" s="47">
        <f>IFERROR(__xludf.DUMMYFUNCTION("IFERROR(INDEX(motors!E:E, MATCH(1, (motors!A:A=REGEXEXTRACT(A51,""^\S+""))*(motors!B:B=BU51), 0)), """")"),2.3)</f>
        <v>2.3</v>
      </c>
      <c r="BW51" s="47">
        <f>IFERROR(__xludf.DUMMYFUNCTION("IFERROR(INDEX(motors!F:F, MATCH(1, (motors!A:A=REGEXEXTRACT(A51,""^\S+""))*(motors!B:B=BU51), 0)), """")"),1.3)</f>
        <v>1.3</v>
      </c>
      <c r="BX51" s="57">
        <v>2.0</v>
      </c>
      <c r="BY51" s="58">
        <v>23.0</v>
      </c>
      <c r="BZ51" s="59" t="s">
        <v>595</v>
      </c>
      <c r="CA51" s="53" t="str">
        <f>IFERROR(__xludf.DUMMYFUNCTION("IFERROR(REGEXEXTRACT(BZ51, ""(?i)[A-Z]+-D-E-([^-]+)-E""), """")"),"HQQE")</f>
        <v>HQQE</v>
      </c>
    </row>
    <row r="52" ht="11.25" customHeight="1">
      <c r="A52" s="46" t="s">
        <v>596</v>
      </c>
      <c r="B52" s="46">
        <v>7.411577E7</v>
      </c>
      <c r="C52" s="47">
        <v>0.0</v>
      </c>
      <c r="D52" s="47">
        <v>2.5</v>
      </c>
      <c r="E52" s="47">
        <v>3.0</v>
      </c>
      <c r="F52" s="47">
        <v>4.0</v>
      </c>
      <c r="G52" s="47">
        <v>5.0</v>
      </c>
      <c r="H52" s="47">
        <v>6.0</v>
      </c>
      <c r="I52" s="47">
        <v>6.5</v>
      </c>
      <c r="J52" s="47">
        <v>7.0</v>
      </c>
      <c r="K52" s="47">
        <v>7.5</v>
      </c>
      <c r="L52" s="47">
        <v>8.0</v>
      </c>
      <c r="M52" s="48">
        <v>32.9979294636</v>
      </c>
      <c r="N52" s="47">
        <v>29.770225660506252</v>
      </c>
      <c r="O52" s="47">
        <v>28.9440384612</v>
      </c>
      <c r="P52" s="47">
        <v>27.0059948548</v>
      </c>
      <c r="Q52" s="47">
        <v>24.5460215196</v>
      </c>
      <c r="R52" s="47">
        <v>21.4627458768</v>
      </c>
      <c r="S52" s="47">
        <v>19.85</v>
      </c>
      <c r="T52" s="47">
        <v>17.95</v>
      </c>
      <c r="U52" s="47">
        <v>16.0</v>
      </c>
      <c r="V52" s="47">
        <v>13.8</v>
      </c>
      <c r="W52" s="49">
        <v>0.2</v>
      </c>
      <c r="X52" s="47">
        <v>0.42999999999999994</v>
      </c>
      <c r="Y52" s="47">
        <v>0.47</v>
      </c>
      <c r="Z52" s="47">
        <v>0.53</v>
      </c>
      <c r="AA52" s="47">
        <v>0.5800000000000001</v>
      </c>
      <c r="AB52" s="47">
        <v>0.615</v>
      </c>
      <c r="AC52" s="47">
        <v>0.63</v>
      </c>
      <c r="AD52" s="47">
        <v>0.64</v>
      </c>
      <c r="AE52" s="47">
        <v>0.645</v>
      </c>
      <c r="AF52" s="47">
        <v>0.65</v>
      </c>
      <c r="AG52" s="49">
        <v>0.7</v>
      </c>
      <c r="AH52" s="47">
        <v>0.829</v>
      </c>
      <c r="AI52" s="47">
        <v>0.904</v>
      </c>
      <c r="AJ52" s="47">
        <v>1.199</v>
      </c>
      <c r="AK52" s="47">
        <v>1.561</v>
      </c>
      <c r="AL52" s="47">
        <v>1.993</v>
      </c>
      <c r="AM52" s="47">
        <v>2.24</v>
      </c>
      <c r="AN52" s="47">
        <v>2.514</v>
      </c>
      <c r="AO52" s="47">
        <v>2.819</v>
      </c>
      <c r="AP52" s="47">
        <v>3.165</v>
      </c>
      <c r="AQ52" s="49">
        <v>0.0</v>
      </c>
      <c r="AR52" s="47">
        <v>49.0</v>
      </c>
      <c r="AS52" s="47">
        <v>55.5</v>
      </c>
      <c r="AT52" s="47">
        <v>62.33</v>
      </c>
      <c r="AU52" s="47">
        <v>65.48</v>
      </c>
      <c r="AV52" s="47">
        <v>65.82</v>
      </c>
      <c r="AW52" s="47">
        <v>65.02</v>
      </c>
      <c r="AX52" s="47">
        <v>63.61</v>
      </c>
      <c r="AY52" s="47">
        <v>61.6</v>
      </c>
      <c r="AZ52" s="47">
        <v>59.02</v>
      </c>
      <c r="BA52" s="50">
        <v>353.0</v>
      </c>
      <c r="BB52" s="51">
        <v>207.0</v>
      </c>
      <c r="BC52" s="51">
        <v>134.0</v>
      </c>
      <c r="BD52" s="51">
        <v>112.0</v>
      </c>
      <c r="BE52" s="51" t="s">
        <v>494</v>
      </c>
      <c r="BF52" s="51" t="s">
        <v>495</v>
      </c>
      <c r="BG52" s="51" t="s">
        <v>496</v>
      </c>
      <c r="BH52" s="51" t="s">
        <v>497</v>
      </c>
      <c r="BI52" s="51">
        <v>100.0</v>
      </c>
      <c r="BJ52" s="51">
        <v>150.0</v>
      </c>
      <c r="BK52" s="51">
        <v>250.0</v>
      </c>
      <c r="BL52" s="51">
        <v>180.0</v>
      </c>
      <c r="BM52" s="51">
        <v>210.0</v>
      </c>
      <c r="BN52" s="51">
        <v>75.0</v>
      </c>
      <c r="BO52" s="51">
        <v>30.0</v>
      </c>
      <c r="BP52" s="51" t="s">
        <v>498</v>
      </c>
      <c r="BQ52" s="51" t="s">
        <v>499</v>
      </c>
      <c r="BR52" s="52">
        <v>25.0</v>
      </c>
      <c r="BS52" s="53" t="s">
        <v>500</v>
      </c>
      <c r="BT52" s="53" t="s">
        <v>500</v>
      </c>
      <c r="BU52" s="52">
        <v>0.75</v>
      </c>
      <c r="BV52" s="47">
        <f>IFERROR(__xludf.DUMMYFUNCTION("IFERROR(INDEX(motors!E:E, MATCH(1, (motors!A:A=REGEXEXTRACT(A52,""^\S+""))*(motors!B:B=BU52), 0)), """")"),3.0)</f>
        <v>3</v>
      </c>
      <c r="BW52" s="47">
        <f>IFERROR(__xludf.DUMMYFUNCTION("IFERROR(INDEX(motors!F:F, MATCH(1, (motors!A:A=REGEXEXTRACT(A52,""^\S+""))*(motors!B:B=BU52), 0)), """")"),1.7)</f>
        <v>1.7</v>
      </c>
      <c r="BX52" s="51">
        <v>2.0</v>
      </c>
      <c r="BY52" s="52">
        <v>26.0</v>
      </c>
      <c r="BZ52" s="53" t="s">
        <v>597</v>
      </c>
      <c r="CA52" s="53" t="str">
        <f>IFERROR(__xludf.DUMMYFUNCTION("IFERROR(REGEXEXTRACT(BZ52, ""(?i)[A-Z]+-D-E-([^-]+)-E""), """")"),"HQQE")</f>
        <v>HQQE</v>
      </c>
    </row>
    <row r="53" ht="11.25" customHeight="1">
      <c r="A53" s="55" t="s">
        <v>598</v>
      </c>
      <c r="B53" s="55">
        <v>7.4115771E7</v>
      </c>
      <c r="C53" s="56">
        <v>0.0</v>
      </c>
      <c r="D53" s="56">
        <v>2.5</v>
      </c>
      <c r="E53" s="56">
        <v>3.0</v>
      </c>
      <c r="F53" s="56">
        <v>4.0</v>
      </c>
      <c r="G53" s="56">
        <v>5.0</v>
      </c>
      <c r="H53" s="56">
        <v>6.0</v>
      </c>
      <c r="I53" s="56">
        <v>6.5</v>
      </c>
      <c r="J53" s="56">
        <v>7.0</v>
      </c>
      <c r="K53" s="56">
        <v>7.5</v>
      </c>
      <c r="L53" s="56">
        <v>8.0</v>
      </c>
      <c r="M53" s="48">
        <v>39.0053949641</v>
      </c>
      <c r="N53" s="56">
        <v>36.05</v>
      </c>
      <c r="O53" s="56">
        <v>35.15</v>
      </c>
      <c r="P53" s="56">
        <v>32.8842229401</v>
      </c>
      <c r="Q53" s="56">
        <v>29.9</v>
      </c>
      <c r="R53" s="56">
        <v>26.4</v>
      </c>
      <c r="S53" s="56">
        <v>24.4</v>
      </c>
      <c r="T53" s="56">
        <v>22.25</v>
      </c>
      <c r="U53" s="56">
        <v>20.1</v>
      </c>
      <c r="V53" s="56">
        <v>17.75</v>
      </c>
      <c r="W53" s="49">
        <v>0.24</v>
      </c>
      <c r="X53" s="56">
        <v>0.516</v>
      </c>
      <c r="Y53" s="56">
        <v>0.5640000000000001</v>
      </c>
      <c r="Z53" s="56">
        <v>0.636</v>
      </c>
      <c r="AA53" s="56">
        <v>0.6960000000000001</v>
      </c>
      <c r="AB53" s="56">
        <v>0.738</v>
      </c>
      <c r="AC53" s="56">
        <v>0.756</v>
      </c>
      <c r="AD53" s="56">
        <v>0.768</v>
      </c>
      <c r="AE53" s="56">
        <v>0.774</v>
      </c>
      <c r="AF53" s="56">
        <v>0.78</v>
      </c>
      <c r="AG53" s="49">
        <v>0.7</v>
      </c>
      <c r="AH53" s="56">
        <v>0.829</v>
      </c>
      <c r="AI53" s="56">
        <v>0.904</v>
      </c>
      <c r="AJ53" s="56">
        <v>1.199</v>
      </c>
      <c r="AK53" s="56">
        <v>1.561</v>
      </c>
      <c r="AL53" s="56">
        <v>1.993</v>
      </c>
      <c r="AM53" s="56">
        <v>2.24</v>
      </c>
      <c r="AN53" s="56">
        <v>2.514</v>
      </c>
      <c r="AO53" s="56">
        <v>2.819</v>
      </c>
      <c r="AP53" s="56">
        <v>3.165</v>
      </c>
      <c r="AQ53" s="49">
        <v>0.0</v>
      </c>
      <c r="AR53" s="56">
        <v>49.0</v>
      </c>
      <c r="AS53" s="56">
        <v>55.5</v>
      </c>
      <c r="AT53" s="56">
        <v>62.33</v>
      </c>
      <c r="AU53" s="56">
        <v>65.48</v>
      </c>
      <c r="AV53" s="56">
        <v>65.82</v>
      </c>
      <c r="AW53" s="56">
        <v>65.02</v>
      </c>
      <c r="AX53" s="56">
        <v>63.61</v>
      </c>
      <c r="AY53" s="56">
        <v>61.6</v>
      </c>
      <c r="AZ53" s="56">
        <v>59.02</v>
      </c>
      <c r="BA53" s="50">
        <v>390.0</v>
      </c>
      <c r="BB53" s="57">
        <v>240.0</v>
      </c>
      <c r="BC53" s="57">
        <v>150.0</v>
      </c>
      <c r="BD53" s="57">
        <v>118.0</v>
      </c>
      <c r="BE53" s="57" t="s">
        <v>494</v>
      </c>
      <c r="BF53" s="57" t="s">
        <v>495</v>
      </c>
      <c r="BG53" s="57" t="s">
        <v>496</v>
      </c>
      <c r="BH53" s="57" t="s">
        <v>497</v>
      </c>
      <c r="BI53" s="57">
        <v>100.0</v>
      </c>
      <c r="BJ53" s="57">
        <v>150.0</v>
      </c>
      <c r="BK53" s="57">
        <v>250.0</v>
      </c>
      <c r="BL53" s="57">
        <v>180.0</v>
      </c>
      <c r="BM53" s="57">
        <v>210.0</v>
      </c>
      <c r="BN53" s="57">
        <v>75.0</v>
      </c>
      <c r="BO53" s="57">
        <v>30.0</v>
      </c>
      <c r="BP53" s="57" t="s">
        <v>498</v>
      </c>
      <c r="BQ53" s="57" t="s">
        <v>499</v>
      </c>
      <c r="BR53" s="58">
        <v>25.0</v>
      </c>
      <c r="BS53" s="59" t="s">
        <v>500</v>
      </c>
      <c r="BT53" s="59" t="s">
        <v>500</v>
      </c>
      <c r="BU53" s="58">
        <v>1.1</v>
      </c>
      <c r="BV53" s="47">
        <f>IFERROR(__xludf.DUMMYFUNCTION("IFERROR(INDEX(motors!E:E, MATCH(1, (motors!A:A=REGEXEXTRACT(A53,""^\S+""))*(motors!B:B=BU53), 0)), """")"),4.2)</f>
        <v>4.2</v>
      </c>
      <c r="BW53" s="47">
        <f>IFERROR(__xludf.DUMMYFUNCTION("IFERROR(INDEX(motors!F:F, MATCH(1, (motors!A:A=REGEXEXTRACT(A53,""^\S+""))*(motors!B:B=BU53), 0)), """")"),2.4)</f>
        <v>2.4</v>
      </c>
      <c r="BX53" s="57">
        <v>2.0</v>
      </c>
      <c r="BY53" s="58">
        <v>28.0</v>
      </c>
      <c r="BZ53" s="59" t="s">
        <v>599</v>
      </c>
      <c r="CA53" s="53" t="str">
        <f>IFERROR(__xludf.DUMMYFUNCTION("IFERROR(REGEXEXTRACT(BZ53, ""(?i)[A-Z]+-D-E-([^-]+)-E""), """")"),"HQQE")</f>
        <v>HQQE</v>
      </c>
    </row>
    <row r="54" ht="11.25" customHeight="1">
      <c r="A54" s="46" t="s">
        <v>600</v>
      </c>
      <c r="B54" s="46">
        <v>7.4115752E7</v>
      </c>
      <c r="C54" s="47">
        <v>0.0</v>
      </c>
      <c r="D54" s="47">
        <v>2.5</v>
      </c>
      <c r="E54" s="47">
        <v>3.0</v>
      </c>
      <c r="F54" s="47">
        <v>4.0</v>
      </c>
      <c r="G54" s="47">
        <v>5.0</v>
      </c>
      <c r="H54" s="47">
        <v>6.0</v>
      </c>
      <c r="I54" s="47">
        <v>6.5</v>
      </c>
      <c r="J54" s="47">
        <v>7.0</v>
      </c>
      <c r="K54" s="47">
        <v>7.5</v>
      </c>
      <c r="L54" s="47">
        <v>8.0</v>
      </c>
      <c r="M54" s="48">
        <v>45.0084153593</v>
      </c>
      <c r="N54" s="47">
        <v>42.219494852378126</v>
      </c>
      <c r="O54" s="47">
        <v>41.325407893400005</v>
      </c>
      <c r="P54" s="47">
        <v>38.71181978890001</v>
      </c>
      <c r="Q54" s="47">
        <v>35.08641112780001</v>
      </c>
      <c r="R54" s="47">
        <v>31.05</v>
      </c>
      <c r="S54" s="47">
        <v>28.75</v>
      </c>
      <c r="T54" s="47">
        <v>26.25</v>
      </c>
      <c r="U54" s="47">
        <v>23.55</v>
      </c>
      <c r="V54" s="47">
        <v>20.8</v>
      </c>
      <c r="W54" s="49">
        <v>0.28</v>
      </c>
      <c r="X54" s="47">
        <v>0.602</v>
      </c>
      <c r="Y54" s="47">
        <v>0.658</v>
      </c>
      <c r="Z54" s="47">
        <v>0.742</v>
      </c>
      <c r="AA54" s="47">
        <v>0.812</v>
      </c>
      <c r="AB54" s="47">
        <v>0.861</v>
      </c>
      <c r="AC54" s="47">
        <v>0.882</v>
      </c>
      <c r="AD54" s="47">
        <v>0.896</v>
      </c>
      <c r="AE54" s="47">
        <v>0.903</v>
      </c>
      <c r="AF54" s="47">
        <v>0.91</v>
      </c>
      <c r="AG54" s="49">
        <v>0.7</v>
      </c>
      <c r="AH54" s="47">
        <v>0.829</v>
      </c>
      <c r="AI54" s="47">
        <v>0.904</v>
      </c>
      <c r="AJ54" s="47">
        <v>1.199</v>
      </c>
      <c r="AK54" s="47">
        <v>1.561</v>
      </c>
      <c r="AL54" s="47">
        <v>1.993</v>
      </c>
      <c r="AM54" s="47">
        <v>2.24</v>
      </c>
      <c r="AN54" s="47">
        <v>2.514</v>
      </c>
      <c r="AO54" s="47">
        <v>2.819</v>
      </c>
      <c r="AP54" s="47">
        <v>3.165</v>
      </c>
      <c r="AQ54" s="49">
        <v>0.0</v>
      </c>
      <c r="AR54" s="47">
        <v>49.0</v>
      </c>
      <c r="AS54" s="47">
        <v>55.5</v>
      </c>
      <c r="AT54" s="47">
        <v>62.33</v>
      </c>
      <c r="AU54" s="47">
        <v>65.48</v>
      </c>
      <c r="AV54" s="47">
        <v>65.82</v>
      </c>
      <c r="AW54" s="47">
        <v>65.02</v>
      </c>
      <c r="AX54" s="47">
        <v>63.61</v>
      </c>
      <c r="AY54" s="47">
        <v>61.6</v>
      </c>
      <c r="AZ54" s="47">
        <v>59.02</v>
      </c>
      <c r="BA54" s="50">
        <v>417.0</v>
      </c>
      <c r="BB54" s="51">
        <v>240.0</v>
      </c>
      <c r="BC54" s="51">
        <v>150.0</v>
      </c>
      <c r="BD54" s="51">
        <v>118.0</v>
      </c>
      <c r="BE54" s="51" t="s">
        <v>494</v>
      </c>
      <c r="BF54" s="51" t="s">
        <v>495</v>
      </c>
      <c r="BG54" s="51" t="s">
        <v>496</v>
      </c>
      <c r="BH54" s="51" t="s">
        <v>497</v>
      </c>
      <c r="BI54" s="51">
        <v>100.0</v>
      </c>
      <c r="BJ54" s="51">
        <v>150.0</v>
      </c>
      <c r="BK54" s="51">
        <v>250.0</v>
      </c>
      <c r="BL54" s="51">
        <v>180.0</v>
      </c>
      <c r="BM54" s="51">
        <v>210.0</v>
      </c>
      <c r="BN54" s="51">
        <v>75.0</v>
      </c>
      <c r="BO54" s="51">
        <v>30.0</v>
      </c>
      <c r="BP54" s="51" t="s">
        <v>498</v>
      </c>
      <c r="BQ54" s="51" t="s">
        <v>499</v>
      </c>
      <c r="BR54" s="52">
        <v>25.0</v>
      </c>
      <c r="BS54" s="53" t="s">
        <v>500</v>
      </c>
      <c r="BT54" s="53" t="s">
        <v>500</v>
      </c>
      <c r="BU54" s="52">
        <v>1.1</v>
      </c>
      <c r="BV54" s="47">
        <f>IFERROR(__xludf.DUMMYFUNCTION("IFERROR(INDEX(motors!E:E, MATCH(1, (motors!A:A=REGEXEXTRACT(A54,""^\S+""))*(motors!B:B=BU54), 0)), """")"),4.2)</f>
        <v>4.2</v>
      </c>
      <c r="BW54" s="47">
        <f>IFERROR(__xludf.DUMMYFUNCTION("IFERROR(INDEX(motors!F:F, MATCH(1, (motors!A:A=REGEXEXTRACT(A54,""^\S+""))*(motors!B:B=BU54), 0)), """")"),2.4)</f>
        <v>2.4</v>
      </c>
      <c r="BX54" s="51">
        <v>2.0</v>
      </c>
      <c r="BY54" s="52">
        <v>29.0</v>
      </c>
      <c r="BZ54" s="53" t="s">
        <v>601</v>
      </c>
      <c r="CA54" s="53" t="str">
        <f>IFERROR(__xludf.DUMMYFUNCTION("IFERROR(REGEXEXTRACT(BZ54, ""(?i)[A-Z]+-D-E-([^-]+)-E""), """")"),"HQQE")</f>
        <v>HQQE</v>
      </c>
    </row>
    <row r="55" ht="11.25" customHeight="1">
      <c r="A55" s="55" t="s">
        <v>602</v>
      </c>
      <c r="B55" s="55">
        <v>7.4115753E7</v>
      </c>
      <c r="C55" s="56">
        <v>0.0</v>
      </c>
      <c r="D55" s="56">
        <v>2.5</v>
      </c>
      <c r="E55" s="56">
        <v>3.0</v>
      </c>
      <c r="F55" s="56">
        <v>4.0</v>
      </c>
      <c r="G55" s="56">
        <v>5.0</v>
      </c>
      <c r="H55" s="56">
        <v>6.0</v>
      </c>
      <c r="I55" s="56">
        <v>6.5</v>
      </c>
      <c r="J55" s="56">
        <v>7.0</v>
      </c>
      <c r="K55" s="56">
        <v>7.5</v>
      </c>
      <c r="L55" s="56">
        <v>8.0</v>
      </c>
      <c r="M55" s="48">
        <v>51.9982924358</v>
      </c>
      <c r="N55" s="56">
        <v>48.05353968306563</v>
      </c>
      <c r="O55" s="56">
        <v>46.916112557000005</v>
      </c>
      <c r="P55" s="56">
        <v>44.0393369598</v>
      </c>
      <c r="Q55" s="56">
        <v>40.2128659208</v>
      </c>
      <c r="R55" s="56">
        <v>35.6</v>
      </c>
      <c r="S55" s="56">
        <v>32.9</v>
      </c>
      <c r="T55" s="56">
        <v>30.1</v>
      </c>
      <c r="U55" s="56">
        <v>27.1</v>
      </c>
      <c r="V55" s="56">
        <v>24.037201391000004</v>
      </c>
      <c r="W55" s="49">
        <v>0.32</v>
      </c>
      <c r="X55" s="56">
        <v>0.688</v>
      </c>
      <c r="Y55" s="56">
        <v>0.752</v>
      </c>
      <c r="Z55" s="56">
        <v>0.848</v>
      </c>
      <c r="AA55" s="56">
        <v>0.928</v>
      </c>
      <c r="AB55" s="56">
        <v>0.984</v>
      </c>
      <c r="AC55" s="56">
        <v>1.008</v>
      </c>
      <c r="AD55" s="56">
        <v>1.024</v>
      </c>
      <c r="AE55" s="56">
        <v>1.032</v>
      </c>
      <c r="AF55" s="56">
        <v>1.04</v>
      </c>
      <c r="AG55" s="49">
        <v>0.7</v>
      </c>
      <c r="AH55" s="56">
        <v>0.829</v>
      </c>
      <c r="AI55" s="56">
        <v>0.904</v>
      </c>
      <c r="AJ55" s="56">
        <v>1.199</v>
      </c>
      <c r="AK55" s="56">
        <v>1.561</v>
      </c>
      <c r="AL55" s="56">
        <v>1.993</v>
      </c>
      <c r="AM55" s="56">
        <v>2.24</v>
      </c>
      <c r="AN55" s="56">
        <v>2.514</v>
      </c>
      <c r="AO55" s="56">
        <v>2.819</v>
      </c>
      <c r="AP55" s="56">
        <v>3.165</v>
      </c>
      <c r="AQ55" s="49">
        <v>0.0</v>
      </c>
      <c r="AR55" s="56">
        <v>49.0</v>
      </c>
      <c r="AS55" s="56">
        <v>55.5</v>
      </c>
      <c r="AT55" s="56">
        <v>62.33</v>
      </c>
      <c r="AU55" s="56">
        <v>65.48</v>
      </c>
      <c r="AV55" s="56">
        <v>65.82</v>
      </c>
      <c r="AW55" s="56">
        <v>65.02</v>
      </c>
      <c r="AX55" s="56">
        <v>63.61</v>
      </c>
      <c r="AY55" s="56">
        <v>61.6</v>
      </c>
      <c r="AZ55" s="56">
        <v>59.02</v>
      </c>
      <c r="BA55" s="50">
        <v>444.0</v>
      </c>
      <c r="BB55" s="57">
        <v>240.0</v>
      </c>
      <c r="BC55" s="57">
        <v>150.0</v>
      </c>
      <c r="BD55" s="57">
        <v>118.0</v>
      </c>
      <c r="BE55" s="57" t="s">
        <v>494</v>
      </c>
      <c r="BF55" s="57" t="s">
        <v>495</v>
      </c>
      <c r="BG55" s="57" t="s">
        <v>496</v>
      </c>
      <c r="BH55" s="57" t="s">
        <v>497</v>
      </c>
      <c r="BI55" s="57">
        <v>100.0</v>
      </c>
      <c r="BJ55" s="57">
        <v>150.0</v>
      </c>
      <c r="BK55" s="57">
        <v>250.0</v>
      </c>
      <c r="BL55" s="57">
        <v>180.0</v>
      </c>
      <c r="BM55" s="57">
        <v>210.0</v>
      </c>
      <c r="BN55" s="57">
        <v>75.0</v>
      </c>
      <c r="BO55" s="57">
        <v>30.0</v>
      </c>
      <c r="BP55" s="57" t="s">
        <v>498</v>
      </c>
      <c r="BQ55" s="57" t="s">
        <v>499</v>
      </c>
      <c r="BR55" s="58">
        <v>25.0</v>
      </c>
      <c r="BS55" s="59" t="s">
        <v>500</v>
      </c>
      <c r="BT55" s="59" t="s">
        <v>500</v>
      </c>
      <c r="BU55" s="58">
        <v>1.1</v>
      </c>
      <c r="BV55" s="47">
        <f>IFERROR(__xludf.DUMMYFUNCTION("IFERROR(INDEX(motors!E:E, MATCH(1, (motors!A:A=REGEXEXTRACT(A55,""^\S+""))*(motors!B:B=BU55), 0)), """")"),4.2)</f>
        <v>4.2</v>
      </c>
      <c r="BW55" s="47">
        <f>IFERROR(__xludf.DUMMYFUNCTION("IFERROR(INDEX(motors!F:F, MATCH(1, (motors!A:A=REGEXEXTRACT(A55,""^\S+""))*(motors!B:B=BU55), 0)), """")"),2.4)</f>
        <v>2.4</v>
      </c>
      <c r="BX55" s="57">
        <v>2.0</v>
      </c>
      <c r="BY55" s="58">
        <v>30.0</v>
      </c>
      <c r="BZ55" s="59" t="s">
        <v>603</v>
      </c>
      <c r="CA55" s="53" t="str">
        <f>IFERROR(__xludf.DUMMYFUNCTION("IFERROR(REGEXEXTRACT(BZ55, ""(?i)[A-Z]+-D-E-([^-]+)-E""), """")"),"HQQE")</f>
        <v>HQQE</v>
      </c>
    </row>
    <row r="56" ht="11.25" customHeight="1">
      <c r="A56" s="46" t="s">
        <v>604</v>
      </c>
      <c r="B56" s="46">
        <v>7.4115754E7</v>
      </c>
      <c r="C56" s="47">
        <v>0.0</v>
      </c>
      <c r="D56" s="47">
        <v>2.5</v>
      </c>
      <c r="E56" s="47">
        <v>3.0</v>
      </c>
      <c r="F56" s="47">
        <v>4.0</v>
      </c>
      <c r="G56" s="47">
        <v>5.0</v>
      </c>
      <c r="H56" s="47">
        <v>6.0</v>
      </c>
      <c r="I56" s="47">
        <v>6.5</v>
      </c>
      <c r="J56" s="47">
        <v>7.0</v>
      </c>
      <c r="K56" s="47">
        <v>7.5</v>
      </c>
      <c r="L56" s="47">
        <v>8.0</v>
      </c>
      <c r="M56" s="48">
        <v>58.95327406</v>
      </c>
      <c r="N56" s="47">
        <v>54.683082497078125</v>
      </c>
      <c r="O56" s="47">
        <v>53.35</v>
      </c>
      <c r="P56" s="47">
        <v>49.6662300172</v>
      </c>
      <c r="Q56" s="47">
        <v>45.202764254</v>
      </c>
      <c r="R56" s="47">
        <v>39.8466152914</v>
      </c>
      <c r="S56" s="47">
        <v>36.86185867065312</v>
      </c>
      <c r="T56" s="47">
        <v>33.7034012776</v>
      </c>
      <c r="U56" s="47">
        <v>30.40651118467187</v>
      </c>
      <c r="V56" s="47">
        <v>27.0178226624</v>
      </c>
      <c r="W56" s="49">
        <v>0.36</v>
      </c>
      <c r="X56" s="47">
        <v>0.7739999999999999</v>
      </c>
      <c r="Y56" s="47">
        <v>0.846</v>
      </c>
      <c r="Z56" s="47">
        <v>0.954</v>
      </c>
      <c r="AA56" s="47">
        <v>1.044</v>
      </c>
      <c r="AB56" s="47">
        <v>1.107</v>
      </c>
      <c r="AC56" s="47">
        <v>1.134</v>
      </c>
      <c r="AD56" s="47">
        <v>1.1520000000000001</v>
      </c>
      <c r="AE56" s="47">
        <v>1.161</v>
      </c>
      <c r="AF56" s="47">
        <v>1.17</v>
      </c>
      <c r="AG56" s="49">
        <v>0.7</v>
      </c>
      <c r="AH56" s="47">
        <v>0.829</v>
      </c>
      <c r="AI56" s="47">
        <v>0.904</v>
      </c>
      <c r="AJ56" s="47">
        <v>1.199</v>
      </c>
      <c r="AK56" s="47">
        <v>1.561</v>
      </c>
      <c r="AL56" s="47">
        <v>1.993</v>
      </c>
      <c r="AM56" s="47">
        <v>2.24</v>
      </c>
      <c r="AN56" s="47">
        <v>2.514</v>
      </c>
      <c r="AO56" s="47">
        <v>2.819</v>
      </c>
      <c r="AP56" s="47">
        <v>3.165</v>
      </c>
      <c r="AQ56" s="49">
        <v>0.0</v>
      </c>
      <c r="AR56" s="47">
        <v>49.0</v>
      </c>
      <c r="AS56" s="47">
        <v>55.5</v>
      </c>
      <c r="AT56" s="47">
        <v>62.33</v>
      </c>
      <c r="AU56" s="47">
        <v>65.48</v>
      </c>
      <c r="AV56" s="47">
        <v>65.82</v>
      </c>
      <c r="AW56" s="47">
        <v>65.02</v>
      </c>
      <c r="AX56" s="47">
        <v>63.61</v>
      </c>
      <c r="AY56" s="47">
        <v>61.6</v>
      </c>
      <c r="AZ56" s="47">
        <v>59.02</v>
      </c>
      <c r="BA56" s="50">
        <v>471.0</v>
      </c>
      <c r="BB56" s="51">
        <v>240.0</v>
      </c>
      <c r="BC56" s="51">
        <v>150.0</v>
      </c>
      <c r="BD56" s="51">
        <v>118.0</v>
      </c>
      <c r="BE56" s="51" t="s">
        <v>494</v>
      </c>
      <c r="BF56" s="51" t="s">
        <v>495</v>
      </c>
      <c r="BG56" s="51" t="s">
        <v>496</v>
      </c>
      <c r="BH56" s="51" t="s">
        <v>497</v>
      </c>
      <c r="BI56" s="51">
        <v>100.0</v>
      </c>
      <c r="BJ56" s="51">
        <v>150.0</v>
      </c>
      <c r="BK56" s="51">
        <v>250.0</v>
      </c>
      <c r="BL56" s="51">
        <v>180.0</v>
      </c>
      <c r="BM56" s="51">
        <v>210.0</v>
      </c>
      <c r="BN56" s="51">
        <v>75.0</v>
      </c>
      <c r="BO56" s="51">
        <v>30.0</v>
      </c>
      <c r="BP56" s="51" t="s">
        <v>498</v>
      </c>
      <c r="BQ56" s="51" t="s">
        <v>499</v>
      </c>
      <c r="BR56" s="52">
        <v>25.0</v>
      </c>
      <c r="BS56" s="53" t="s">
        <v>500</v>
      </c>
      <c r="BT56" s="53" t="s">
        <v>500</v>
      </c>
      <c r="BU56" s="52">
        <v>1.5</v>
      </c>
      <c r="BV56" s="47">
        <f>IFERROR(__xludf.DUMMYFUNCTION("IFERROR(INDEX(motors!E:E, MATCH(1, (motors!A:A=REGEXEXTRACT(A56,""^\S+""))*(motors!B:B=BU56), 0)), """")"),5.6)</f>
        <v>5.6</v>
      </c>
      <c r="BW56" s="47">
        <f>IFERROR(__xludf.DUMMYFUNCTION("IFERROR(INDEX(motors!F:F, MATCH(1, (motors!A:A=REGEXEXTRACT(A56,""^\S+""))*(motors!B:B=BU56), 0)), """")"),3.2)</f>
        <v>3.2</v>
      </c>
      <c r="BX56" s="51">
        <v>2.0</v>
      </c>
      <c r="BY56" s="52">
        <v>36.0</v>
      </c>
      <c r="BZ56" s="53" t="s">
        <v>605</v>
      </c>
      <c r="CA56" s="53" t="str">
        <f>IFERROR(__xludf.DUMMYFUNCTION("IFERROR(REGEXEXTRACT(BZ56, ""(?i)[A-Z]+-D-E-([^-]+)-E""), """")"),"HQQE")</f>
        <v>HQQE</v>
      </c>
    </row>
    <row r="57" ht="11.25" customHeight="1">
      <c r="A57" s="55" t="s">
        <v>606</v>
      </c>
      <c r="B57" s="55">
        <v>7.4115755E7</v>
      </c>
      <c r="C57" s="56">
        <v>0.0</v>
      </c>
      <c r="D57" s="56">
        <v>2.5</v>
      </c>
      <c r="E57" s="56">
        <v>3.0</v>
      </c>
      <c r="F57" s="56">
        <v>4.0</v>
      </c>
      <c r="G57" s="56">
        <v>5.0</v>
      </c>
      <c r="H57" s="56">
        <v>6.0</v>
      </c>
      <c r="I57" s="56">
        <v>6.5</v>
      </c>
      <c r="J57" s="56">
        <v>7.0</v>
      </c>
      <c r="K57" s="56">
        <v>7.5</v>
      </c>
      <c r="L57" s="56">
        <v>8.0</v>
      </c>
      <c r="M57" s="48">
        <v>66.0005858871</v>
      </c>
      <c r="N57" s="56">
        <v>60.627052288990626</v>
      </c>
      <c r="O57" s="56">
        <v>59.015261214300004</v>
      </c>
      <c r="P57" s="56">
        <v>54.9973497455</v>
      </c>
      <c r="Q57" s="56">
        <v>49.95092328010001</v>
      </c>
      <c r="R57" s="56">
        <v>44.01394468710001</v>
      </c>
      <c r="S57" s="56">
        <v>40.76447989951563</v>
      </c>
      <c r="T57" s="56">
        <v>37.350512415500006</v>
      </c>
      <c r="U57" s="56">
        <v>33.78030795027189</v>
      </c>
      <c r="V57" s="56">
        <v>30.051323578300007</v>
      </c>
      <c r="W57" s="49">
        <v>0.4</v>
      </c>
      <c r="X57" s="56">
        <v>0.8599999999999999</v>
      </c>
      <c r="Y57" s="56">
        <v>0.94</v>
      </c>
      <c r="Z57" s="56">
        <v>1.06</v>
      </c>
      <c r="AA57" s="56">
        <v>1.1600000000000001</v>
      </c>
      <c r="AB57" s="56">
        <v>1.23</v>
      </c>
      <c r="AC57" s="56">
        <v>1.26</v>
      </c>
      <c r="AD57" s="56">
        <v>1.28</v>
      </c>
      <c r="AE57" s="56">
        <v>1.29</v>
      </c>
      <c r="AF57" s="56">
        <v>1.3</v>
      </c>
      <c r="AG57" s="49">
        <v>0.7</v>
      </c>
      <c r="AH57" s="56">
        <v>0.829</v>
      </c>
      <c r="AI57" s="56">
        <v>0.904</v>
      </c>
      <c r="AJ57" s="56">
        <v>1.199</v>
      </c>
      <c r="AK57" s="56">
        <v>1.561</v>
      </c>
      <c r="AL57" s="56">
        <v>1.993</v>
      </c>
      <c r="AM57" s="56">
        <v>2.24</v>
      </c>
      <c r="AN57" s="56">
        <v>2.514</v>
      </c>
      <c r="AO57" s="56">
        <v>2.819</v>
      </c>
      <c r="AP57" s="56">
        <v>3.165</v>
      </c>
      <c r="AQ57" s="49">
        <v>0.0</v>
      </c>
      <c r="AR57" s="56">
        <v>49.0</v>
      </c>
      <c r="AS57" s="56">
        <v>55.5</v>
      </c>
      <c r="AT57" s="56">
        <v>62.33</v>
      </c>
      <c r="AU57" s="56">
        <v>65.48</v>
      </c>
      <c r="AV57" s="56">
        <v>65.82</v>
      </c>
      <c r="AW57" s="56">
        <v>65.02</v>
      </c>
      <c r="AX57" s="56">
        <v>63.61</v>
      </c>
      <c r="AY57" s="56">
        <v>61.6</v>
      </c>
      <c r="AZ57" s="56">
        <v>59.02</v>
      </c>
      <c r="BA57" s="50">
        <v>498.0</v>
      </c>
      <c r="BB57" s="57">
        <v>280.0</v>
      </c>
      <c r="BC57" s="57">
        <v>150.0</v>
      </c>
      <c r="BD57" s="57">
        <v>118.0</v>
      </c>
      <c r="BE57" s="57" t="s">
        <v>494</v>
      </c>
      <c r="BF57" s="57" t="s">
        <v>495</v>
      </c>
      <c r="BG57" s="57" t="s">
        <v>496</v>
      </c>
      <c r="BH57" s="57" t="s">
        <v>497</v>
      </c>
      <c r="BI57" s="57">
        <v>100.0</v>
      </c>
      <c r="BJ57" s="57">
        <v>150.0</v>
      </c>
      <c r="BK57" s="57">
        <v>250.0</v>
      </c>
      <c r="BL57" s="57">
        <v>180.0</v>
      </c>
      <c r="BM57" s="57">
        <v>210.0</v>
      </c>
      <c r="BN57" s="57">
        <v>75.0</v>
      </c>
      <c r="BO57" s="57">
        <v>30.0</v>
      </c>
      <c r="BP57" s="57" t="s">
        <v>498</v>
      </c>
      <c r="BQ57" s="57" t="s">
        <v>499</v>
      </c>
      <c r="BR57" s="58">
        <v>25.0</v>
      </c>
      <c r="BS57" s="59" t="s">
        <v>500</v>
      </c>
      <c r="BT57" s="59" t="s">
        <v>500</v>
      </c>
      <c r="BU57" s="58">
        <v>1.5</v>
      </c>
      <c r="BV57" s="47">
        <f>IFERROR(__xludf.DUMMYFUNCTION("IFERROR(INDEX(motors!E:E, MATCH(1, (motors!A:A=REGEXEXTRACT(A57,""^\S+""))*(motors!B:B=BU57), 0)), """")"),5.6)</f>
        <v>5.6</v>
      </c>
      <c r="BW57" s="47">
        <f>IFERROR(__xludf.DUMMYFUNCTION("IFERROR(INDEX(motors!F:F, MATCH(1, (motors!A:A=REGEXEXTRACT(A57,""^\S+""))*(motors!B:B=BU57), 0)), """")"),3.2)</f>
        <v>3.2</v>
      </c>
      <c r="BX57" s="57">
        <v>2.0</v>
      </c>
      <c r="BY57" s="58">
        <v>37.0</v>
      </c>
      <c r="BZ57" s="59" t="s">
        <v>607</v>
      </c>
      <c r="CA57" s="53" t="str">
        <f>IFERROR(__xludf.DUMMYFUNCTION("IFERROR(REGEXEXTRACT(BZ57, ""(?i)[A-Z]+-D-E-([^-]+)-E""), """")"),"HQQE")</f>
        <v>HQQE</v>
      </c>
    </row>
    <row r="58" ht="11.25" customHeight="1">
      <c r="A58" s="46" t="s">
        <v>608</v>
      </c>
      <c r="B58" s="46">
        <v>7.4115756E7</v>
      </c>
      <c r="C58" s="47">
        <v>0.0</v>
      </c>
      <c r="D58" s="47">
        <v>2.5</v>
      </c>
      <c r="E58" s="47">
        <v>3.0</v>
      </c>
      <c r="F58" s="47">
        <v>4.0</v>
      </c>
      <c r="G58" s="47">
        <v>5.0</v>
      </c>
      <c r="H58" s="47">
        <v>6.0</v>
      </c>
      <c r="I58" s="47">
        <v>6.5</v>
      </c>
      <c r="J58" s="47">
        <v>7.0</v>
      </c>
      <c r="K58" s="47">
        <v>7.5</v>
      </c>
      <c r="L58" s="47">
        <v>8.0</v>
      </c>
      <c r="M58" s="48">
        <v>72.9424143528</v>
      </c>
      <c r="N58" s="47">
        <v>67.1749802812375</v>
      </c>
      <c r="O58" s="47">
        <v>65.6083633959</v>
      </c>
      <c r="P58" s="47">
        <v>61.427471009200005</v>
      </c>
      <c r="Q58" s="47">
        <v>55.765690350300005</v>
      </c>
      <c r="R58" s="47">
        <v>49.2</v>
      </c>
      <c r="S58" s="47">
        <v>45.4</v>
      </c>
      <c r="T58" s="47">
        <v>41.4</v>
      </c>
      <c r="U58" s="47">
        <v>37.2</v>
      </c>
      <c r="V58" s="47">
        <v>32.9</v>
      </c>
      <c r="W58" s="49">
        <v>0.44</v>
      </c>
      <c r="X58" s="47">
        <v>0.946</v>
      </c>
      <c r="Y58" s="47">
        <v>1.034</v>
      </c>
      <c r="Z58" s="47">
        <v>1.166</v>
      </c>
      <c r="AA58" s="47">
        <v>1.276</v>
      </c>
      <c r="AB58" s="47">
        <v>1.353</v>
      </c>
      <c r="AC58" s="47">
        <v>1.3860000000000001</v>
      </c>
      <c r="AD58" s="47">
        <v>1.408</v>
      </c>
      <c r="AE58" s="47">
        <v>1.419</v>
      </c>
      <c r="AF58" s="47">
        <v>1.4300000000000002</v>
      </c>
      <c r="AG58" s="49">
        <v>0.7</v>
      </c>
      <c r="AH58" s="47">
        <v>0.829</v>
      </c>
      <c r="AI58" s="47">
        <v>0.904</v>
      </c>
      <c r="AJ58" s="47">
        <v>1.199</v>
      </c>
      <c r="AK58" s="47">
        <v>1.561</v>
      </c>
      <c r="AL58" s="47">
        <v>1.993</v>
      </c>
      <c r="AM58" s="47">
        <v>2.24</v>
      </c>
      <c r="AN58" s="47">
        <v>2.514</v>
      </c>
      <c r="AO58" s="47">
        <v>2.819</v>
      </c>
      <c r="AP58" s="47">
        <v>3.165</v>
      </c>
      <c r="AQ58" s="49">
        <v>0.0</v>
      </c>
      <c r="AR58" s="47">
        <v>49.0</v>
      </c>
      <c r="AS58" s="47">
        <v>55.5</v>
      </c>
      <c r="AT58" s="47">
        <v>62.33</v>
      </c>
      <c r="AU58" s="47">
        <v>65.48</v>
      </c>
      <c r="AV58" s="47">
        <v>65.82</v>
      </c>
      <c r="AW58" s="47">
        <v>65.02</v>
      </c>
      <c r="AX58" s="47">
        <v>63.61</v>
      </c>
      <c r="AY58" s="47">
        <v>61.6</v>
      </c>
      <c r="AZ58" s="47">
        <v>59.02</v>
      </c>
      <c r="BA58" s="50">
        <v>535.0</v>
      </c>
      <c r="BB58" s="51">
        <v>280.0</v>
      </c>
      <c r="BC58" s="51">
        <v>168.0</v>
      </c>
      <c r="BD58" s="51">
        <v>127.0</v>
      </c>
      <c r="BE58" s="51" t="s">
        <v>494</v>
      </c>
      <c r="BF58" s="51" t="s">
        <v>495</v>
      </c>
      <c r="BG58" s="51" t="s">
        <v>496</v>
      </c>
      <c r="BH58" s="51" t="s">
        <v>497</v>
      </c>
      <c r="BI58" s="51">
        <v>100.0</v>
      </c>
      <c r="BJ58" s="51">
        <v>150.0</v>
      </c>
      <c r="BK58" s="51">
        <v>250.0</v>
      </c>
      <c r="BL58" s="51">
        <v>180.0</v>
      </c>
      <c r="BM58" s="51">
        <v>210.0</v>
      </c>
      <c r="BN58" s="51">
        <v>75.0</v>
      </c>
      <c r="BO58" s="51">
        <v>30.0</v>
      </c>
      <c r="BP58" s="51" t="s">
        <v>498</v>
      </c>
      <c r="BQ58" s="51" t="s">
        <v>499</v>
      </c>
      <c r="BR58" s="52">
        <v>25.0</v>
      </c>
      <c r="BS58" s="53" t="s">
        <v>500</v>
      </c>
      <c r="BT58" s="53" t="s">
        <v>500</v>
      </c>
      <c r="BU58" s="52">
        <v>2.2</v>
      </c>
      <c r="BV58" s="47">
        <f>IFERROR(__xludf.DUMMYFUNCTION("IFERROR(INDEX(motors!E:E, MATCH(1, (motors!A:A=REGEXEXTRACT(A58,""^\S+""))*(motors!B:B=BU58), 0)), """")"),7.9)</f>
        <v>7.9</v>
      </c>
      <c r="BW58" s="47">
        <f>IFERROR(__xludf.DUMMYFUNCTION("IFERROR(INDEX(motors!F:F, MATCH(1, (motors!A:A=REGEXEXTRACT(A58,""^\S+""))*(motors!B:B=BU58), 0)), """")"),4.6)</f>
        <v>4.6</v>
      </c>
      <c r="BX58" s="51">
        <v>2.0</v>
      </c>
      <c r="BY58" s="52">
        <v>38.0</v>
      </c>
      <c r="BZ58" s="53" t="s">
        <v>609</v>
      </c>
      <c r="CA58" s="53" t="str">
        <f>IFERROR(__xludf.DUMMYFUNCTION("IFERROR(REGEXEXTRACT(BZ58, ""(?i)[A-Z]+-D-E-([^-]+)-E""), """")"),"HQQE")</f>
        <v>HQQE</v>
      </c>
    </row>
    <row r="59" ht="11.25" customHeight="1">
      <c r="A59" s="55" t="s">
        <v>610</v>
      </c>
      <c r="B59" s="55">
        <v>7.4115757E7</v>
      </c>
      <c r="C59" s="56">
        <v>0.0</v>
      </c>
      <c r="D59" s="56">
        <v>2.5</v>
      </c>
      <c r="E59" s="56">
        <v>3.0</v>
      </c>
      <c r="F59" s="56">
        <v>4.0</v>
      </c>
      <c r="G59" s="56">
        <v>5.0</v>
      </c>
      <c r="H59" s="56">
        <v>6.0</v>
      </c>
      <c r="I59" s="56">
        <v>6.5</v>
      </c>
      <c r="J59" s="56">
        <v>7.0</v>
      </c>
      <c r="K59" s="56">
        <v>7.5</v>
      </c>
      <c r="L59" s="56">
        <v>8.0</v>
      </c>
      <c r="M59" s="48">
        <v>80.0007899601</v>
      </c>
      <c r="N59" s="56">
        <v>73.8955730274125</v>
      </c>
      <c r="O59" s="56">
        <v>72.44624854679999</v>
      </c>
      <c r="P59" s="56">
        <v>68.15554817569999</v>
      </c>
      <c r="Q59" s="56">
        <v>61.84305853159999</v>
      </c>
      <c r="R59" s="56">
        <v>54.4</v>
      </c>
      <c r="S59" s="56">
        <v>50.0</v>
      </c>
      <c r="T59" s="56">
        <v>45.4</v>
      </c>
      <c r="U59" s="56">
        <v>40.6</v>
      </c>
      <c r="V59" s="56">
        <v>35.7</v>
      </c>
      <c r="W59" s="49">
        <v>0.48</v>
      </c>
      <c r="X59" s="56">
        <v>1.032</v>
      </c>
      <c r="Y59" s="56">
        <v>1.1280000000000001</v>
      </c>
      <c r="Z59" s="56">
        <v>1.272</v>
      </c>
      <c r="AA59" s="56">
        <v>1.3920000000000001</v>
      </c>
      <c r="AB59" s="56">
        <v>1.476</v>
      </c>
      <c r="AC59" s="56">
        <v>1.512</v>
      </c>
      <c r="AD59" s="56">
        <v>1.536</v>
      </c>
      <c r="AE59" s="56">
        <v>1.548</v>
      </c>
      <c r="AF59" s="56">
        <v>1.56</v>
      </c>
      <c r="AG59" s="49">
        <v>0.7</v>
      </c>
      <c r="AH59" s="56">
        <v>0.829</v>
      </c>
      <c r="AI59" s="56">
        <v>0.904</v>
      </c>
      <c r="AJ59" s="56">
        <v>1.199</v>
      </c>
      <c r="AK59" s="56">
        <v>1.561</v>
      </c>
      <c r="AL59" s="56">
        <v>1.993</v>
      </c>
      <c r="AM59" s="56">
        <v>2.24</v>
      </c>
      <c r="AN59" s="56">
        <v>2.514</v>
      </c>
      <c r="AO59" s="56">
        <v>2.819</v>
      </c>
      <c r="AP59" s="56">
        <v>3.165</v>
      </c>
      <c r="AQ59" s="49">
        <v>0.0</v>
      </c>
      <c r="AR59" s="56">
        <v>49.0</v>
      </c>
      <c r="AS59" s="56">
        <v>55.5</v>
      </c>
      <c r="AT59" s="56">
        <v>62.33</v>
      </c>
      <c r="AU59" s="56">
        <v>65.48</v>
      </c>
      <c r="AV59" s="56">
        <v>65.82</v>
      </c>
      <c r="AW59" s="56">
        <v>65.02</v>
      </c>
      <c r="AX59" s="56">
        <v>63.61</v>
      </c>
      <c r="AY59" s="56">
        <v>61.6</v>
      </c>
      <c r="AZ59" s="56">
        <v>59.02</v>
      </c>
      <c r="BA59" s="50">
        <v>562.0</v>
      </c>
      <c r="BB59" s="57">
        <v>280.0</v>
      </c>
      <c r="BC59" s="57">
        <v>168.0</v>
      </c>
      <c r="BD59" s="57">
        <v>127.0</v>
      </c>
      <c r="BE59" s="57" t="s">
        <v>494</v>
      </c>
      <c r="BF59" s="57" t="s">
        <v>495</v>
      </c>
      <c r="BG59" s="57" t="s">
        <v>496</v>
      </c>
      <c r="BH59" s="57" t="s">
        <v>497</v>
      </c>
      <c r="BI59" s="57">
        <v>100.0</v>
      </c>
      <c r="BJ59" s="57">
        <v>150.0</v>
      </c>
      <c r="BK59" s="57">
        <v>250.0</v>
      </c>
      <c r="BL59" s="57">
        <v>180.0</v>
      </c>
      <c r="BM59" s="57">
        <v>210.0</v>
      </c>
      <c r="BN59" s="57">
        <v>75.0</v>
      </c>
      <c r="BO59" s="57">
        <v>30.0</v>
      </c>
      <c r="BP59" s="57" t="s">
        <v>498</v>
      </c>
      <c r="BQ59" s="57" t="s">
        <v>499</v>
      </c>
      <c r="BR59" s="58">
        <v>25.0</v>
      </c>
      <c r="BS59" s="59" t="s">
        <v>500</v>
      </c>
      <c r="BT59" s="59" t="s">
        <v>500</v>
      </c>
      <c r="BU59" s="58">
        <v>2.2</v>
      </c>
      <c r="BV59" s="47">
        <f>IFERROR(__xludf.DUMMYFUNCTION("IFERROR(INDEX(motors!E:E, MATCH(1, (motors!A:A=REGEXEXTRACT(A59,""^\S+""))*(motors!B:B=BU59), 0)), """")"),7.9)</f>
        <v>7.9</v>
      </c>
      <c r="BW59" s="47">
        <f>IFERROR(__xludf.DUMMYFUNCTION("IFERROR(INDEX(motors!F:F, MATCH(1, (motors!A:A=REGEXEXTRACT(A59,""^\S+""))*(motors!B:B=BU59), 0)), """")"),4.6)</f>
        <v>4.6</v>
      </c>
      <c r="BX59" s="57">
        <v>2.0</v>
      </c>
      <c r="BY59" s="58">
        <v>39.0</v>
      </c>
      <c r="BZ59" s="59" t="s">
        <v>611</v>
      </c>
      <c r="CA59" s="53" t="str">
        <f>IFERROR(__xludf.DUMMYFUNCTION("IFERROR(REGEXEXTRACT(BZ59, ""(?i)[A-Z]+-D-E-([^-]+)-E""), """")"),"HQQE")</f>
        <v>HQQE</v>
      </c>
    </row>
    <row r="60" ht="11.25" customHeight="1">
      <c r="A60" s="46" t="s">
        <v>612</v>
      </c>
      <c r="B60" s="46">
        <v>7.4115758E7</v>
      </c>
      <c r="C60" s="47">
        <v>0.0</v>
      </c>
      <c r="D60" s="47">
        <v>2.5</v>
      </c>
      <c r="E60" s="47">
        <v>3.0</v>
      </c>
      <c r="F60" s="47">
        <v>4.0</v>
      </c>
      <c r="G60" s="47">
        <v>5.0</v>
      </c>
      <c r="H60" s="47">
        <v>6.0</v>
      </c>
      <c r="I60" s="47">
        <v>6.5</v>
      </c>
      <c r="J60" s="47">
        <v>7.0</v>
      </c>
      <c r="K60" s="47">
        <v>7.5</v>
      </c>
      <c r="L60" s="47">
        <v>8.0</v>
      </c>
      <c r="M60" s="48">
        <v>86.9247645413</v>
      </c>
      <c r="N60" s="47">
        <v>80.26753603723749</v>
      </c>
      <c r="O60" s="47">
        <v>78.6915288515</v>
      </c>
      <c r="P60" s="47">
        <v>74.3661506533</v>
      </c>
      <c r="Q60" s="47">
        <v>67.94473168629999</v>
      </c>
      <c r="R60" s="47">
        <v>59.8</v>
      </c>
      <c r="S60" s="47">
        <v>55.2</v>
      </c>
      <c r="T60" s="47">
        <v>49.95</v>
      </c>
      <c r="U60" s="47">
        <v>44.6</v>
      </c>
      <c r="V60" s="47">
        <v>39.03520016050001</v>
      </c>
      <c r="W60" s="49">
        <v>0.52</v>
      </c>
      <c r="X60" s="47">
        <v>1.1179999999999999</v>
      </c>
      <c r="Y60" s="47">
        <v>1.222</v>
      </c>
      <c r="Z60" s="47">
        <v>1.378</v>
      </c>
      <c r="AA60" s="47">
        <v>1.508</v>
      </c>
      <c r="AB60" s="47">
        <v>1.599</v>
      </c>
      <c r="AC60" s="47">
        <v>1.638</v>
      </c>
      <c r="AD60" s="47">
        <v>1.6640000000000001</v>
      </c>
      <c r="AE60" s="47">
        <v>1.677</v>
      </c>
      <c r="AF60" s="47">
        <v>1.69</v>
      </c>
      <c r="AG60" s="49">
        <v>0.7</v>
      </c>
      <c r="AH60" s="47">
        <v>0.829</v>
      </c>
      <c r="AI60" s="47">
        <v>0.904</v>
      </c>
      <c r="AJ60" s="47">
        <v>1.199</v>
      </c>
      <c r="AK60" s="47">
        <v>1.561</v>
      </c>
      <c r="AL60" s="47">
        <v>1.993</v>
      </c>
      <c r="AM60" s="47">
        <v>2.24</v>
      </c>
      <c r="AN60" s="47">
        <v>2.514</v>
      </c>
      <c r="AO60" s="47">
        <v>2.819</v>
      </c>
      <c r="AP60" s="47">
        <v>3.165</v>
      </c>
      <c r="AQ60" s="49">
        <v>0.0</v>
      </c>
      <c r="AR60" s="47">
        <v>49.0</v>
      </c>
      <c r="AS60" s="47">
        <v>55.5</v>
      </c>
      <c r="AT60" s="47">
        <v>62.33</v>
      </c>
      <c r="AU60" s="47">
        <v>65.48</v>
      </c>
      <c r="AV60" s="47">
        <v>65.82</v>
      </c>
      <c r="AW60" s="47">
        <v>65.02</v>
      </c>
      <c r="AX60" s="47">
        <v>63.61</v>
      </c>
      <c r="AY60" s="47">
        <v>61.6</v>
      </c>
      <c r="AZ60" s="47">
        <v>59.02</v>
      </c>
      <c r="BA60" s="50">
        <v>589.0</v>
      </c>
      <c r="BB60" s="51">
        <v>280.0</v>
      </c>
      <c r="BC60" s="51">
        <v>168.0</v>
      </c>
      <c r="BD60" s="51">
        <v>127.0</v>
      </c>
      <c r="BE60" s="51" t="s">
        <v>494</v>
      </c>
      <c r="BF60" s="51" t="s">
        <v>495</v>
      </c>
      <c r="BG60" s="51" t="s">
        <v>496</v>
      </c>
      <c r="BH60" s="51" t="s">
        <v>497</v>
      </c>
      <c r="BI60" s="51">
        <v>100.0</v>
      </c>
      <c r="BJ60" s="51">
        <v>150.0</v>
      </c>
      <c r="BK60" s="51">
        <v>250.0</v>
      </c>
      <c r="BL60" s="51">
        <v>180.0</v>
      </c>
      <c r="BM60" s="51">
        <v>210.0</v>
      </c>
      <c r="BN60" s="51">
        <v>75.0</v>
      </c>
      <c r="BO60" s="51">
        <v>30.0</v>
      </c>
      <c r="BP60" s="51" t="s">
        <v>498</v>
      </c>
      <c r="BQ60" s="51" t="s">
        <v>499</v>
      </c>
      <c r="BR60" s="52">
        <v>25.0</v>
      </c>
      <c r="BS60" s="53" t="s">
        <v>500</v>
      </c>
      <c r="BT60" s="53" t="s">
        <v>500</v>
      </c>
      <c r="BU60" s="52">
        <v>2.2</v>
      </c>
      <c r="BV60" s="47">
        <f>IFERROR(__xludf.DUMMYFUNCTION("IFERROR(INDEX(motors!E:E, MATCH(1, (motors!A:A=REGEXEXTRACT(A60,""^\S+""))*(motors!B:B=BU60), 0)), """")"),7.9)</f>
        <v>7.9</v>
      </c>
      <c r="BW60" s="47">
        <f>IFERROR(__xludf.DUMMYFUNCTION("IFERROR(INDEX(motors!F:F, MATCH(1, (motors!A:A=REGEXEXTRACT(A60,""^\S+""))*(motors!B:B=BU60), 0)), """")"),4.6)</f>
        <v>4.6</v>
      </c>
      <c r="BX60" s="51">
        <v>2.0</v>
      </c>
      <c r="BY60" s="52">
        <v>40.0</v>
      </c>
      <c r="BZ60" s="53" t="s">
        <v>613</v>
      </c>
      <c r="CA60" s="53" t="str">
        <f>IFERROR(__xludf.DUMMYFUNCTION("IFERROR(REGEXEXTRACT(BZ60, ""(?i)[A-Z]+-D-E-([^-]+)-E""), """")"),"HQQE")</f>
        <v>HQQE</v>
      </c>
    </row>
    <row r="61" ht="11.25" customHeight="1">
      <c r="A61" s="55" t="s">
        <v>614</v>
      </c>
      <c r="B61" s="55">
        <v>7.4115759E7</v>
      </c>
      <c r="C61" s="56">
        <v>0.0</v>
      </c>
      <c r="D61" s="56">
        <v>2.5</v>
      </c>
      <c r="E61" s="56">
        <v>3.0</v>
      </c>
      <c r="F61" s="56">
        <v>4.0</v>
      </c>
      <c r="G61" s="56">
        <v>5.0</v>
      </c>
      <c r="H61" s="56">
        <v>6.0</v>
      </c>
      <c r="I61" s="56">
        <v>6.5</v>
      </c>
      <c r="J61" s="56">
        <v>7.0</v>
      </c>
      <c r="K61" s="56">
        <v>7.5</v>
      </c>
      <c r="L61" s="56">
        <v>8.0</v>
      </c>
      <c r="M61" s="48">
        <v>94.0108665838</v>
      </c>
      <c r="N61" s="56">
        <v>87.28004560104999</v>
      </c>
      <c r="O61" s="56">
        <v>85.55</v>
      </c>
      <c r="P61" s="56">
        <v>80.62108782339999</v>
      </c>
      <c r="Q61" s="56">
        <v>73.76177056579999</v>
      </c>
      <c r="R61" s="56">
        <v>64.686452116</v>
      </c>
      <c r="S61" s="56">
        <v>60.0</v>
      </c>
      <c r="T61" s="56">
        <v>54.6</v>
      </c>
      <c r="U61" s="56">
        <v>48.5</v>
      </c>
      <c r="V61" s="56">
        <v>42.0789134342</v>
      </c>
      <c r="W61" s="49">
        <v>0.56</v>
      </c>
      <c r="X61" s="56">
        <v>1.204</v>
      </c>
      <c r="Y61" s="56">
        <v>1.316</v>
      </c>
      <c r="Z61" s="56">
        <v>1.484</v>
      </c>
      <c r="AA61" s="56">
        <v>1.624</v>
      </c>
      <c r="AB61" s="56">
        <v>1.722</v>
      </c>
      <c r="AC61" s="56">
        <v>1.764</v>
      </c>
      <c r="AD61" s="56">
        <v>1.792</v>
      </c>
      <c r="AE61" s="56">
        <v>1.806</v>
      </c>
      <c r="AF61" s="56">
        <v>1.82</v>
      </c>
      <c r="AG61" s="49">
        <v>0.7</v>
      </c>
      <c r="AH61" s="56">
        <v>0.829</v>
      </c>
      <c r="AI61" s="56">
        <v>0.904</v>
      </c>
      <c r="AJ61" s="56">
        <v>1.199</v>
      </c>
      <c r="AK61" s="56">
        <v>1.561</v>
      </c>
      <c r="AL61" s="56">
        <v>1.993</v>
      </c>
      <c r="AM61" s="56">
        <v>2.24</v>
      </c>
      <c r="AN61" s="56">
        <v>2.514</v>
      </c>
      <c r="AO61" s="56">
        <v>2.819</v>
      </c>
      <c r="AP61" s="56">
        <v>3.165</v>
      </c>
      <c r="AQ61" s="49">
        <v>0.0</v>
      </c>
      <c r="AR61" s="56">
        <v>49.0</v>
      </c>
      <c r="AS61" s="56">
        <v>55.5</v>
      </c>
      <c r="AT61" s="56">
        <v>62.33</v>
      </c>
      <c r="AU61" s="56">
        <v>65.48</v>
      </c>
      <c r="AV61" s="56">
        <v>65.82</v>
      </c>
      <c r="AW61" s="56">
        <v>65.02</v>
      </c>
      <c r="AX61" s="56">
        <v>63.61</v>
      </c>
      <c r="AY61" s="56">
        <v>61.6</v>
      </c>
      <c r="AZ61" s="56">
        <v>59.02</v>
      </c>
      <c r="BA61" s="50">
        <v>616.0</v>
      </c>
      <c r="BB61" s="57">
        <v>280.0</v>
      </c>
      <c r="BC61" s="57">
        <v>168.0</v>
      </c>
      <c r="BD61" s="57">
        <v>127.0</v>
      </c>
      <c r="BE61" s="57" t="s">
        <v>494</v>
      </c>
      <c r="BF61" s="57" t="s">
        <v>495</v>
      </c>
      <c r="BG61" s="57" t="s">
        <v>496</v>
      </c>
      <c r="BH61" s="57" t="s">
        <v>497</v>
      </c>
      <c r="BI61" s="57">
        <v>100.0</v>
      </c>
      <c r="BJ61" s="57">
        <v>150.0</v>
      </c>
      <c r="BK61" s="57">
        <v>250.0</v>
      </c>
      <c r="BL61" s="57">
        <v>180.0</v>
      </c>
      <c r="BM61" s="57">
        <v>210.0</v>
      </c>
      <c r="BN61" s="57">
        <v>75.0</v>
      </c>
      <c r="BO61" s="57">
        <v>30.0</v>
      </c>
      <c r="BP61" s="57" t="s">
        <v>498</v>
      </c>
      <c r="BQ61" s="57" t="s">
        <v>499</v>
      </c>
      <c r="BR61" s="58">
        <v>25.0</v>
      </c>
      <c r="BS61" s="59" t="s">
        <v>500</v>
      </c>
      <c r="BT61" s="59" t="s">
        <v>500</v>
      </c>
      <c r="BU61" s="58">
        <v>2.2</v>
      </c>
      <c r="BV61" s="47">
        <f>IFERROR(__xludf.DUMMYFUNCTION("IFERROR(INDEX(motors!E:E, MATCH(1, (motors!A:A=REGEXEXTRACT(A61,""^\S+""))*(motors!B:B=BU61), 0)), """")"),7.9)</f>
        <v>7.9</v>
      </c>
      <c r="BW61" s="47">
        <f>IFERROR(__xludf.DUMMYFUNCTION("IFERROR(INDEX(motors!F:F, MATCH(1, (motors!A:A=REGEXEXTRACT(A61,""^\S+""))*(motors!B:B=BU61), 0)), """")"),4.6)</f>
        <v>4.6</v>
      </c>
      <c r="BX61" s="57">
        <v>2.0</v>
      </c>
      <c r="BY61" s="58">
        <v>41.0</v>
      </c>
      <c r="BZ61" s="59" t="s">
        <v>615</v>
      </c>
      <c r="CA61" s="53" t="str">
        <f>IFERROR(__xludf.DUMMYFUNCTION("IFERROR(REGEXEXTRACT(BZ61, ""(?i)[A-Z]+-D-E-([^-]+)-E""), """")"),"HQQE")</f>
        <v>HQQE</v>
      </c>
    </row>
    <row r="62" ht="11.25" customHeight="1">
      <c r="A62" s="46" t="s">
        <v>616</v>
      </c>
      <c r="B62" s="46">
        <v>7.411576E7</v>
      </c>
      <c r="C62" s="47">
        <v>0.0</v>
      </c>
      <c r="D62" s="47">
        <v>2.5</v>
      </c>
      <c r="E62" s="47">
        <v>3.0</v>
      </c>
      <c r="F62" s="47">
        <v>4.0</v>
      </c>
      <c r="G62" s="47">
        <v>5.0</v>
      </c>
      <c r="H62" s="47">
        <v>6.0</v>
      </c>
      <c r="I62" s="47">
        <v>6.5</v>
      </c>
      <c r="J62" s="47">
        <v>7.0</v>
      </c>
      <c r="K62" s="47">
        <v>7.5</v>
      </c>
      <c r="L62" s="47">
        <v>8.0</v>
      </c>
      <c r="M62" s="48">
        <v>101.0056918369</v>
      </c>
      <c r="N62" s="47">
        <v>94.85710910407187</v>
      </c>
      <c r="O62" s="47">
        <v>93.2189700196</v>
      </c>
      <c r="P62" s="47">
        <v>87.84998755689999</v>
      </c>
      <c r="Q62" s="47">
        <v>79.86856287139999</v>
      </c>
      <c r="R62" s="47">
        <v>69.94543406649998</v>
      </c>
      <c r="S62" s="47">
        <v>64.42679048094682</v>
      </c>
      <c r="T62" s="47">
        <v>58.527416271999954</v>
      </c>
      <c r="U62" s="47">
        <v>52.13207651154054</v>
      </c>
      <c r="V62" s="47">
        <v>45.007846720099984</v>
      </c>
      <c r="W62" s="49">
        <v>0.6</v>
      </c>
      <c r="X62" s="47">
        <v>1.2899999999999998</v>
      </c>
      <c r="Y62" s="47">
        <v>1.41</v>
      </c>
      <c r="Z62" s="47">
        <v>1.5899999999999999</v>
      </c>
      <c r="AA62" s="47">
        <v>1.74</v>
      </c>
      <c r="AB62" s="47">
        <v>1.845</v>
      </c>
      <c r="AC62" s="47">
        <v>1.8900000000000001</v>
      </c>
      <c r="AD62" s="47">
        <v>1.92</v>
      </c>
      <c r="AE62" s="47">
        <v>1.935</v>
      </c>
      <c r="AF62" s="47">
        <v>1.9500000000000002</v>
      </c>
      <c r="AG62" s="49">
        <v>0.7</v>
      </c>
      <c r="AH62" s="47">
        <v>0.829</v>
      </c>
      <c r="AI62" s="47">
        <v>0.904</v>
      </c>
      <c r="AJ62" s="47">
        <v>1.199</v>
      </c>
      <c r="AK62" s="47">
        <v>1.561</v>
      </c>
      <c r="AL62" s="47">
        <v>1.993</v>
      </c>
      <c r="AM62" s="47">
        <v>2.24</v>
      </c>
      <c r="AN62" s="47">
        <v>2.514</v>
      </c>
      <c r="AO62" s="47">
        <v>2.819</v>
      </c>
      <c r="AP62" s="47">
        <v>3.165</v>
      </c>
      <c r="AQ62" s="49">
        <v>0.0</v>
      </c>
      <c r="AR62" s="47">
        <v>49.0</v>
      </c>
      <c r="AS62" s="47">
        <v>55.5</v>
      </c>
      <c r="AT62" s="47">
        <v>62.33</v>
      </c>
      <c r="AU62" s="47">
        <v>65.48</v>
      </c>
      <c r="AV62" s="47">
        <v>65.82</v>
      </c>
      <c r="AW62" s="47">
        <v>65.02</v>
      </c>
      <c r="AX62" s="47">
        <v>63.61</v>
      </c>
      <c r="AY62" s="47">
        <v>61.6</v>
      </c>
      <c r="AZ62" s="47">
        <v>59.02</v>
      </c>
      <c r="BA62" s="50">
        <v>643.0</v>
      </c>
      <c r="BB62" s="51">
        <v>280.0</v>
      </c>
      <c r="BC62" s="51">
        <v>168.0</v>
      </c>
      <c r="BD62" s="51">
        <v>127.0</v>
      </c>
      <c r="BE62" s="51" t="s">
        <v>494</v>
      </c>
      <c r="BF62" s="51" t="s">
        <v>495</v>
      </c>
      <c r="BG62" s="51" t="s">
        <v>496</v>
      </c>
      <c r="BH62" s="51" t="s">
        <v>497</v>
      </c>
      <c r="BI62" s="51">
        <v>100.0</v>
      </c>
      <c r="BJ62" s="51">
        <v>150.0</v>
      </c>
      <c r="BK62" s="51">
        <v>250.0</v>
      </c>
      <c r="BL62" s="51">
        <v>180.0</v>
      </c>
      <c r="BM62" s="51">
        <v>210.0</v>
      </c>
      <c r="BN62" s="51">
        <v>75.0</v>
      </c>
      <c r="BO62" s="51">
        <v>30.0</v>
      </c>
      <c r="BP62" s="51" t="s">
        <v>498</v>
      </c>
      <c r="BQ62" s="51" t="s">
        <v>499</v>
      </c>
      <c r="BR62" s="52">
        <v>25.0</v>
      </c>
      <c r="BS62" s="53" t="s">
        <v>500</v>
      </c>
      <c r="BT62" s="53" t="s">
        <v>500</v>
      </c>
      <c r="BU62" s="52">
        <v>2.2</v>
      </c>
      <c r="BV62" s="47">
        <f>IFERROR(__xludf.DUMMYFUNCTION("IFERROR(INDEX(motors!E:E, MATCH(1, (motors!A:A=REGEXEXTRACT(A62,""^\S+""))*(motors!B:B=BU62), 0)), """")"),7.9)</f>
        <v>7.9</v>
      </c>
      <c r="BW62" s="47">
        <f>IFERROR(__xludf.DUMMYFUNCTION("IFERROR(INDEX(motors!F:F, MATCH(1, (motors!A:A=REGEXEXTRACT(A62,""^\S+""))*(motors!B:B=BU62), 0)), """")"),4.6)</f>
        <v>4.6</v>
      </c>
      <c r="BX62" s="51">
        <v>2.0</v>
      </c>
      <c r="BY62" s="52">
        <v>42.0</v>
      </c>
      <c r="BZ62" s="53" t="s">
        <v>617</v>
      </c>
      <c r="CA62" s="53" t="str">
        <f>IFERROR(__xludf.DUMMYFUNCTION("IFERROR(REGEXEXTRACT(BZ62, ""(?i)[A-Z]+-D-E-([^-]+)-E""), """")"),"HQQE")</f>
        <v>HQQE</v>
      </c>
    </row>
    <row r="63" ht="11.25" customHeight="1">
      <c r="A63" s="55" t="s">
        <v>618</v>
      </c>
      <c r="B63" s="55">
        <v>7.4115761E7</v>
      </c>
      <c r="C63" s="56">
        <v>0.0</v>
      </c>
      <c r="D63" s="56">
        <v>2.5</v>
      </c>
      <c r="E63" s="56">
        <v>3.0</v>
      </c>
      <c r="F63" s="56">
        <v>4.0</v>
      </c>
      <c r="G63" s="56">
        <v>5.0</v>
      </c>
      <c r="H63" s="56">
        <v>6.0</v>
      </c>
      <c r="I63" s="56">
        <v>6.5</v>
      </c>
      <c r="J63" s="56">
        <v>7.0</v>
      </c>
      <c r="K63" s="56">
        <v>7.5</v>
      </c>
      <c r="L63" s="56">
        <v>8.0</v>
      </c>
      <c r="M63" s="48">
        <v>107.9988709831</v>
      </c>
      <c r="N63" s="56">
        <v>101.87593072622501</v>
      </c>
      <c r="O63" s="56">
        <v>100.0140886105</v>
      </c>
      <c r="P63" s="56">
        <v>93.89817228070001</v>
      </c>
      <c r="Q63" s="56">
        <v>85.14224936310002</v>
      </c>
      <c r="R63" s="56">
        <v>74.74886815749997</v>
      </c>
      <c r="S63" s="56">
        <v>69.07794434857503</v>
      </c>
      <c r="T63" s="56">
        <v>62.95782176769994</v>
      </c>
      <c r="U63" s="56">
        <v>56.08879496091247</v>
      </c>
      <c r="V63" s="56">
        <v>47.9631060135</v>
      </c>
      <c r="W63" s="49">
        <v>0.64</v>
      </c>
      <c r="X63" s="56">
        <v>1.376</v>
      </c>
      <c r="Y63" s="56">
        <v>1.504</v>
      </c>
      <c r="Z63" s="56">
        <v>1.696</v>
      </c>
      <c r="AA63" s="56">
        <v>1.856</v>
      </c>
      <c r="AB63" s="56">
        <v>1.968</v>
      </c>
      <c r="AC63" s="56">
        <v>2.016</v>
      </c>
      <c r="AD63" s="56">
        <v>2.048</v>
      </c>
      <c r="AE63" s="56">
        <v>2.064</v>
      </c>
      <c r="AF63" s="56">
        <v>2.08</v>
      </c>
      <c r="AG63" s="49">
        <v>0.7</v>
      </c>
      <c r="AH63" s="56">
        <v>0.829</v>
      </c>
      <c r="AI63" s="56">
        <v>0.904</v>
      </c>
      <c r="AJ63" s="56">
        <v>1.199</v>
      </c>
      <c r="AK63" s="56">
        <v>1.561</v>
      </c>
      <c r="AL63" s="56">
        <v>1.993</v>
      </c>
      <c r="AM63" s="56">
        <v>2.24</v>
      </c>
      <c r="AN63" s="56">
        <v>2.514</v>
      </c>
      <c r="AO63" s="56">
        <v>2.819</v>
      </c>
      <c r="AP63" s="56">
        <v>3.165</v>
      </c>
      <c r="AQ63" s="49">
        <v>0.0</v>
      </c>
      <c r="AR63" s="56">
        <v>49.0</v>
      </c>
      <c r="AS63" s="56">
        <v>55.5</v>
      </c>
      <c r="AT63" s="56">
        <v>62.33</v>
      </c>
      <c r="AU63" s="56">
        <v>65.48</v>
      </c>
      <c r="AV63" s="56">
        <v>65.82</v>
      </c>
      <c r="AW63" s="56">
        <v>65.02</v>
      </c>
      <c r="AX63" s="56">
        <v>63.61</v>
      </c>
      <c r="AY63" s="56">
        <v>61.6</v>
      </c>
      <c r="AZ63" s="56">
        <v>59.02</v>
      </c>
      <c r="BA63" s="50">
        <v>670.0</v>
      </c>
      <c r="BB63" s="57">
        <v>280.0</v>
      </c>
      <c r="BC63" s="57">
        <v>168.0</v>
      </c>
      <c r="BD63" s="57">
        <v>127.0</v>
      </c>
      <c r="BE63" s="57" t="s">
        <v>494</v>
      </c>
      <c r="BF63" s="57" t="s">
        <v>495</v>
      </c>
      <c r="BG63" s="57" t="s">
        <v>496</v>
      </c>
      <c r="BH63" s="57" t="s">
        <v>497</v>
      </c>
      <c r="BI63" s="57">
        <v>100.0</v>
      </c>
      <c r="BJ63" s="57">
        <v>150.0</v>
      </c>
      <c r="BK63" s="57">
        <v>250.0</v>
      </c>
      <c r="BL63" s="57">
        <v>180.0</v>
      </c>
      <c r="BM63" s="57">
        <v>210.0</v>
      </c>
      <c r="BN63" s="57">
        <v>75.0</v>
      </c>
      <c r="BO63" s="57">
        <v>30.0</v>
      </c>
      <c r="BP63" s="57" t="s">
        <v>498</v>
      </c>
      <c r="BQ63" s="57" t="s">
        <v>499</v>
      </c>
      <c r="BR63" s="58">
        <v>25.0</v>
      </c>
      <c r="BS63" s="59" t="s">
        <v>500</v>
      </c>
      <c r="BT63" s="59" t="s">
        <v>500</v>
      </c>
      <c r="BU63" s="58">
        <v>2.2</v>
      </c>
      <c r="BV63" s="47">
        <f>IFERROR(__xludf.DUMMYFUNCTION("IFERROR(INDEX(motors!E:E, MATCH(1, (motors!A:A=REGEXEXTRACT(A63,""^\S+""))*(motors!B:B=BU63), 0)), """")"),7.9)</f>
        <v>7.9</v>
      </c>
      <c r="BW63" s="47">
        <f>IFERROR(__xludf.DUMMYFUNCTION("IFERROR(INDEX(motors!F:F, MATCH(1, (motors!A:A=REGEXEXTRACT(A63,""^\S+""))*(motors!B:B=BU63), 0)), """")"),4.6)</f>
        <v>4.6</v>
      </c>
      <c r="BX63" s="57">
        <v>2.0</v>
      </c>
      <c r="BY63" s="58">
        <v>43.0</v>
      </c>
      <c r="BZ63" s="59" t="s">
        <v>619</v>
      </c>
      <c r="CA63" s="53" t="str">
        <f>IFERROR(__xludf.DUMMYFUNCTION("IFERROR(REGEXEXTRACT(BZ63, ""(?i)[A-Z]+-D-E-([^-]+)-E""), """")"),"HQQE")</f>
        <v>HQQE</v>
      </c>
    </row>
    <row r="64" ht="11.25" customHeight="1">
      <c r="A64" s="46" t="s">
        <v>620</v>
      </c>
      <c r="B64" s="46">
        <v>7.4115762E7</v>
      </c>
      <c r="C64" s="47">
        <v>0.0</v>
      </c>
      <c r="D64" s="47">
        <v>2.5</v>
      </c>
      <c r="E64" s="47">
        <v>3.0</v>
      </c>
      <c r="F64" s="47">
        <v>4.0</v>
      </c>
      <c r="G64" s="47">
        <v>5.0</v>
      </c>
      <c r="H64" s="47">
        <v>6.0</v>
      </c>
      <c r="I64" s="47">
        <v>6.5</v>
      </c>
      <c r="J64" s="47">
        <v>7.0</v>
      </c>
      <c r="K64" s="47">
        <v>7.5</v>
      </c>
      <c r="L64" s="47">
        <v>8.0</v>
      </c>
      <c r="M64" s="48">
        <v>120.9257734546</v>
      </c>
      <c r="N64" s="47">
        <v>112.72105639156875</v>
      </c>
      <c r="O64" s="47">
        <v>110.1957445654</v>
      </c>
      <c r="P64" s="47">
        <v>103.9257632334</v>
      </c>
      <c r="Q64" s="47">
        <v>95.6063162276</v>
      </c>
      <c r="R64" s="47">
        <v>84.7367067712</v>
      </c>
      <c r="S64" s="47">
        <v>78.21841555611876</v>
      </c>
      <c r="T64" s="47">
        <v>70.935655929</v>
      </c>
      <c r="U64" s="47">
        <v>62.87959390800625</v>
      </c>
      <c r="V64" s="47">
        <v>54.0642243434</v>
      </c>
      <c r="W64" s="49">
        <v>0.72</v>
      </c>
      <c r="X64" s="47">
        <v>1.5479999999999998</v>
      </c>
      <c r="Y64" s="47">
        <v>1.692</v>
      </c>
      <c r="Z64" s="47">
        <v>1.908</v>
      </c>
      <c r="AA64" s="47">
        <v>2.088</v>
      </c>
      <c r="AB64" s="47">
        <v>2.214</v>
      </c>
      <c r="AC64" s="47">
        <v>2.268</v>
      </c>
      <c r="AD64" s="47">
        <v>2.3040000000000003</v>
      </c>
      <c r="AE64" s="47">
        <v>2.322</v>
      </c>
      <c r="AF64" s="47">
        <v>2.34</v>
      </c>
      <c r="AG64" s="49">
        <v>0.7</v>
      </c>
      <c r="AH64" s="47">
        <v>0.829</v>
      </c>
      <c r="AI64" s="47">
        <v>0.904</v>
      </c>
      <c r="AJ64" s="47">
        <v>1.199</v>
      </c>
      <c r="AK64" s="47">
        <v>1.561</v>
      </c>
      <c r="AL64" s="47">
        <v>1.993</v>
      </c>
      <c r="AM64" s="47">
        <v>2.24</v>
      </c>
      <c r="AN64" s="47">
        <v>2.514</v>
      </c>
      <c r="AO64" s="47">
        <v>2.819</v>
      </c>
      <c r="AP64" s="47">
        <v>3.165</v>
      </c>
      <c r="AQ64" s="49">
        <v>0.0</v>
      </c>
      <c r="AR64" s="47">
        <v>49.0</v>
      </c>
      <c r="AS64" s="47">
        <v>55.5</v>
      </c>
      <c r="AT64" s="47">
        <v>62.33</v>
      </c>
      <c r="AU64" s="47">
        <v>65.48</v>
      </c>
      <c r="AV64" s="47">
        <v>65.82</v>
      </c>
      <c r="AW64" s="47">
        <v>65.02</v>
      </c>
      <c r="AX64" s="47">
        <v>63.61</v>
      </c>
      <c r="AY64" s="47">
        <v>61.6</v>
      </c>
      <c r="AZ64" s="47">
        <v>59.02</v>
      </c>
      <c r="BA64" s="50">
        <v>724.0</v>
      </c>
      <c r="BB64" s="51">
        <v>300.0</v>
      </c>
      <c r="BC64" s="51">
        <v>168.0</v>
      </c>
      <c r="BD64" s="51">
        <v>127.0</v>
      </c>
      <c r="BE64" s="51" t="s">
        <v>494</v>
      </c>
      <c r="BF64" s="51" t="s">
        <v>495</v>
      </c>
      <c r="BG64" s="51" t="s">
        <v>496</v>
      </c>
      <c r="BH64" s="51" t="s">
        <v>497</v>
      </c>
      <c r="BI64" s="51">
        <v>100.0</v>
      </c>
      <c r="BJ64" s="51">
        <v>150.0</v>
      </c>
      <c r="BK64" s="51">
        <v>250.0</v>
      </c>
      <c r="BL64" s="51">
        <v>180.0</v>
      </c>
      <c r="BM64" s="51">
        <v>210.0</v>
      </c>
      <c r="BN64" s="51">
        <v>75.0</v>
      </c>
      <c r="BO64" s="51">
        <v>30.0</v>
      </c>
      <c r="BP64" s="51" t="s">
        <v>498</v>
      </c>
      <c r="BQ64" s="51" t="s">
        <v>499</v>
      </c>
      <c r="BR64" s="52">
        <v>25.0</v>
      </c>
      <c r="BS64" s="53" t="s">
        <v>500</v>
      </c>
      <c r="BT64" s="53" t="s">
        <v>500</v>
      </c>
      <c r="BU64" s="52">
        <v>3.0</v>
      </c>
      <c r="BV64" s="47">
        <f>IFERROR(__xludf.DUMMYFUNCTION("IFERROR(INDEX(motors!E:E, MATCH(1, (motors!A:A=REGEXEXTRACT(A64,""^\S+""))*(motors!B:B=BU64), 0)), """")"),10.4)</f>
        <v>10.4</v>
      </c>
      <c r="BW64" s="47">
        <f>IFERROR(__xludf.DUMMYFUNCTION("IFERROR(INDEX(motors!F:F, MATCH(1, (motors!A:A=REGEXEXTRACT(A64,""^\S+""))*(motors!B:B=BU64), 0)), """")"),6.0)</f>
        <v>6</v>
      </c>
      <c r="BX64" s="51">
        <v>2.0</v>
      </c>
      <c r="BY64" s="52">
        <v>46.0</v>
      </c>
      <c r="BZ64" s="53" t="s">
        <v>621</v>
      </c>
      <c r="CA64" s="53" t="str">
        <f>IFERROR(__xludf.DUMMYFUNCTION("IFERROR(REGEXEXTRACT(BZ64, ""(?i)[A-Z]+-D-E-([^-]+)-E""), """")"),"HQQE")</f>
        <v>HQQE</v>
      </c>
    </row>
    <row r="65" ht="11.25" customHeight="1">
      <c r="A65" s="55" t="s">
        <v>622</v>
      </c>
      <c r="B65" s="55">
        <v>7.4115763E7</v>
      </c>
      <c r="C65" s="56">
        <v>0.0</v>
      </c>
      <c r="D65" s="56">
        <v>2.5</v>
      </c>
      <c r="E65" s="56">
        <v>3.0</v>
      </c>
      <c r="F65" s="56">
        <v>4.0</v>
      </c>
      <c r="G65" s="56">
        <v>5.0</v>
      </c>
      <c r="H65" s="56">
        <v>6.0</v>
      </c>
      <c r="I65" s="56">
        <v>6.5</v>
      </c>
      <c r="J65" s="56">
        <v>7.0</v>
      </c>
      <c r="K65" s="56">
        <v>7.5</v>
      </c>
      <c r="L65" s="56">
        <v>8.0</v>
      </c>
      <c r="M65" s="48">
        <v>133.8271051885</v>
      </c>
      <c r="N65" s="56">
        <v>125.80179008568751</v>
      </c>
      <c r="O65" s="56">
        <v>122.5</v>
      </c>
      <c r="P65" s="56">
        <v>114.54731572170002</v>
      </c>
      <c r="Q65" s="56">
        <v>105.09780757100003</v>
      </c>
      <c r="R65" s="56">
        <v>93.26981208190004</v>
      </c>
      <c r="S65" s="56">
        <v>86.22349783313754</v>
      </c>
      <c r="T65" s="56">
        <v>78.34129879500004</v>
      </c>
      <c r="U65" s="56">
        <v>69.61886830225004</v>
      </c>
      <c r="V65" s="56">
        <v>60.11543934290009</v>
      </c>
      <c r="W65" s="49">
        <v>0.8</v>
      </c>
      <c r="X65" s="56">
        <v>1.7199999999999998</v>
      </c>
      <c r="Y65" s="56">
        <v>1.88</v>
      </c>
      <c r="Z65" s="56">
        <v>2.12</v>
      </c>
      <c r="AA65" s="56">
        <v>2.3200000000000003</v>
      </c>
      <c r="AB65" s="56">
        <v>2.46</v>
      </c>
      <c r="AC65" s="56">
        <v>2.52</v>
      </c>
      <c r="AD65" s="56">
        <v>2.56</v>
      </c>
      <c r="AE65" s="56">
        <v>2.58</v>
      </c>
      <c r="AF65" s="56">
        <v>2.6</v>
      </c>
      <c r="AG65" s="49">
        <v>0.7</v>
      </c>
      <c r="AH65" s="56">
        <v>0.829</v>
      </c>
      <c r="AI65" s="56">
        <v>0.904</v>
      </c>
      <c r="AJ65" s="56">
        <v>1.199</v>
      </c>
      <c r="AK65" s="56">
        <v>1.561</v>
      </c>
      <c r="AL65" s="56">
        <v>1.993</v>
      </c>
      <c r="AM65" s="56">
        <v>2.24</v>
      </c>
      <c r="AN65" s="56">
        <v>2.514</v>
      </c>
      <c r="AO65" s="56">
        <v>2.819</v>
      </c>
      <c r="AP65" s="56">
        <v>3.165</v>
      </c>
      <c r="AQ65" s="49">
        <v>0.0</v>
      </c>
      <c r="AR65" s="56">
        <v>49.0</v>
      </c>
      <c r="AS65" s="56">
        <v>55.5</v>
      </c>
      <c r="AT65" s="56">
        <v>62.33</v>
      </c>
      <c r="AU65" s="56">
        <v>65.48</v>
      </c>
      <c r="AV65" s="56">
        <v>65.82</v>
      </c>
      <c r="AW65" s="56">
        <v>65.02</v>
      </c>
      <c r="AX65" s="56">
        <v>63.61</v>
      </c>
      <c r="AY65" s="56">
        <v>61.6</v>
      </c>
      <c r="AZ65" s="56">
        <v>59.02</v>
      </c>
      <c r="BA65" s="50">
        <v>778.0</v>
      </c>
      <c r="BB65" s="57">
        <v>300.0</v>
      </c>
      <c r="BC65" s="57">
        <v>168.0</v>
      </c>
      <c r="BD65" s="57">
        <v>127.0</v>
      </c>
      <c r="BE65" s="57" t="s">
        <v>494</v>
      </c>
      <c r="BF65" s="57" t="s">
        <v>495</v>
      </c>
      <c r="BG65" s="57" t="s">
        <v>496</v>
      </c>
      <c r="BH65" s="57" t="s">
        <v>497</v>
      </c>
      <c r="BI65" s="57">
        <v>100.0</v>
      </c>
      <c r="BJ65" s="57">
        <v>150.0</v>
      </c>
      <c r="BK65" s="57">
        <v>250.0</v>
      </c>
      <c r="BL65" s="57">
        <v>180.0</v>
      </c>
      <c r="BM65" s="57">
        <v>210.0</v>
      </c>
      <c r="BN65" s="57">
        <v>75.0</v>
      </c>
      <c r="BO65" s="57">
        <v>30.0</v>
      </c>
      <c r="BP65" s="57" t="s">
        <v>498</v>
      </c>
      <c r="BQ65" s="57" t="s">
        <v>499</v>
      </c>
      <c r="BR65" s="58">
        <v>25.0</v>
      </c>
      <c r="BS65" s="59" t="s">
        <v>500</v>
      </c>
      <c r="BT65" s="59" t="s">
        <v>500</v>
      </c>
      <c r="BU65" s="58">
        <v>3.0</v>
      </c>
      <c r="BV65" s="47">
        <f>IFERROR(__xludf.DUMMYFUNCTION("IFERROR(INDEX(motors!E:E, MATCH(1, (motors!A:A=REGEXEXTRACT(A65,""^\S+""))*(motors!B:B=BU65), 0)), """")"),10.4)</f>
        <v>10.4</v>
      </c>
      <c r="BW65" s="47">
        <f>IFERROR(__xludf.DUMMYFUNCTION("IFERROR(INDEX(motors!F:F, MATCH(1, (motors!A:A=REGEXEXTRACT(A65,""^\S+""))*(motors!B:B=BU65), 0)), """")"),6.0)</f>
        <v>6</v>
      </c>
      <c r="BX65" s="57">
        <v>2.0</v>
      </c>
      <c r="BY65" s="58">
        <v>47.0</v>
      </c>
      <c r="BZ65" s="59" t="s">
        <v>623</v>
      </c>
      <c r="CA65" s="53" t="str">
        <f>IFERROR(__xludf.DUMMYFUNCTION("IFERROR(REGEXEXTRACT(BZ65, ""(?i)[A-Z]+-D-E-([^-]+)-E""), """")"),"HQQE")</f>
        <v>HQQE</v>
      </c>
    </row>
    <row r="66" ht="11.25" customHeight="1">
      <c r="A66" s="46" t="s">
        <v>624</v>
      </c>
      <c r="B66" s="46">
        <v>7.4115764E7</v>
      </c>
      <c r="C66" s="47">
        <v>0.0</v>
      </c>
      <c r="D66" s="47">
        <v>2.5</v>
      </c>
      <c r="E66" s="47">
        <v>3.0</v>
      </c>
      <c r="F66" s="47">
        <v>4.0</v>
      </c>
      <c r="G66" s="47">
        <v>5.0</v>
      </c>
      <c r="H66" s="47">
        <v>6.0</v>
      </c>
      <c r="I66" s="47">
        <v>6.5</v>
      </c>
      <c r="J66" s="47">
        <v>7.0</v>
      </c>
      <c r="K66" s="47">
        <v>7.5</v>
      </c>
      <c r="L66" s="47">
        <v>8.0</v>
      </c>
      <c r="M66" s="48">
        <v>145.917723426</v>
      </c>
      <c r="N66" s="47">
        <v>136.72247361296877</v>
      </c>
      <c r="O66" s="47">
        <v>133.84317362640002</v>
      </c>
      <c r="P66" s="47">
        <v>126.21088442920001</v>
      </c>
      <c r="Q66" s="47">
        <v>115.96141534899999</v>
      </c>
      <c r="R66" s="47">
        <v>102.97327541640001</v>
      </c>
      <c r="S66" s="47">
        <v>95.32456025666873</v>
      </c>
      <c r="T66" s="47">
        <v>86.75298226599998</v>
      </c>
      <c r="U66" s="47">
        <v>77.0665002840937</v>
      </c>
      <c r="V66" s="47">
        <v>65.99478962439997</v>
      </c>
      <c r="W66" s="49">
        <v>0.88</v>
      </c>
      <c r="X66" s="47">
        <v>1.892</v>
      </c>
      <c r="Y66" s="47">
        <v>2.068</v>
      </c>
      <c r="Z66" s="47">
        <v>2.332</v>
      </c>
      <c r="AA66" s="47">
        <v>2.552</v>
      </c>
      <c r="AB66" s="47">
        <v>2.706</v>
      </c>
      <c r="AC66" s="47">
        <v>2.7720000000000002</v>
      </c>
      <c r="AD66" s="47">
        <v>2.816</v>
      </c>
      <c r="AE66" s="47">
        <v>2.838</v>
      </c>
      <c r="AF66" s="47">
        <v>2.8600000000000003</v>
      </c>
      <c r="AG66" s="49">
        <v>0.7</v>
      </c>
      <c r="AH66" s="47">
        <v>0.829</v>
      </c>
      <c r="AI66" s="47">
        <v>0.904</v>
      </c>
      <c r="AJ66" s="47">
        <v>1.199</v>
      </c>
      <c r="AK66" s="47">
        <v>1.561</v>
      </c>
      <c r="AL66" s="47">
        <v>1.993</v>
      </c>
      <c r="AM66" s="47">
        <v>2.24</v>
      </c>
      <c r="AN66" s="47">
        <v>2.514</v>
      </c>
      <c r="AO66" s="47">
        <v>2.819</v>
      </c>
      <c r="AP66" s="47">
        <v>3.165</v>
      </c>
      <c r="AQ66" s="49">
        <v>0.0</v>
      </c>
      <c r="AR66" s="47">
        <v>49.0</v>
      </c>
      <c r="AS66" s="47">
        <v>55.5</v>
      </c>
      <c r="AT66" s="47">
        <v>62.33</v>
      </c>
      <c r="AU66" s="47">
        <v>65.48</v>
      </c>
      <c r="AV66" s="47">
        <v>65.82</v>
      </c>
      <c r="AW66" s="47">
        <v>65.02</v>
      </c>
      <c r="AX66" s="47">
        <v>63.61</v>
      </c>
      <c r="AY66" s="47">
        <v>61.6</v>
      </c>
      <c r="AZ66" s="47">
        <v>59.02</v>
      </c>
      <c r="BA66" s="50">
        <v>842.0</v>
      </c>
      <c r="BB66" s="51">
        <v>323.0</v>
      </c>
      <c r="BC66" s="51">
        <v>200.0</v>
      </c>
      <c r="BD66" s="51">
        <v>146.0</v>
      </c>
      <c r="BE66" s="51" t="s">
        <v>494</v>
      </c>
      <c r="BF66" s="51" t="s">
        <v>495</v>
      </c>
      <c r="BG66" s="51" t="s">
        <v>496</v>
      </c>
      <c r="BH66" s="51" t="s">
        <v>497</v>
      </c>
      <c r="BI66" s="51">
        <v>100.0</v>
      </c>
      <c r="BJ66" s="51">
        <v>150.0</v>
      </c>
      <c r="BK66" s="51">
        <v>250.0</v>
      </c>
      <c r="BL66" s="51">
        <v>180.0</v>
      </c>
      <c r="BM66" s="51">
        <v>210.0</v>
      </c>
      <c r="BN66" s="51">
        <v>75.0</v>
      </c>
      <c r="BO66" s="51">
        <v>30.0</v>
      </c>
      <c r="BP66" s="51" t="s">
        <v>498</v>
      </c>
      <c r="BQ66" s="51" t="s">
        <v>499</v>
      </c>
      <c r="BR66" s="52">
        <v>25.0</v>
      </c>
      <c r="BS66" s="53" t="s">
        <v>500</v>
      </c>
      <c r="BT66" s="53" t="s">
        <v>500</v>
      </c>
      <c r="BU66" s="52">
        <v>4.0</v>
      </c>
      <c r="BV66" s="47">
        <f>IFERROR(__xludf.DUMMYFUNCTION("IFERROR(INDEX(motors!E:E, MATCH(1, (motors!A:A=REGEXEXTRACT(A66,""^\S+""))*(motors!B:B=BU66), 0)), """")"),7.8)</f>
        <v>7.8</v>
      </c>
      <c r="BW66" s="47">
        <f>IFERROR(__xludf.DUMMYFUNCTION("IFERROR(INDEX(motors!F:F, MATCH(1, (motors!A:A=REGEXEXTRACT(A66,""^\S+""))*(motors!B:B=BU66), 0)), """")"),4.5)</f>
        <v>4.5</v>
      </c>
      <c r="BX66" s="51">
        <v>2.0</v>
      </c>
      <c r="BY66" s="52">
        <v>59.0</v>
      </c>
      <c r="BZ66" s="53" t="s">
        <v>625</v>
      </c>
      <c r="CA66" s="53" t="str">
        <f>IFERROR(__xludf.DUMMYFUNCTION("IFERROR(REGEXEXTRACT(BZ66, ""(?i)[A-Z]+-D-E-([^-]+)-E""), """")"),"HQQE")</f>
        <v>HQQE</v>
      </c>
    </row>
    <row r="67" ht="11.25" customHeight="1">
      <c r="A67" s="55" t="s">
        <v>626</v>
      </c>
      <c r="B67" s="55">
        <v>7.4115765E7</v>
      </c>
      <c r="C67" s="56">
        <v>0.0</v>
      </c>
      <c r="D67" s="56">
        <v>2.5</v>
      </c>
      <c r="E67" s="56">
        <v>3.0</v>
      </c>
      <c r="F67" s="56">
        <v>4.0</v>
      </c>
      <c r="G67" s="56">
        <v>5.0</v>
      </c>
      <c r="H67" s="56">
        <v>6.0</v>
      </c>
      <c r="I67" s="56">
        <v>6.5</v>
      </c>
      <c r="J67" s="56">
        <v>7.0</v>
      </c>
      <c r="K67" s="56">
        <v>7.5</v>
      </c>
      <c r="L67" s="56">
        <v>8.0</v>
      </c>
      <c r="M67" s="48">
        <v>157.9009286173</v>
      </c>
      <c r="N67" s="56">
        <v>149.3642460909875</v>
      </c>
      <c r="O67" s="56">
        <v>146.1460431898</v>
      </c>
      <c r="P67" s="56">
        <v>137.7969636881</v>
      </c>
      <c r="Q67" s="56">
        <v>126.8706982178</v>
      </c>
      <c r="R67" s="56">
        <v>113.09040513789999</v>
      </c>
      <c r="S67" s="56">
        <v>104.8622634740375</v>
      </c>
      <c r="T67" s="56">
        <v>95.4685727762</v>
      </c>
      <c r="U67" s="56">
        <v>84.59623941805</v>
      </c>
      <c r="V67" s="56">
        <v>71.82785767729999</v>
      </c>
      <c r="W67" s="49">
        <v>0.96</v>
      </c>
      <c r="X67" s="56">
        <v>2.064</v>
      </c>
      <c r="Y67" s="56">
        <v>2.2560000000000002</v>
      </c>
      <c r="Z67" s="56">
        <v>2.544</v>
      </c>
      <c r="AA67" s="56">
        <v>2.7840000000000003</v>
      </c>
      <c r="AB67" s="56">
        <v>2.952</v>
      </c>
      <c r="AC67" s="56">
        <v>3.024</v>
      </c>
      <c r="AD67" s="56">
        <v>3.072</v>
      </c>
      <c r="AE67" s="56">
        <v>3.096</v>
      </c>
      <c r="AF67" s="56">
        <v>3.12</v>
      </c>
      <c r="AG67" s="49">
        <v>0.7</v>
      </c>
      <c r="AH67" s="56">
        <v>0.829</v>
      </c>
      <c r="AI67" s="56">
        <v>0.904</v>
      </c>
      <c r="AJ67" s="56">
        <v>1.199</v>
      </c>
      <c r="AK67" s="56">
        <v>1.561</v>
      </c>
      <c r="AL67" s="56">
        <v>1.993</v>
      </c>
      <c r="AM67" s="56">
        <v>2.24</v>
      </c>
      <c r="AN67" s="56">
        <v>2.514</v>
      </c>
      <c r="AO67" s="56">
        <v>2.819</v>
      </c>
      <c r="AP67" s="56">
        <v>3.165</v>
      </c>
      <c r="AQ67" s="49">
        <v>0.0</v>
      </c>
      <c r="AR67" s="56">
        <v>49.0</v>
      </c>
      <c r="AS67" s="56">
        <v>55.5</v>
      </c>
      <c r="AT67" s="56">
        <v>62.33</v>
      </c>
      <c r="AU67" s="56">
        <v>65.48</v>
      </c>
      <c r="AV67" s="56">
        <v>65.82</v>
      </c>
      <c r="AW67" s="56">
        <v>65.02</v>
      </c>
      <c r="AX67" s="56">
        <v>63.61</v>
      </c>
      <c r="AY67" s="56">
        <v>61.6</v>
      </c>
      <c r="AZ67" s="56">
        <v>59.02</v>
      </c>
      <c r="BA67" s="50">
        <v>896.0</v>
      </c>
      <c r="BB67" s="57">
        <v>323.0</v>
      </c>
      <c r="BC67" s="57">
        <v>200.0</v>
      </c>
      <c r="BD67" s="57">
        <v>146.0</v>
      </c>
      <c r="BE67" s="57" t="s">
        <v>494</v>
      </c>
      <c r="BF67" s="57" t="s">
        <v>495</v>
      </c>
      <c r="BG67" s="57" t="s">
        <v>496</v>
      </c>
      <c r="BH67" s="57" t="s">
        <v>497</v>
      </c>
      <c r="BI67" s="57">
        <v>100.0</v>
      </c>
      <c r="BJ67" s="57">
        <v>150.0</v>
      </c>
      <c r="BK67" s="57">
        <v>250.0</v>
      </c>
      <c r="BL67" s="57">
        <v>180.0</v>
      </c>
      <c r="BM67" s="57">
        <v>210.0</v>
      </c>
      <c r="BN67" s="57">
        <v>75.0</v>
      </c>
      <c r="BO67" s="57">
        <v>30.0</v>
      </c>
      <c r="BP67" s="57" t="s">
        <v>498</v>
      </c>
      <c r="BQ67" s="57" t="s">
        <v>499</v>
      </c>
      <c r="BR67" s="58">
        <v>25.0</v>
      </c>
      <c r="BS67" s="59" t="s">
        <v>500</v>
      </c>
      <c r="BT67" s="59" t="s">
        <v>500</v>
      </c>
      <c r="BU67" s="58">
        <v>4.0</v>
      </c>
      <c r="BV67" s="47">
        <f>IFERROR(__xludf.DUMMYFUNCTION("IFERROR(INDEX(motors!E:E, MATCH(1, (motors!A:A=REGEXEXTRACT(A67,""^\S+""))*(motors!B:B=BU67), 0)), """")"),7.8)</f>
        <v>7.8</v>
      </c>
      <c r="BW67" s="47">
        <f>IFERROR(__xludf.DUMMYFUNCTION("IFERROR(INDEX(motors!F:F, MATCH(1, (motors!A:A=REGEXEXTRACT(A67,""^\S+""))*(motors!B:B=BU67), 0)), """")"),4.5)</f>
        <v>4.5</v>
      </c>
      <c r="BX67" s="57">
        <v>2.0</v>
      </c>
      <c r="BY67" s="58">
        <v>61.0</v>
      </c>
      <c r="BZ67" s="59" t="s">
        <v>627</v>
      </c>
      <c r="CA67" s="53" t="str">
        <f>IFERROR(__xludf.DUMMYFUNCTION("IFERROR(REGEXEXTRACT(BZ67, ""(?i)[A-Z]+-D-E-([^-]+)-E""), """")"),"HQQE")</f>
        <v>HQQE</v>
      </c>
    </row>
    <row r="68" ht="11.25" customHeight="1">
      <c r="A68" s="46" t="s">
        <v>628</v>
      </c>
      <c r="B68" s="46">
        <v>7.4115766E7</v>
      </c>
      <c r="C68" s="47">
        <v>0.0</v>
      </c>
      <c r="D68" s="47">
        <v>2.5</v>
      </c>
      <c r="E68" s="47">
        <v>3.0</v>
      </c>
      <c r="F68" s="47">
        <v>4.0</v>
      </c>
      <c r="G68" s="47">
        <v>5.0</v>
      </c>
      <c r="H68" s="47">
        <v>6.0</v>
      </c>
      <c r="I68" s="47">
        <v>6.5</v>
      </c>
      <c r="J68" s="47">
        <v>7.0</v>
      </c>
      <c r="K68" s="47">
        <v>7.5</v>
      </c>
      <c r="L68" s="47">
        <v>8.0</v>
      </c>
      <c r="M68" s="48">
        <v>170.8851008557</v>
      </c>
      <c r="N68" s="47">
        <v>161.42648064030936</v>
      </c>
      <c r="O68" s="47">
        <v>158.2806678835</v>
      </c>
      <c r="P68" s="47">
        <v>149.7208818957</v>
      </c>
      <c r="Q68" s="47">
        <v>137.9666890957</v>
      </c>
      <c r="R68" s="47">
        <v>122.7822694297</v>
      </c>
      <c r="S68" s="47">
        <v>113.69547662268437</v>
      </c>
      <c r="T68" s="47">
        <v>103.38272136150003</v>
      </c>
      <c r="U68" s="47">
        <v>91.56658496015314</v>
      </c>
      <c r="V68" s="47">
        <v>77.8640838925</v>
      </c>
      <c r="W68" s="49">
        <v>1.04</v>
      </c>
      <c r="X68" s="47">
        <v>2.2359999999999998</v>
      </c>
      <c r="Y68" s="47">
        <v>2.444</v>
      </c>
      <c r="Z68" s="47">
        <v>2.756</v>
      </c>
      <c r="AA68" s="47">
        <v>3.016</v>
      </c>
      <c r="AB68" s="47">
        <v>3.198</v>
      </c>
      <c r="AC68" s="47">
        <v>3.276</v>
      </c>
      <c r="AD68" s="47">
        <v>3.3280000000000003</v>
      </c>
      <c r="AE68" s="47">
        <v>3.354</v>
      </c>
      <c r="AF68" s="47">
        <v>3.38</v>
      </c>
      <c r="AG68" s="49">
        <v>0.7</v>
      </c>
      <c r="AH68" s="47">
        <v>0.829</v>
      </c>
      <c r="AI68" s="47">
        <v>0.904</v>
      </c>
      <c r="AJ68" s="47">
        <v>1.199</v>
      </c>
      <c r="AK68" s="47">
        <v>1.561</v>
      </c>
      <c r="AL68" s="47">
        <v>1.993</v>
      </c>
      <c r="AM68" s="47">
        <v>2.24</v>
      </c>
      <c r="AN68" s="47">
        <v>2.514</v>
      </c>
      <c r="AO68" s="47">
        <v>2.819</v>
      </c>
      <c r="AP68" s="47">
        <v>3.165</v>
      </c>
      <c r="AQ68" s="49">
        <v>0.0</v>
      </c>
      <c r="AR68" s="47">
        <v>49.0</v>
      </c>
      <c r="AS68" s="47">
        <v>55.5</v>
      </c>
      <c r="AT68" s="47">
        <v>62.33</v>
      </c>
      <c r="AU68" s="47">
        <v>65.48</v>
      </c>
      <c r="AV68" s="47">
        <v>65.82</v>
      </c>
      <c r="AW68" s="47">
        <v>65.02</v>
      </c>
      <c r="AX68" s="47">
        <v>63.61</v>
      </c>
      <c r="AY68" s="47">
        <v>61.6</v>
      </c>
      <c r="AZ68" s="47">
        <v>59.02</v>
      </c>
      <c r="BA68" s="50">
        <v>950.0</v>
      </c>
      <c r="BB68" s="51">
        <v>323.0</v>
      </c>
      <c r="BC68" s="51">
        <v>200.0</v>
      </c>
      <c r="BD68" s="51">
        <v>146.0</v>
      </c>
      <c r="BE68" s="51" t="s">
        <v>494</v>
      </c>
      <c r="BF68" s="51" t="s">
        <v>495</v>
      </c>
      <c r="BG68" s="51" t="s">
        <v>496</v>
      </c>
      <c r="BH68" s="51" t="s">
        <v>497</v>
      </c>
      <c r="BI68" s="51">
        <v>100.0</v>
      </c>
      <c r="BJ68" s="51">
        <v>150.0</v>
      </c>
      <c r="BK68" s="51">
        <v>250.0</v>
      </c>
      <c r="BL68" s="51">
        <v>180.0</v>
      </c>
      <c r="BM68" s="51">
        <v>210.0</v>
      </c>
      <c r="BN68" s="51">
        <v>75.0</v>
      </c>
      <c r="BO68" s="51">
        <v>30.0</v>
      </c>
      <c r="BP68" s="51" t="s">
        <v>498</v>
      </c>
      <c r="BQ68" s="51" t="s">
        <v>499</v>
      </c>
      <c r="BR68" s="52">
        <v>25.0</v>
      </c>
      <c r="BS68" s="53" t="s">
        <v>500</v>
      </c>
      <c r="BT68" s="53" t="s">
        <v>500</v>
      </c>
      <c r="BU68" s="52">
        <v>4.0</v>
      </c>
      <c r="BV68" s="47">
        <f>IFERROR(__xludf.DUMMYFUNCTION("IFERROR(INDEX(motors!E:E, MATCH(1, (motors!A:A=REGEXEXTRACT(A68,""^\S+""))*(motors!B:B=BU68), 0)), """")"),7.8)</f>
        <v>7.8</v>
      </c>
      <c r="BW68" s="47">
        <f>IFERROR(__xludf.DUMMYFUNCTION("IFERROR(INDEX(motors!F:F, MATCH(1, (motors!A:A=REGEXEXTRACT(A68,""^\S+""))*(motors!B:B=BU68), 0)), """")"),4.5)</f>
        <v>4.5</v>
      </c>
      <c r="BX68" s="51">
        <v>2.0</v>
      </c>
      <c r="BY68" s="52">
        <v>62.0</v>
      </c>
      <c r="BZ68" s="53" t="s">
        <v>629</v>
      </c>
      <c r="CA68" s="53" t="str">
        <f>IFERROR(__xludf.DUMMYFUNCTION("IFERROR(REGEXEXTRACT(BZ68, ""(?i)[A-Z]+-D-E-([^-]+)-E""), """")"),"HQQE")</f>
        <v>HQQE</v>
      </c>
    </row>
    <row r="69" ht="11.25" customHeight="1">
      <c r="A69" s="55" t="s">
        <v>630</v>
      </c>
      <c r="B69" s="55">
        <v>7.4115767E7</v>
      </c>
      <c r="C69" s="56">
        <v>0.0</v>
      </c>
      <c r="D69" s="56">
        <v>2.5</v>
      </c>
      <c r="E69" s="56">
        <v>3.0</v>
      </c>
      <c r="F69" s="56">
        <v>4.0</v>
      </c>
      <c r="G69" s="56">
        <v>5.0</v>
      </c>
      <c r="H69" s="56">
        <v>6.0</v>
      </c>
      <c r="I69" s="56">
        <v>6.5</v>
      </c>
      <c r="J69" s="56">
        <v>7.0</v>
      </c>
      <c r="K69" s="56">
        <v>7.5</v>
      </c>
      <c r="L69" s="56">
        <v>8.0</v>
      </c>
      <c r="M69" s="48">
        <v>194.8616408712</v>
      </c>
      <c r="N69" s="56">
        <v>181.00775862215312</v>
      </c>
      <c r="O69" s="56">
        <v>176.8264757241</v>
      </c>
      <c r="P69" s="56">
        <v>167.99113229559998</v>
      </c>
      <c r="Q69" s="56">
        <v>157.08659372169998</v>
      </c>
      <c r="R69" s="56">
        <v>141.53798069819993</v>
      </c>
      <c r="S69" s="56">
        <v>131.16422560842807</v>
      </c>
      <c r="T69" s="56">
        <v>118.67242650490002</v>
      </c>
      <c r="U69" s="56">
        <v>103.87202917062193</v>
      </c>
      <c r="V69" s="56">
        <v>86.68739491360003</v>
      </c>
      <c r="W69" s="49">
        <v>1.16</v>
      </c>
      <c r="X69" s="56">
        <v>2.4939999999999998</v>
      </c>
      <c r="Y69" s="56">
        <v>2.726</v>
      </c>
      <c r="Z69" s="56">
        <v>3.074</v>
      </c>
      <c r="AA69" s="56">
        <v>3.3640000000000003</v>
      </c>
      <c r="AB69" s="56">
        <v>3.567</v>
      </c>
      <c r="AC69" s="56">
        <v>3.654</v>
      </c>
      <c r="AD69" s="56">
        <v>3.712</v>
      </c>
      <c r="AE69" s="56">
        <v>3.741</v>
      </c>
      <c r="AF69" s="56">
        <v>3.77</v>
      </c>
      <c r="AG69" s="49">
        <v>0.7</v>
      </c>
      <c r="AH69" s="56">
        <v>0.829</v>
      </c>
      <c r="AI69" s="56">
        <v>0.904</v>
      </c>
      <c r="AJ69" s="56">
        <v>1.199</v>
      </c>
      <c r="AK69" s="56">
        <v>1.561</v>
      </c>
      <c r="AL69" s="56">
        <v>1.993</v>
      </c>
      <c r="AM69" s="56">
        <v>2.24</v>
      </c>
      <c r="AN69" s="56">
        <v>2.514</v>
      </c>
      <c r="AO69" s="56">
        <v>2.819</v>
      </c>
      <c r="AP69" s="56">
        <v>3.165</v>
      </c>
      <c r="AQ69" s="49">
        <v>0.0</v>
      </c>
      <c r="AR69" s="56">
        <v>49.0</v>
      </c>
      <c r="AS69" s="56">
        <v>55.5</v>
      </c>
      <c r="AT69" s="56">
        <v>62.33</v>
      </c>
      <c r="AU69" s="56">
        <v>65.48</v>
      </c>
      <c r="AV69" s="56">
        <v>65.82</v>
      </c>
      <c r="AW69" s="56">
        <v>65.02</v>
      </c>
      <c r="AX69" s="56">
        <v>63.61</v>
      </c>
      <c r="AY69" s="56">
        <v>61.6</v>
      </c>
      <c r="AZ69" s="56">
        <v>59.02</v>
      </c>
      <c r="BA69" s="50">
        <v>1031.0</v>
      </c>
      <c r="BB69" s="57">
        <v>323.0</v>
      </c>
      <c r="BC69" s="57">
        <v>200.0</v>
      </c>
      <c r="BD69" s="57">
        <v>146.0</v>
      </c>
      <c r="BE69" s="57" t="s">
        <v>494</v>
      </c>
      <c r="BF69" s="57" t="s">
        <v>495</v>
      </c>
      <c r="BG69" s="57" t="s">
        <v>496</v>
      </c>
      <c r="BH69" s="57" t="s">
        <v>497</v>
      </c>
      <c r="BI69" s="57">
        <v>100.0</v>
      </c>
      <c r="BJ69" s="57">
        <v>150.0</v>
      </c>
      <c r="BK69" s="57">
        <v>250.0</v>
      </c>
      <c r="BL69" s="57">
        <v>180.0</v>
      </c>
      <c r="BM69" s="57">
        <v>210.0</v>
      </c>
      <c r="BN69" s="57">
        <v>75.0</v>
      </c>
      <c r="BO69" s="57">
        <v>30.0</v>
      </c>
      <c r="BP69" s="57" t="s">
        <v>498</v>
      </c>
      <c r="BQ69" s="57" t="s">
        <v>499</v>
      </c>
      <c r="BR69" s="58">
        <v>25.0</v>
      </c>
      <c r="BS69" s="59" t="s">
        <v>500</v>
      </c>
      <c r="BT69" s="59" t="s">
        <v>500</v>
      </c>
      <c r="BU69" s="58">
        <v>4.0</v>
      </c>
      <c r="BV69" s="47">
        <f>IFERROR(__xludf.DUMMYFUNCTION("IFERROR(INDEX(motors!E:E, MATCH(1, (motors!A:A=REGEXEXTRACT(A69,""^\S+""))*(motors!B:B=BU69), 0)), """")"),7.8)</f>
        <v>7.8</v>
      </c>
      <c r="BW69" s="47">
        <f>IFERROR(__xludf.DUMMYFUNCTION("IFERROR(INDEX(motors!F:F, MATCH(1, (motors!A:A=REGEXEXTRACT(A69,""^\S+""))*(motors!B:B=BU69), 0)), """")"),4.5)</f>
        <v>4.5</v>
      </c>
      <c r="BX69" s="57">
        <v>2.0</v>
      </c>
      <c r="BY69" s="58">
        <v>64.0</v>
      </c>
      <c r="BZ69" s="59" t="s">
        <v>631</v>
      </c>
      <c r="CA69" s="53" t="str">
        <f>IFERROR(__xludf.DUMMYFUNCTION("IFERROR(REGEXEXTRACT(BZ69, ""(?i)[A-Z]+-D-E-([^-]+)-E""), """")"),"HQQE")</f>
        <v>HQQE</v>
      </c>
    </row>
    <row r="70" ht="11.25" customHeight="1">
      <c r="A70" s="46" t="s">
        <v>632</v>
      </c>
      <c r="B70" s="46">
        <v>7.4115768E7</v>
      </c>
      <c r="C70" s="47">
        <v>0.0</v>
      </c>
      <c r="D70" s="47">
        <v>2.5</v>
      </c>
      <c r="E70" s="47">
        <v>3.0</v>
      </c>
      <c r="F70" s="47">
        <v>4.0</v>
      </c>
      <c r="G70" s="47">
        <v>5.0</v>
      </c>
      <c r="H70" s="47">
        <v>6.0</v>
      </c>
      <c r="I70" s="47">
        <v>6.5</v>
      </c>
      <c r="J70" s="47">
        <v>7.0</v>
      </c>
      <c r="K70" s="47">
        <v>7.5</v>
      </c>
      <c r="L70" s="47">
        <v>8.0</v>
      </c>
      <c r="M70" s="48">
        <v>214.874336083</v>
      </c>
      <c r="N70" s="47">
        <v>201.43523968359375</v>
      </c>
      <c r="O70" s="47">
        <v>197.5778677807</v>
      </c>
      <c r="P70" s="47">
        <v>188.1844781934</v>
      </c>
      <c r="Q70" s="47">
        <v>175.5889336395</v>
      </c>
      <c r="R70" s="47">
        <v>157.96991618020002</v>
      </c>
      <c r="S70" s="47">
        <v>146.45576588274375</v>
      </c>
      <c r="T70" s="47">
        <v>132.56557314870003</v>
      </c>
      <c r="U70" s="47">
        <v>115.77414728978125</v>
      </c>
      <c r="V70" s="47">
        <v>95.4723709182</v>
      </c>
      <c r="W70" s="49">
        <v>1.28</v>
      </c>
      <c r="X70" s="47">
        <v>2.752</v>
      </c>
      <c r="Y70" s="47">
        <v>3.008</v>
      </c>
      <c r="Z70" s="47">
        <v>3.392</v>
      </c>
      <c r="AA70" s="47">
        <v>3.712</v>
      </c>
      <c r="AB70" s="47">
        <v>3.936</v>
      </c>
      <c r="AC70" s="47">
        <v>4.032</v>
      </c>
      <c r="AD70" s="47">
        <v>4.096</v>
      </c>
      <c r="AE70" s="47">
        <v>4.128</v>
      </c>
      <c r="AF70" s="47">
        <v>4.16</v>
      </c>
      <c r="AG70" s="49">
        <v>0.7</v>
      </c>
      <c r="AH70" s="47">
        <v>0.829</v>
      </c>
      <c r="AI70" s="47">
        <v>0.904</v>
      </c>
      <c r="AJ70" s="47">
        <v>1.199</v>
      </c>
      <c r="AK70" s="47">
        <v>1.561</v>
      </c>
      <c r="AL70" s="47">
        <v>1.993</v>
      </c>
      <c r="AM70" s="47">
        <v>2.24</v>
      </c>
      <c r="AN70" s="47">
        <v>2.514</v>
      </c>
      <c r="AO70" s="47">
        <v>2.819</v>
      </c>
      <c r="AP70" s="47">
        <v>3.165</v>
      </c>
      <c r="AQ70" s="49">
        <v>0.0</v>
      </c>
      <c r="AR70" s="47">
        <v>49.0</v>
      </c>
      <c r="AS70" s="47">
        <v>55.5</v>
      </c>
      <c r="AT70" s="47">
        <v>62.33</v>
      </c>
      <c r="AU70" s="47">
        <v>65.48</v>
      </c>
      <c r="AV70" s="47">
        <v>65.82</v>
      </c>
      <c r="AW70" s="47">
        <v>65.02</v>
      </c>
      <c r="AX70" s="47">
        <v>63.61</v>
      </c>
      <c r="AY70" s="47">
        <v>61.6</v>
      </c>
      <c r="AZ70" s="47">
        <v>59.02</v>
      </c>
      <c r="BA70" s="50">
        <v>1139.0</v>
      </c>
      <c r="BB70" s="51">
        <v>379.0</v>
      </c>
      <c r="BC70" s="51">
        <v>212.0</v>
      </c>
      <c r="BD70" s="51">
        <v>160.0</v>
      </c>
      <c r="BE70" s="51" t="s">
        <v>494</v>
      </c>
      <c r="BF70" s="51" t="s">
        <v>495</v>
      </c>
      <c r="BG70" s="51" t="s">
        <v>496</v>
      </c>
      <c r="BH70" s="51" t="s">
        <v>497</v>
      </c>
      <c r="BI70" s="51">
        <v>100.0</v>
      </c>
      <c r="BJ70" s="51">
        <v>150.0</v>
      </c>
      <c r="BK70" s="51">
        <v>250.0</v>
      </c>
      <c r="BL70" s="51">
        <v>180.0</v>
      </c>
      <c r="BM70" s="51">
        <v>210.0</v>
      </c>
      <c r="BN70" s="51">
        <v>75.0</v>
      </c>
      <c r="BO70" s="51">
        <v>30.0</v>
      </c>
      <c r="BP70" s="51" t="s">
        <v>498</v>
      </c>
      <c r="BQ70" s="51" t="s">
        <v>499</v>
      </c>
      <c r="BR70" s="52">
        <v>25.0</v>
      </c>
      <c r="BS70" s="53" t="s">
        <v>500</v>
      </c>
      <c r="BT70" s="53" t="s">
        <v>500</v>
      </c>
      <c r="BU70" s="52">
        <v>5.5</v>
      </c>
      <c r="BV70" s="47">
        <f>IFERROR(__xludf.DUMMYFUNCTION("IFERROR(INDEX(motors!E:E, MATCH(1, (motors!A:A=REGEXEXTRACT(A70,""^\S+""))*(motors!B:B=BU70), 0)), """")"),10.6)</f>
        <v>10.6</v>
      </c>
      <c r="BW70" s="47">
        <f>IFERROR(__xludf.DUMMYFUNCTION("IFERROR(INDEX(motors!F:F, MATCH(1, (motors!A:A=REGEXEXTRACT(A70,""^\S+""))*(motors!B:B=BU70), 0)), """")"),6.1)</f>
        <v>6.1</v>
      </c>
      <c r="BX70" s="51">
        <v>2.0</v>
      </c>
      <c r="BY70" s="52">
        <v>79.0</v>
      </c>
      <c r="BZ70" s="53" t="s">
        <v>633</v>
      </c>
      <c r="CA70" s="53" t="str">
        <f>IFERROR(__xludf.DUMMYFUNCTION("IFERROR(REGEXEXTRACT(BZ70, ""(?i)[A-Z]+-D-E-([^-]+)-E""), """")"),"HQQE")</f>
        <v>HQQE</v>
      </c>
    </row>
    <row r="71" ht="11.25" customHeight="1">
      <c r="A71" s="55" t="s">
        <v>634</v>
      </c>
      <c r="B71" s="55">
        <v>7.4115769E7</v>
      </c>
      <c r="C71" s="56">
        <v>0.0</v>
      </c>
      <c r="D71" s="56">
        <v>2.5</v>
      </c>
      <c r="E71" s="56">
        <v>3.0</v>
      </c>
      <c r="F71" s="56">
        <v>4.0</v>
      </c>
      <c r="G71" s="56">
        <v>5.0</v>
      </c>
      <c r="H71" s="56">
        <v>6.0</v>
      </c>
      <c r="I71" s="56">
        <v>6.5</v>
      </c>
      <c r="J71" s="56">
        <v>7.0</v>
      </c>
      <c r="K71" s="56">
        <v>7.5</v>
      </c>
      <c r="L71" s="56">
        <v>8.0</v>
      </c>
      <c r="M71" s="48">
        <v>240.8670768809</v>
      </c>
      <c r="N71" s="56">
        <v>226.80123039444686</v>
      </c>
      <c r="O71" s="56">
        <v>222.8894450654</v>
      </c>
      <c r="P71" s="56">
        <v>211.69540975489997</v>
      </c>
      <c r="Q71" s="56">
        <v>196.82199747939998</v>
      </c>
      <c r="R71" s="56">
        <v>178.2959335847</v>
      </c>
      <c r="S71" s="56">
        <v>166.70245642057182</v>
      </c>
      <c r="T71" s="56">
        <v>152.29280811259986</v>
      </c>
      <c r="U71" s="56">
        <v>133.4832438474781</v>
      </c>
      <c r="V71" s="56">
        <v>108.06535814889975</v>
      </c>
      <c r="W71" s="49">
        <v>1.44</v>
      </c>
      <c r="X71" s="56">
        <v>3.0959999999999996</v>
      </c>
      <c r="Y71" s="56">
        <v>3.384</v>
      </c>
      <c r="Z71" s="56">
        <v>3.816</v>
      </c>
      <c r="AA71" s="56">
        <v>4.176</v>
      </c>
      <c r="AB71" s="56">
        <v>4.428</v>
      </c>
      <c r="AC71" s="56">
        <v>4.536</v>
      </c>
      <c r="AD71" s="56">
        <v>4.6080000000000005</v>
      </c>
      <c r="AE71" s="56">
        <v>4.644</v>
      </c>
      <c r="AF71" s="56">
        <v>4.68</v>
      </c>
      <c r="AG71" s="49">
        <v>0.7</v>
      </c>
      <c r="AH71" s="56">
        <v>0.829</v>
      </c>
      <c r="AI71" s="56">
        <v>0.904</v>
      </c>
      <c r="AJ71" s="56">
        <v>1.199</v>
      </c>
      <c r="AK71" s="56">
        <v>1.561</v>
      </c>
      <c r="AL71" s="56">
        <v>1.993</v>
      </c>
      <c r="AM71" s="56">
        <v>2.24</v>
      </c>
      <c r="AN71" s="56">
        <v>2.514</v>
      </c>
      <c r="AO71" s="56">
        <v>2.819</v>
      </c>
      <c r="AP71" s="56">
        <v>3.165</v>
      </c>
      <c r="AQ71" s="49">
        <v>0.0</v>
      </c>
      <c r="AR71" s="56">
        <v>49.0</v>
      </c>
      <c r="AS71" s="56">
        <v>55.5</v>
      </c>
      <c r="AT71" s="56">
        <v>62.33</v>
      </c>
      <c r="AU71" s="56">
        <v>65.48</v>
      </c>
      <c r="AV71" s="56">
        <v>65.82</v>
      </c>
      <c r="AW71" s="56">
        <v>65.02</v>
      </c>
      <c r="AX71" s="56">
        <v>63.61</v>
      </c>
      <c r="AY71" s="56">
        <v>61.6</v>
      </c>
      <c r="AZ71" s="56">
        <v>59.02</v>
      </c>
      <c r="BA71" s="50">
        <v>1247.0</v>
      </c>
      <c r="BB71" s="57">
        <v>379.0</v>
      </c>
      <c r="BC71" s="57">
        <v>212.0</v>
      </c>
      <c r="BD71" s="57">
        <v>160.0</v>
      </c>
      <c r="BE71" s="57" t="s">
        <v>494</v>
      </c>
      <c r="BF71" s="57" t="s">
        <v>495</v>
      </c>
      <c r="BG71" s="57" t="s">
        <v>496</v>
      </c>
      <c r="BH71" s="57" t="s">
        <v>497</v>
      </c>
      <c r="BI71" s="57">
        <v>100.0</v>
      </c>
      <c r="BJ71" s="57">
        <v>150.0</v>
      </c>
      <c r="BK71" s="57">
        <v>250.0</v>
      </c>
      <c r="BL71" s="57">
        <v>180.0</v>
      </c>
      <c r="BM71" s="57">
        <v>210.0</v>
      </c>
      <c r="BN71" s="57">
        <v>75.0</v>
      </c>
      <c r="BO71" s="57">
        <v>30.0</v>
      </c>
      <c r="BP71" s="57" t="s">
        <v>498</v>
      </c>
      <c r="BQ71" s="57" t="s">
        <v>499</v>
      </c>
      <c r="BR71" s="58">
        <v>25.0</v>
      </c>
      <c r="BS71" s="59" t="s">
        <v>500</v>
      </c>
      <c r="BT71" s="59" t="s">
        <v>500</v>
      </c>
      <c r="BU71" s="58">
        <v>5.5</v>
      </c>
      <c r="BV71" s="47">
        <f>IFERROR(__xludf.DUMMYFUNCTION("IFERROR(INDEX(motors!E:E, MATCH(1, (motors!A:A=REGEXEXTRACT(A71,""^\S+""))*(motors!B:B=BU71), 0)), """")"),10.6)</f>
        <v>10.6</v>
      </c>
      <c r="BW71" s="47">
        <f>IFERROR(__xludf.DUMMYFUNCTION("IFERROR(INDEX(motors!F:F, MATCH(1, (motors!A:A=REGEXEXTRACT(A71,""^\S+""))*(motors!B:B=BU71), 0)), """")"),6.1)</f>
        <v>6.1</v>
      </c>
      <c r="BX71" s="57">
        <v>2.0</v>
      </c>
      <c r="BY71" s="58">
        <v>81.0</v>
      </c>
      <c r="BZ71" s="59" t="s">
        <v>635</v>
      </c>
      <c r="CA71" s="53" t="str">
        <f>IFERROR(__xludf.DUMMYFUNCTION("IFERROR(REGEXEXTRACT(BZ71, ""(?i)[A-Z]+-D-E-([^-]+)-E""), """")"),"HQQE")</f>
        <v>HQQE</v>
      </c>
    </row>
    <row r="72" ht="11.25" customHeight="1">
      <c r="A72" s="46"/>
      <c r="B72" s="46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8"/>
      <c r="N72" s="47"/>
      <c r="O72" s="47"/>
      <c r="P72" s="47"/>
      <c r="Q72" s="47"/>
      <c r="R72" s="47"/>
      <c r="S72" s="47"/>
      <c r="T72" s="47"/>
      <c r="U72" s="47"/>
      <c r="V72" s="47"/>
      <c r="W72" s="49"/>
      <c r="X72" s="47"/>
      <c r="Y72" s="47"/>
      <c r="Z72" s="47"/>
      <c r="AA72" s="47"/>
      <c r="AB72" s="47"/>
      <c r="AC72" s="47"/>
      <c r="AD72" s="47"/>
      <c r="AE72" s="47"/>
      <c r="AF72" s="47"/>
      <c r="AG72" s="49"/>
      <c r="AH72" s="47"/>
      <c r="AI72" s="47"/>
      <c r="AJ72" s="47"/>
      <c r="AK72" s="47"/>
      <c r="AL72" s="47"/>
      <c r="AM72" s="47"/>
      <c r="AN72" s="47"/>
      <c r="AO72" s="47"/>
      <c r="AP72" s="47"/>
      <c r="AQ72" s="49"/>
      <c r="AR72" s="47"/>
      <c r="AS72" s="47"/>
      <c r="AT72" s="47"/>
      <c r="AU72" s="47"/>
      <c r="AV72" s="47"/>
      <c r="AW72" s="47"/>
      <c r="AX72" s="47"/>
      <c r="AY72" s="47"/>
      <c r="AZ72" s="47"/>
      <c r="BA72" s="50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3"/>
      <c r="BS72" s="53"/>
      <c r="BT72" s="53"/>
      <c r="BU72" s="53"/>
      <c r="BV72" s="47" t="str">
        <f>IFERROR(__xludf.DUMMYFUNCTION("IFERROR(INDEX(motors!E:E, MATCH(1, (motors!A:A=REGEXEXTRACT(A72,""^\S+""))*(motors!B:B=BU72), 0)), """")"),"")</f>
        <v/>
      </c>
      <c r="BW72" s="47" t="str">
        <f>IFERROR(__xludf.DUMMYFUNCTION("IFERROR(INDEX(motors!F:F, MATCH(1, (motors!A:A=REGEXEXTRACT(A72,""^\S+""))*(motors!B:B=BU72), 0)), """")"),"")</f>
        <v/>
      </c>
      <c r="BX72" s="51"/>
      <c r="BY72" s="53"/>
      <c r="BZ72" s="53"/>
      <c r="CA72" s="53" t="str">
        <f>IFERROR(__xludf.DUMMYFUNCTION("IFERROR(REGEXEXTRACT(BZ72, ""(?i)[A-Z]+-D-E-([^-]+)-E""), """")"),"")</f>
        <v/>
      </c>
    </row>
    <row r="73" ht="11.25" customHeight="1">
      <c r="A73" s="54" t="s">
        <v>636</v>
      </c>
      <c r="B73" s="55">
        <v>7.4117728E7</v>
      </c>
      <c r="C73" s="56">
        <v>0.0</v>
      </c>
      <c r="D73" s="56">
        <v>5.0</v>
      </c>
      <c r="E73" s="56">
        <v>7.0</v>
      </c>
      <c r="F73" s="56">
        <v>8.0</v>
      </c>
      <c r="G73" s="56">
        <v>9.0</v>
      </c>
      <c r="H73" s="56">
        <v>10.0</v>
      </c>
      <c r="I73" s="56">
        <v>11.0</v>
      </c>
      <c r="J73" s="56">
        <v>12.0</v>
      </c>
      <c r="K73" s="56">
        <v>13.0</v>
      </c>
      <c r="L73" s="56">
        <v>14.0</v>
      </c>
      <c r="M73" s="48">
        <v>13.75</v>
      </c>
      <c r="N73" s="56">
        <v>11.45</v>
      </c>
      <c r="O73" s="56">
        <v>10.4</v>
      </c>
      <c r="P73" s="56">
        <v>9.85</v>
      </c>
      <c r="Q73" s="56">
        <v>9.25</v>
      </c>
      <c r="R73" s="56">
        <v>8.65</v>
      </c>
      <c r="S73" s="56">
        <v>8.0</v>
      </c>
      <c r="T73" s="56">
        <v>7.35</v>
      </c>
      <c r="U73" s="56">
        <v>6.599464278</v>
      </c>
      <c r="V73" s="56">
        <v>5.82</v>
      </c>
      <c r="W73" s="49">
        <v>0.102</v>
      </c>
      <c r="X73" s="56">
        <v>0.242</v>
      </c>
      <c r="Y73" s="56">
        <v>0.2843</v>
      </c>
      <c r="Z73" s="56">
        <v>0.2993</v>
      </c>
      <c r="AA73" s="56">
        <v>0.3105</v>
      </c>
      <c r="AB73" s="56">
        <v>0.3178</v>
      </c>
      <c r="AC73" s="56">
        <v>0.3208</v>
      </c>
      <c r="AD73" s="56">
        <v>0.3192</v>
      </c>
      <c r="AE73" s="56">
        <v>0.3124</v>
      </c>
      <c r="AF73" s="56">
        <v>0.2996</v>
      </c>
      <c r="AG73" s="49">
        <v>0.427</v>
      </c>
      <c r="AH73" s="56">
        <v>0.948</v>
      </c>
      <c r="AI73" s="56">
        <v>1.241</v>
      </c>
      <c r="AJ73" s="56">
        <v>1.449</v>
      </c>
      <c r="AK73" s="56">
        <v>1.709</v>
      </c>
      <c r="AL73" s="56">
        <v>2.067</v>
      </c>
      <c r="AM73" s="56">
        <v>2.553</v>
      </c>
      <c r="AN73" s="56">
        <v>3.094</v>
      </c>
      <c r="AO73" s="56">
        <v>3.68</v>
      </c>
      <c r="AP73" s="56">
        <v>4.326</v>
      </c>
      <c r="AQ73" s="49">
        <v>0.0</v>
      </c>
      <c r="AR73" s="56">
        <v>54.0</v>
      </c>
      <c r="AS73" s="56">
        <v>63.51</v>
      </c>
      <c r="AT73" s="56">
        <v>66.12</v>
      </c>
      <c r="AU73" s="56">
        <v>68.06</v>
      </c>
      <c r="AV73" s="56">
        <v>69.23</v>
      </c>
      <c r="AW73" s="56">
        <v>69.5</v>
      </c>
      <c r="AX73" s="56">
        <v>68.65</v>
      </c>
      <c r="AY73" s="56">
        <v>66.3</v>
      </c>
      <c r="AZ73" s="56">
        <v>61.81</v>
      </c>
      <c r="BA73" s="50">
        <v>306.0</v>
      </c>
      <c r="BB73" s="57">
        <v>207.0</v>
      </c>
      <c r="BC73" s="57">
        <v>134.0</v>
      </c>
      <c r="BD73" s="57">
        <v>112.0</v>
      </c>
      <c r="BE73" s="57" t="s">
        <v>637</v>
      </c>
      <c r="BF73" s="57" t="s">
        <v>638</v>
      </c>
      <c r="BG73" s="57" t="s">
        <v>639</v>
      </c>
      <c r="BH73" s="57" t="s">
        <v>640</v>
      </c>
      <c r="BI73" s="57">
        <v>130.0</v>
      </c>
      <c r="BJ73" s="57">
        <v>195.0</v>
      </c>
      <c r="BK73" s="57">
        <v>280.0</v>
      </c>
      <c r="BL73" s="57">
        <v>215.0</v>
      </c>
      <c r="BM73" s="57">
        <v>284.0</v>
      </c>
      <c r="BN73" s="57">
        <v>80.0</v>
      </c>
      <c r="BO73" s="57">
        <v>34.0</v>
      </c>
      <c r="BP73" s="57" t="s">
        <v>641</v>
      </c>
      <c r="BQ73" s="57" t="s">
        <v>642</v>
      </c>
      <c r="BR73" s="52">
        <v>16.0</v>
      </c>
      <c r="BS73" s="59" t="s">
        <v>643</v>
      </c>
      <c r="BT73" s="59" t="s">
        <v>643</v>
      </c>
      <c r="BU73" s="58">
        <v>0.37</v>
      </c>
      <c r="BV73" s="47">
        <f>IFERROR(__xludf.DUMMYFUNCTION("IFERROR(INDEX(motors!E:E, MATCH(1, (motors!A:A=REGEXEXTRACT(A73,""^\S+""))*(motors!B:B=BU73), 0)), """")"),1.6)</f>
        <v>1.6</v>
      </c>
      <c r="BW73" s="47">
        <f>IFERROR(__xludf.DUMMYFUNCTION("IFERROR(INDEX(motors!F:F, MATCH(1, (motors!A:A=REGEXEXTRACT(A73,""^\S+""))*(motors!B:B=BU73), 0)), """")"),0.9)</f>
        <v>0.9</v>
      </c>
      <c r="BX73" s="57">
        <v>2.0</v>
      </c>
      <c r="BY73" s="58">
        <v>32.0</v>
      </c>
      <c r="BZ73" s="59" t="s">
        <v>644</v>
      </c>
      <c r="CA73" s="53" t="str">
        <f>IFERROR(__xludf.DUMMYFUNCTION("IFERROR(REGEXEXTRACT(BZ73, ""(?i)[A-Z]+-D-E-([^-]+)-E""), """")"),"HQQE")</f>
        <v>HQQE</v>
      </c>
    </row>
    <row r="74" ht="11.25" customHeight="1">
      <c r="A74" s="60" t="s">
        <v>645</v>
      </c>
      <c r="B74" s="61">
        <v>7.4117729E7</v>
      </c>
      <c r="C74" s="62">
        <v>0.0</v>
      </c>
      <c r="D74" s="62">
        <v>5.0</v>
      </c>
      <c r="E74" s="62">
        <v>7.0</v>
      </c>
      <c r="F74" s="62">
        <v>8.0</v>
      </c>
      <c r="G74" s="62">
        <v>9.0</v>
      </c>
      <c r="H74" s="62">
        <v>10.0</v>
      </c>
      <c r="I74" s="62">
        <v>11.0</v>
      </c>
      <c r="J74" s="62">
        <v>12.0</v>
      </c>
      <c r="K74" s="62">
        <v>13.0</v>
      </c>
      <c r="L74" s="62">
        <v>14.0</v>
      </c>
      <c r="M74" s="48">
        <v>24.0</v>
      </c>
      <c r="N74" s="62">
        <v>21.008928575</v>
      </c>
      <c r="O74" s="62">
        <v>19.187500007</v>
      </c>
      <c r="P74" s="62">
        <v>18.142857151999998</v>
      </c>
      <c r="Q74" s="62">
        <v>17.008928583</v>
      </c>
      <c r="R74" s="62">
        <v>15.785714299999999</v>
      </c>
      <c r="S74" s="62">
        <v>14.473214302999999</v>
      </c>
      <c r="T74" s="62">
        <v>13.071428592</v>
      </c>
      <c r="U74" s="62">
        <v>11.580357166999999</v>
      </c>
      <c r="V74" s="62">
        <v>10.000000028</v>
      </c>
      <c r="W74" s="62">
        <f>$W$73*2</f>
        <v>0.204</v>
      </c>
      <c r="X74" s="62">
        <v>0.484</v>
      </c>
      <c r="Y74" s="62">
        <v>0.5686</v>
      </c>
      <c r="Z74" s="62">
        <v>0.5986</v>
      </c>
      <c r="AA74" s="62">
        <v>0.621</v>
      </c>
      <c r="AB74" s="62">
        <v>0.6356</v>
      </c>
      <c r="AC74" s="62">
        <v>0.6416</v>
      </c>
      <c r="AD74" s="62">
        <v>0.6384</v>
      </c>
      <c r="AE74" s="62">
        <v>0.6248</v>
      </c>
      <c r="AF74" s="62">
        <v>0.5992</v>
      </c>
      <c r="AG74" s="62">
        <v>0.427</v>
      </c>
      <c r="AH74" s="62">
        <v>0.948</v>
      </c>
      <c r="AI74" s="62">
        <v>1.241</v>
      </c>
      <c r="AJ74" s="62">
        <v>1.449</v>
      </c>
      <c r="AK74" s="62">
        <v>1.709</v>
      </c>
      <c r="AL74" s="62">
        <v>2.067</v>
      </c>
      <c r="AM74" s="62">
        <v>2.553</v>
      </c>
      <c r="AN74" s="62">
        <v>3.094</v>
      </c>
      <c r="AO74" s="62">
        <v>3.68</v>
      </c>
      <c r="AP74" s="62">
        <v>4.326</v>
      </c>
      <c r="AQ74" s="62">
        <v>0.0</v>
      </c>
      <c r="AR74" s="62">
        <v>54.0</v>
      </c>
      <c r="AS74" s="62">
        <v>63.51</v>
      </c>
      <c r="AT74" s="62">
        <v>66.12</v>
      </c>
      <c r="AU74" s="62">
        <v>68.06</v>
      </c>
      <c r="AV74" s="62">
        <v>69.23</v>
      </c>
      <c r="AW74" s="62">
        <v>69.5</v>
      </c>
      <c r="AX74" s="62">
        <v>68.65</v>
      </c>
      <c r="AY74" s="62">
        <v>66.3</v>
      </c>
      <c r="AZ74" s="62">
        <v>61.81</v>
      </c>
      <c r="BA74" s="63">
        <v>336.0</v>
      </c>
      <c r="BB74" s="64">
        <v>207.0</v>
      </c>
      <c r="BC74" s="64">
        <v>134.0</v>
      </c>
      <c r="BD74" s="64">
        <v>112.0</v>
      </c>
      <c r="BE74" s="64" t="s">
        <v>637</v>
      </c>
      <c r="BF74" s="64" t="s">
        <v>638</v>
      </c>
      <c r="BG74" s="64" t="s">
        <v>639</v>
      </c>
      <c r="BH74" s="64" t="s">
        <v>640</v>
      </c>
      <c r="BI74" s="64">
        <v>130.0</v>
      </c>
      <c r="BJ74" s="64">
        <v>195.0</v>
      </c>
      <c r="BK74" s="64">
        <v>280.0</v>
      </c>
      <c r="BL74" s="64">
        <v>215.0</v>
      </c>
      <c r="BM74" s="64">
        <v>284.0</v>
      </c>
      <c r="BN74" s="64">
        <v>80.0</v>
      </c>
      <c r="BO74" s="64">
        <v>34.0</v>
      </c>
      <c r="BP74" s="64" t="s">
        <v>641</v>
      </c>
      <c r="BQ74" s="64" t="s">
        <v>642</v>
      </c>
      <c r="BR74" s="52">
        <v>16.0</v>
      </c>
      <c r="BS74" s="63" t="s">
        <v>643</v>
      </c>
      <c r="BT74" s="63" t="s">
        <v>643</v>
      </c>
      <c r="BU74" s="65">
        <v>0.75</v>
      </c>
      <c r="BV74" s="47">
        <f>IFERROR(__xludf.DUMMYFUNCTION("IFERROR(INDEX(motors!E:E, MATCH(1, (motors!A:A=REGEXEXTRACT(A74,""^\S+""))*(motors!B:B=BU74), 0)), """")"),3.0)</f>
        <v>3</v>
      </c>
      <c r="BW74" s="47">
        <f>IFERROR(__xludf.DUMMYFUNCTION("IFERROR(INDEX(motors!F:F, MATCH(1, (motors!A:A=REGEXEXTRACT(A74,""^\S+""))*(motors!B:B=BU74), 0)), """")"),1.7)</f>
        <v>1.7</v>
      </c>
      <c r="BX74" s="64">
        <v>2.0</v>
      </c>
      <c r="BY74" s="65">
        <v>34.0</v>
      </c>
      <c r="BZ74" s="63" t="s">
        <v>646</v>
      </c>
      <c r="CA74" s="53" t="str">
        <f>IFERROR(__xludf.DUMMYFUNCTION("IFERROR(REGEXEXTRACT(BZ74, ""(?i)[A-Z]+-D-E-([^-]+)-E""), """")"),"HQQE")</f>
        <v>HQQE</v>
      </c>
    </row>
    <row r="75" ht="11.25" customHeight="1">
      <c r="A75" s="61" t="s">
        <v>647</v>
      </c>
      <c r="B75" s="61">
        <v>7.411773E7</v>
      </c>
      <c r="C75" s="62">
        <v>0.0</v>
      </c>
      <c r="D75" s="62">
        <v>5.0</v>
      </c>
      <c r="E75" s="62">
        <v>7.0</v>
      </c>
      <c r="F75" s="62">
        <v>8.0</v>
      </c>
      <c r="G75" s="62">
        <v>9.0</v>
      </c>
      <c r="H75" s="62">
        <v>10.0</v>
      </c>
      <c r="I75" s="62">
        <v>11.0</v>
      </c>
      <c r="J75" s="62">
        <v>12.0</v>
      </c>
      <c r="K75" s="62">
        <v>13.0</v>
      </c>
      <c r="L75" s="62">
        <v>14.0</v>
      </c>
      <c r="M75" s="48">
        <v>33.87654321</v>
      </c>
      <c r="N75" s="62">
        <v>31.402171470000003</v>
      </c>
      <c r="O75" s="62">
        <v>29.43402765</v>
      </c>
      <c r="P75" s="62">
        <v>28.181657658</v>
      </c>
      <c r="Q75" s="62">
        <v>26.73087495</v>
      </c>
      <c r="R75" s="62">
        <v>25.06701903</v>
      </c>
      <c r="S75" s="62">
        <v>23.175429402000002</v>
      </c>
      <c r="T75" s="62">
        <v>21.04144557</v>
      </c>
      <c r="U75" s="62">
        <v>18.650407038</v>
      </c>
      <c r="V75" s="62">
        <v>15.987653310000002</v>
      </c>
      <c r="W75" s="62">
        <f>$W$73*3</f>
        <v>0.306</v>
      </c>
      <c r="X75" s="62">
        <v>0.726</v>
      </c>
      <c r="Y75" s="62">
        <v>0.8529</v>
      </c>
      <c r="Z75" s="62">
        <v>0.8979</v>
      </c>
      <c r="AA75" s="62">
        <v>0.9315</v>
      </c>
      <c r="AB75" s="62">
        <v>0.9534</v>
      </c>
      <c r="AC75" s="62">
        <v>0.9623999999999999</v>
      </c>
      <c r="AD75" s="62">
        <v>0.9576</v>
      </c>
      <c r="AE75" s="62">
        <v>0.9372</v>
      </c>
      <c r="AF75" s="62">
        <v>0.8987999999999999</v>
      </c>
      <c r="AG75" s="62">
        <v>0.427</v>
      </c>
      <c r="AH75" s="62">
        <v>0.948</v>
      </c>
      <c r="AI75" s="62">
        <v>1.241</v>
      </c>
      <c r="AJ75" s="62">
        <v>1.449</v>
      </c>
      <c r="AK75" s="62">
        <v>1.709</v>
      </c>
      <c r="AL75" s="62">
        <v>2.067</v>
      </c>
      <c r="AM75" s="62">
        <v>2.553</v>
      </c>
      <c r="AN75" s="62">
        <v>3.094</v>
      </c>
      <c r="AO75" s="62">
        <v>3.68</v>
      </c>
      <c r="AP75" s="62">
        <v>4.326</v>
      </c>
      <c r="AQ75" s="62">
        <v>0.0</v>
      </c>
      <c r="AR75" s="62">
        <v>54.0</v>
      </c>
      <c r="AS75" s="62">
        <v>63.51</v>
      </c>
      <c r="AT75" s="62">
        <v>66.12</v>
      </c>
      <c r="AU75" s="62">
        <v>68.06</v>
      </c>
      <c r="AV75" s="62">
        <v>69.23</v>
      </c>
      <c r="AW75" s="62">
        <v>69.5</v>
      </c>
      <c r="AX75" s="62">
        <v>68.65</v>
      </c>
      <c r="AY75" s="62">
        <v>66.3</v>
      </c>
      <c r="AZ75" s="62">
        <v>61.81</v>
      </c>
      <c r="BA75" s="63">
        <v>370.0</v>
      </c>
      <c r="BB75" s="64">
        <v>240.0</v>
      </c>
      <c r="BC75" s="64">
        <v>150.0</v>
      </c>
      <c r="BD75" s="64">
        <v>118.0</v>
      </c>
      <c r="BE75" s="64" t="s">
        <v>637</v>
      </c>
      <c r="BF75" s="64" t="s">
        <v>638</v>
      </c>
      <c r="BG75" s="64" t="s">
        <v>639</v>
      </c>
      <c r="BH75" s="64" t="s">
        <v>640</v>
      </c>
      <c r="BI75" s="64">
        <v>130.0</v>
      </c>
      <c r="BJ75" s="64">
        <v>195.0</v>
      </c>
      <c r="BK75" s="64">
        <v>280.0</v>
      </c>
      <c r="BL75" s="64">
        <v>215.0</v>
      </c>
      <c r="BM75" s="64">
        <v>284.0</v>
      </c>
      <c r="BN75" s="64">
        <v>80.0</v>
      </c>
      <c r="BO75" s="64">
        <v>34.0</v>
      </c>
      <c r="BP75" s="64" t="s">
        <v>641</v>
      </c>
      <c r="BQ75" s="64" t="s">
        <v>642</v>
      </c>
      <c r="BR75" s="52">
        <v>16.0</v>
      </c>
      <c r="BS75" s="63" t="s">
        <v>643</v>
      </c>
      <c r="BT75" s="63" t="s">
        <v>643</v>
      </c>
      <c r="BU75" s="65">
        <v>1.1</v>
      </c>
      <c r="BV75" s="47">
        <f>IFERROR(__xludf.DUMMYFUNCTION("IFERROR(INDEX(motors!E:E, MATCH(1, (motors!A:A=REGEXEXTRACT(A75,""^\S+""))*(motors!B:B=BU75), 0)), """")"),4.2)</f>
        <v>4.2</v>
      </c>
      <c r="BW75" s="47">
        <f>IFERROR(__xludf.DUMMYFUNCTION("IFERROR(INDEX(motors!F:F, MATCH(1, (motors!A:A=REGEXEXTRACT(A75,""^\S+""))*(motors!B:B=BU75), 0)), """")"),2.4)</f>
        <v>2.4</v>
      </c>
      <c r="BX75" s="64">
        <v>2.0</v>
      </c>
      <c r="BY75" s="65">
        <v>38.0</v>
      </c>
      <c r="BZ75" s="63" t="s">
        <v>648</v>
      </c>
      <c r="CA75" s="53" t="str">
        <f>IFERROR(__xludf.DUMMYFUNCTION("IFERROR(REGEXEXTRACT(BZ75, ""(?i)[A-Z]+-D-E-([^-]+)-E""), """")"),"HQQE")</f>
        <v>HQQE</v>
      </c>
    </row>
    <row r="76" ht="11.25" customHeight="1">
      <c r="A76" s="61" t="s">
        <v>649</v>
      </c>
      <c r="B76" s="61">
        <v>7.4117731E7</v>
      </c>
      <c r="C76" s="62">
        <v>0.0</v>
      </c>
      <c r="D76" s="62">
        <v>5.0</v>
      </c>
      <c r="E76" s="62">
        <v>7.0</v>
      </c>
      <c r="F76" s="62">
        <v>8.0</v>
      </c>
      <c r="G76" s="62">
        <v>9.0</v>
      </c>
      <c r="H76" s="62">
        <v>10.0</v>
      </c>
      <c r="I76" s="62">
        <v>11.0</v>
      </c>
      <c r="J76" s="62">
        <v>12.0</v>
      </c>
      <c r="K76" s="62">
        <v>13.0</v>
      </c>
      <c r="L76" s="62">
        <v>14.0</v>
      </c>
      <c r="M76" s="48">
        <v>43.862139918</v>
      </c>
      <c r="N76" s="62">
        <v>41.034483413</v>
      </c>
      <c r="O76" s="62">
        <v>38.403935243</v>
      </c>
      <c r="P76" s="62">
        <v>36.700470398</v>
      </c>
      <c r="Q76" s="62">
        <v>34.715920905</v>
      </c>
      <c r="R76" s="62">
        <v>32.433568658</v>
      </c>
      <c r="S76" s="62">
        <v>29.836695551</v>
      </c>
      <c r="T76" s="62">
        <v>26.908583477999997</v>
      </c>
      <c r="U76" s="62">
        <v>23.632514333</v>
      </c>
      <c r="V76" s="62">
        <v>19.99177001</v>
      </c>
      <c r="W76" s="62">
        <f>$W$73*4</f>
        <v>0.408</v>
      </c>
      <c r="X76" s="62">
        <v>0.968</v>
      </c>
      <c r="Y76" s="62">
        <v>1.1372</v>
      </c>
      <c r="Z76" s="62">
        <v>1.1972</v>
      </c>
      <c r="AA76" s="62">
        <v>1.242</v>
      </c>
      <c r="AB76" s="62">
        <v>1.2712</v>
      </c>
      <c r="AC76" s="62">
        <v>1.2832</v>
      </c>
      <c r="AD76" s="62">
        <v>1.2768</v>
      </c>
      <c r="AE76" s="62">
        <v>1.2496</v>
      </c>
      <c r="AF76" s="62">
        <v>1.1984</v>
      </c>
      <c r="AG76" s="62">
        <v>0.427</v>
      </c>
      <c r="AH76" s="62">
        <v>0.948</v>
      </c>
      <c r="AI76" s="62">
        <v>1.241</v>
      </c>
      <c r="AJ76" s="62">
        <v>1.449</v>
      </c>
      <c r="AK76" s="62">
        <v>1.709</v>
      </c>
      <c r="AL76" s="62">
        <v>2.067</v>
      </c>
      <c r="AM76" s="62">
        <v>2.553</v>
      </c>
      <c r="AN76" s="62">
        <v>3.094</v>
      </c>
      <c r="AO76" s="62">
        <v>3.68</v>
      </c>
      <c r="AP76" s="62">
        <v>4.326</v>
      </c>
      <c r="AQ76" s="62">
        <v>0.0</v>
      </c>
      <c r="AR76" s="62">
        <v>54.0</v>
      </c>
      <c r="AS76" s="62">
        <v>63.51</v>
      </c>
      <c r="AT76" s="62">
        <v>66.12</v>
      </c>
      <c r="AU76" s="62">
        <v>68.06</v>
      </c>
      <c r="AV76" s="62">
        <v>69.23</v>
      </c>
      <c r="AW76" s="62">
        <v>69.5</v>
      </c>
      <c r="AX76" s="62">
        <v>68.65</v>
      </c>
      <c r="AY76" s="62">
        <v>66.3</v>
      </c>
      <c r="AZ76" s="62">
        <v>61.81</v>
      </c>
      <c r="BA76" s="63">
        <v>400.0</v>
      </c>
      <c r="BB76" s="64">
        <v>240.0</v>
      </c>
      <c r="BC76" s="64">
        <v>150.0</v>
      </c>
      <c r="BD76" s="64">
        <v>118.0</v>
      </c>
      <c r="BE76" s="64" t="s">
        <v>637</v>
      </c>
      <c r="BF76" s="64" t="s">
        <v>638</v>
      </c>
      <c r="BG76" s="64" t="s">
        <v>639</v>
      </c>
      <c r="BH76" s="64" t="s">
        <v>640</v>
      </c>
      <c r="BI76" s="64">
        <v>130.0</v>
      </c>
      <c r="BJ76" s="64">
        <v>195.0</v>
      </c>
      <c r="BK76" s="64">
        <v>280.0</v>
      </c>
      <c r="BL76" s="64">
        <v>215.0</v>
      </c>
      <c r="BM76" s="64">
        <v>284.0</v>
      </c>
      <c r="BN76" s="64">
        <v>80.0</v>
      </c>
      <c r="BO76" s="64">
        <v>34.0</v>
      </c>
      <c r="BP76" s="64" t="s">
        <v>641</v>
      </c>
      <c r="BQ76" s="64" t="s">
        <v>642</v>
      </c>
      <c r="BR76" s="52">
        <v>16.0</v>
      </c>
      <c r="BS76" s="63" t="s">
        <v>643</v>
      </c>
      <c r="BT76" s="63" t="s">
        <v>643</v>
      </c>
      <c r="BU76" s="65">
        <v>1.5</v>
      </c>
      <c r="BV76" s="47">
        <f>IFERROR(__xludf.DUMMYFUNCTION("IFERROR(INDEX(motors!E:E, MATCH(1, (motors!A:A=REGEXEXTRACT(A76,""^\S+""))*(motors!B:B=BU76), 0)), """")"),5.6)</f>
        <v>5.6</v>
      </c>
      <c r="BW76" s="47">
        <f>IFERROR(__xludf.DUMMYFUNCTION("IFERROR(INDEX(motors!F:F, MATCH(1, (motors!A:A=REGEXEXTRACT(A76,""^\S+""))*(motors!B:B=BU76), 0)), """")"),3.2)</f>
        <v>3.2</v>
      </c>
      <c r="BX76" s="64">
        <v>2.0</v>
      </c>
      <c r="BY76" s="65">
        <v>46.0</v>
      </c>
      <c r="BZ76" s="63" t="s">
        <v>650</v>
      </c>
      <c r="CA76" s="53" t="str">
        <f>IFERROR(__xludf.DUMMYFUNCTION("IFERROR(REGEXEXTRACT(BZ76, ""(?i)[A-Z]+-D-E-([^-]+)-E""), """")"),"HQQE")</f>
        <v>HQQE</v>
      </c>
    </row>
    <row r="77" ht="11.25" customHeight="1">
      <c r="A77" s="55" t="s">
        <v>651</v>
      </c>
      <c r="B77" s="55">
        <v>7.4117754E7</v>
      </c>
      <c r="C77" s="56">
        <v>0.0</v>
      </c>
      <c r="D77" s="56">
        <v>5.0</v>
      </c>
      <c r="E77" s="56">
        <v>7.0</v>
      </c>
      <c r="F77" s="56">
        <v>8.0</v>
      </c>
      <c r="G77" s="56">
        <v>9.0</v>
      </c>
      <c r="H77" s="56">
        <v>10.0</v>
      </c>
      <c r="I77" s="56">
        <v>11.0</v>
      </c>
      <c r="J77" s="56">
        <v>12.0</v>
      </c>
      <c r="K77" s="56">
        <v>13.0</v>
      </c>
      <c r="L77" s="56">
        <v>14.0</v>
      </c>
      <c r="M77" s="48">
        <v>54.0288065844</v>
      </c>
      <c r="N77" s="56">
        <v>49.6684119604</v>
      </c>
      <c r="O77" s="56">
        <v>46.2164351756</v>
      </c>
      <c r="P77" s="56">
        <v>44.057613154</v>
      </c>
      <c r="Q77" s="56">
        <v>41.587944570000005</v>
      </c>
      <c r="R77" s="56">
        <v>38.7907113164</v>
      </c>
      <c r="S77" s="56">
        <v>35.649195286</v>
      </c>
      <c r="T77" s="56">
        <v>32.146678371600004</v>
      </c>
      <c r="U77" s="56">
        <v>28.266442466</v>
      </c>
      <c r="V77" s="56">
        <v>23.991769462</v>
      </c>
      <c r="W77" s="49">
        <f>$W$73*5</f>
        <v>0.51</v>
      </c>
      <c r="X77" s="56">
        <v>1.21</v>
      </c>
      <c r="Y77" s="56">
        <v>1.4215</v>
      </c>
      <c r="Z77" s="56">
        <v>1.4965000000000002</v>
      </c>
      <c r="AA77" s="56">
        <v>1.5525</v>
      </c>
      <c r="AB77" s="56">
        <v>1.5890000000000002</v>
      </c>
      <c r="AC77" s="56">
        <v>1.6039999999999999</v>
      </c>
      <c r="AD77" s="56">
        <v>1.5959999999999999</v>
      </c>
      <c r="AE77" s="56">
        <v>1.562</v>
      </c>
      <c r="AF77" s="56">
        <v>1.4979999999999998</v>
      </c>
      <c r="AG77" s="49">
        <v>0.427</v>
      </c>
      <c r="AH77" s="56">
        <v>0.948</v>
      </c>
      <c r="AI77" s="56">
        <v>1.241</v>
      </c>
      <c r="AJ77" s="56">
        <v>1.449</v>
      </c>
      <c r="AK77" s="56">
        <v>1.709</v>
      </c>
      <c r="AL77" s="56">
        <v>2.067</v>
      </c>
      <c r="AM77" s="56">
        <v>2.553</v>
      </c>
      <c r="AN77" s="56">
        <v>3.094</v>
      </c>
      <c r="AO77" s="56">
        <v>3.68</v>
      </c>
      <c r="AP77" s="56">
        <v>4.326</v>
      </c>
      <c r="AQ77" s="49">
        <v>0.0</v>
      </c>
      <c r="AR77" s="56">
        <v>54.0</v>
      </c>
      <c r="AS77" s="56">
        <v>63.51</v>
      </c>
      <c r="AT77" s="56">
        <v>66.12</v>
      </c>
      <c r="AU77" s="56">
        <v>68.06</v>
      </c>
      <c r="AV77" s="56">
        <v>69.23</v>
      </c>
      <c r="AW77" s="56">
        <v>69.5</v>
      </c>
      <c r="AX77" s="56">
        <v>68.65</v>
      </c>
      <c r="AY77" s="56">
        <v>66.3</v>
      </c>
      <c r="AZ77" s="56">
        <v>61.81</v>
      </c>
      <c r="BA77" s="50">
        <v>442.0</v>
      </c>
      <c r="BB77" s="57">
        <v>280.0</v>
      </c>
      <c r="BC77" s="57">
        <v>168.0</v>
      </c>
      <c r="BD77" s="57">
        <v>127.0</v>
      </c>
      <c r="BE77" s="57" t="s">
        <v>637</v>
      </c>
      <c r="BF77" s="57" t="s">
        <v>638</v>
      </c>
      <c r="BG77" s="57" t="s">
        <v>639</v>
      </c>
      <c r="BH77" s="57" t="s">
        <v>640</v>
      </c>
      <c r="BI77" s="57">
        <v>130.0</v>
      </c>
      <c r="BJ77" s="57">
        <v>195.0</v>
      </c>
      <c r="BK77" s="57">
        <v>280.0</v>
      </c>
      <c r="BL77" s="57">
        <v>215.0</v>
      </c>
      <c r="BM77" s="57">
        <v>284.0</v>
      </c>
      <c r="BN77" s="57">
        <v>80.0</v>
      </c>
      <c r="BO77" s="57">
        <v>34.0</v>
      </c>
      <c r="BP77" s="57" t="s">
        <v>641</v>
      </c>
      <c r="BQ77" s="57" t="s">
        <v>642</v>
      </c>
      <c r="BR77" s="52">
        <v>16.0</v>
      </c>
      <c r="BS77" s="59" t="s">
        <v>643</v>
      </c>
      <c r="BT77" s="59" t="s">
        <v>643</v>
      </c>
      <c r="BU77" s="58">
        <v>2.2</v>
      </c>
      <c r="BV77" s="47">
        <f>IFERROR(__xludf.DUMMYFUNCTION("IFERROR(INDEX(motors!E:E, MATCH(1, (motors!A:A=REGEXEXTRACT(A77,""^\S+""))*(motors!B:B=BU77), 0)), """")"),7.9)</f>
        <v>7.9</v>
      </c>
      <c r="BW77" s="47">
        <f>IFERROR(__xludf.DUMMYFUNCTION("IFERROR(INDEX(motors!F:F, MATCH(1, (motors!A:A=REGEXEXTRACT(A77,""^\S+""))*(motors!B:B=BU77), 0)), """")"),4.6)</f>
        <v>4.6</v>
      </c>
      <c r="BX77" s="57">
        <v>2.0</v>
      </c>
      <c r="BY77" s="58">
        <v>47.0</v>
      </c>
      <c r="BZ77" s="59" t="s">
        <v>652</v>
      </c>
      <c r="CA77" s="53" t="str">
        <f>IFERROR(__xludf.DUMMYFUNCTION("IFERROR(REGEXEXTRACT(BZ77, ""(?i)[A-Z]+-D-E-([^-]+)-E""), """")"),"HQQE")</f>
        <v>HQQE</v>
      </c>
    </row>
    <row r="78" ht="11.25" customHeight="1">
      <c r="A78" s="61" t="s">
        <v>653</v>
      </c>
      <c r="B78" s="61">
        <v>7.4117743E7</v>
      </c>
      <c r="C78" s="62">
        <v>0.0</v>
      </c>
      <c r="D78" s="62">
        <v>5.0</v>
      </c>
      <c r="E78" s="62">
        <v>7.0</v>
      </c>
      <c r="F78" s="62">
        <v>8.0</v>
      </c>
      <c r="G78" s="62">
        <v>9.0</v>
      </c>
      <c r="H78" s="62">
        <v>10.0</v>
      </c>
      <c r="I78" s="62">
        <v>11.0</v>
      </c>
      <c r="J78" s="62">
        <v>12.0</v>
      </c>
      <c r="K78" s="62">
        <v>13.0</v>
      </c>
      <c r="L78" s="62">
        <v>14.0</v>
      </c>
      <c r="M78" s="48">
        <v>63.6440329218</v>
      </c>
      <c r="N78" s="62">
        <v>59.3643812408</v>
      </c>
      <c r="O78" s="62">
        <v>55.3634259116</v>
      </c>
      <c r="P78" s="62">
        <v>52.7880658226</v>
      </c>
      <c r="Q78" s="62">
        <v>49.8013300704</v>
      </c>
      <c r="R78" s="62">
        <v>46.3821281198</v>
      </c>
      <c r="S78" s="62">
        <v>42.5093694356</v>
      </c>
      <c r="T78" s="62">
        <v>38.1619634826</v>
      </c>
      <c r="U78" s="62">
        <v>33.318819725599994</v>
      </c>
      <c r="V78" s="62">
        <v>27.958847629399997</v>
      </c>
      <c r="W78" s="62">
        <f>$W$73*6</f>
        <v>0.612</v>
      </c>
      <c r="X78" s="62">
        <v>1.452</v>
      </c>
      <c r="Y78" s="62">
        <v>1.7058</v>
      </c>
      <c r="Z78" s="62">
        <v>1.7958</v>
      </c>
      <c r="AA78" s="62">
        <v>1.863</v>
      </c>
      <c r="AB78" s="62">
        <v>1.9068</v>
      </c>
      <c r="AC78" s="62">
        <v>1.9247999999999998</v>
      </c>
      <c r="AD78" s="62">
        <v>1.9152</v>
      </c>
      <c r="AE78" s="62">
        <v>1.8744</v>
      </c>
      <c r="AF78" s="62">
        <v>1.7975999999999999</v>
      </c>
      <c r="AG78" s="62">
        <v>0.427</v>
      </c>
      <c r="AH78" s="62">
        <v>0.948</v>
      </c>
      <c r="AI78" s="62">
        <v>1.241</v>
      </c>
      <c r="AJ78" s="62">
        <v>1.449</v>
      </c>
      <c r="AK78" s="62">
        <v>1.709</v>
      </c>
      <c r="AL78" s="62">
        <v>2.067</v>
      </c>
      <c r="AM78" s="62">
        <v>2.553</v>
      </c>
      <c r="AN78" s="62">
        <v>3.094</v>
      </c>
      <c r="AO78" s="62">
        <v>3.68</v>
      </c>
      <c r="AP78" s="62">
        <v>4.326</v>
      </c>
      <c r="AQ78" s="62">
        <v>0.0</v>
      </c>
      <c r="AR78" s="62">
        <v>54.0</v>
      </c>
      <c r="AS78" s="62">
        <v>63.51</v>
      </c>
      <c r="AT78" s="62">
        <v>66.12</v>
      </c>
      <c r="AU78" s="62">
        <v>68.06</v>
      </c>
      <c r="AV78" s="62">
        <v>69.23</v>
      </c>
      <c r="AW78" s="62">
        <v>69.5</v>
      </c>
      <c r="AX78" s="62">
        <v>68.65</v>
      </c>
      <c r="AY78" s="62">
        <v>66.3</v>
      </c>
      <c r="AZ78" s="62">
        <v>61.81</v>
      </c>
      <c r="BA78" s="63">
        <v>472.0</v>
      </c>
      <c r="BB78" s="64">
        <v>280.0</v>
      </c>
      <c r="BC78" s="64">
        <v>168.0</v>
      </c>
      <c r="BD78" s="64">
        <v>127.0</v>
      </c>
      <c r="BE78" s="64" t="s">
        <v>637</v>
      </c>
      <c r="BF78" s="64" t="s">
        <v>638</v>
      </c>
      <c r="BG78" s="64" t="s">
        <v>639</v>
      </c>
      <c r="BH78" s="64" t="s">
        <v>640</v>
      </c>
      <c r="BI78" s="64">
        <v>130.0</v>
      </c>
      <c r="BJ78" s="64">
        <v>195.0</v>
      </c>
      <c r="BK78" s="64">
        <v>280.0</v>
      </c>
      <c r="BL78" s="64">
        <v>215.0</v>
      </c>
      <c r="BM78" s="64">
        <v>284.0</v>
      </c>
      <c r="BN78" s="64">
        <v>80.0</v>
      </c>
      <c r="BO78" s="64">
        <v>34.0</v>
      </c>
      <c r="BP78" s="64" t="s">
        <v>641</v>
      </c>
      <c r="BQ78" s="64" t="s">
        <v>642</v>
      </c>
      <c r="BR78" s="52">
        <v>16.0</v>
      </c>
      <c r="BS78" s="63" t="s">
        <v>643</v>
      </c>
      <c r="BT78" s="63" t="s">
        <v>643</v>
      </c>
      <c r="BU78" s="65">
        <v>2.2</v>
      </c>
      <c r="BV78" s="47">
        <f>IFERROR(__xludf.DUMMYFUNCTION("IFERROR(INDEX(motors!E:E, MATCH(1, (motors!A:A=REGEXEXTRACT(A78,""^\S+""))*(motors!B:B=BU78), 0)), """")"),7.9)</f>
        <v>7.9</v>
      </c>
      <c r="BW78" s="47">
        <f>IFERROR(__xludf.DUMMYFUNCTION("IFERROR(INDEX(motors!F:F, MATCH(1, (motors!A:A=REGEXEXTRACT(A78,""^\S+""))*(motors!B:B=BU78), 0)), """")"),4.6)</f>
        <v>4.6</v>
      </c>
      <c r="BX78" s="64">
        <v>2.0</v>
      </c>
      <c r="BY78" s="65">
        <v>48.0</v>
      </c>
      <c r="BZ78" s="63" t="s">
        <v>654</v>
      </c>
      <c r="CA78" s="53" t="str">
        <f>IFERROR(__xludf.DUMMYFUNCTION("IFERROR(REGEXEXTRACT(BZ78, ""(?i)[A-Z]+-D-E-([^-]+)-E""), """")"),"HQQE")</f>
        <v>HQQE</v>
      </c>
    </row>
    <row r="79" ht="11.25" customHeight="1">
      <c r="A79" s="55" t="s">
        <v>655</v>
      </c>
      <c r="B79" s="55">
        <v>7.4117744E7</v>
      </c>
      <c r="C79" s="56">
        <v>0.0</v>
      </c>
      <c r="D79" s="56">
        <v>5.0</v>
      </c>
      <c r="E79" s="56">
        <v>7.0</v>
      </c>
      <c r="F79" s="56">
        <v>8.0</v>
      </c>
      <c r="G79" s="56">
        <v>9.0</v>
      </c>
      <c r="H79" s="56">
        <v>10.0</v>
      </c>
      <c r="I79" s="56">
        <v>11.0</v>
      </c>
      <c r="J79" s="56">
        <v>12.0</v>
      </c>
      <c r="K79" s="56">
        <v>13.0</v>
      </c>
      <c r="L79" s="56">
        <v>14.0</v>
      </c>
      <c r="M79" s="48">
        <v>74.7160493827</v>
      </c>
      <c r="N79" s="56">
        <v>69.4349647297</v>
      </c>
      <c r="O79" s="56">
        <v>64.3888888971</v>
      </c>
      <c r="P79" s="56">
        <v>61.1940035395</v>
      </c>
      <c r="Q79" s="56">
        <v>57.5368165957</v>
      </c>
      <c r="R79" s="56">
        <v>53.40652559670001</v>
      </c>
      <c r="S79" s="56">
        <v>48.79232807350001</v>
      </c>
      <c r="T79" s="56">
        <v>43.683421557100004</v>
      </c>
      <c r="U79" s="56">
        <v>38.06900357850001</v>
      </c>
      <c r="V79" s="56">
        <v>31.93827166870001</v>
      </c>
      <c r="W79" s="49">
        <f>$W$73*7</f>
        <v>0.714</v>
      </c>
      <c r="X79" s="56">
        <v>1.694</v>
      </c>
      <c r="Y79" s="56">
        <v>1.9901</v>
      </c>
      <c r="Z79" s="56">
        <v>2.0951</v>
      </c>
      <c r="AA79" s="56">
        <v>2.1734999999999998</v>
      </c>
      <c r="AB79" s="56">
        <v>2.2246</v>
      </c>
      <c r="AC79" s="56">
        <v>2.2455999999999996</v>
      </c>
      <c r="AD79" s="56">
        <v>2.2344</v>
      </c>
      <c r="AE79" s="56">
        <v>2.1868</v>
      </c>
      <c r="AF79" s="56">
        <v>2.0972</v>
      </c>
      <c r="AG79" s="49">
        <v>0.427</v>
      </c>
      <c r="AH79" s="56">
        <v>0.948</v>
      </c>
      <c r="AI79" s="56">
        <v>1.241</v>
      </c>
      <c r="AJ79" s="56">
        <v>1.449</v>
      </c>
      <c r="AK79" s="56">
        <v>1.709</v>
      </c>
      <c r="AL79" s="56">
        <v>2.067</v>
      </c>
      <c r="AM79" s="56">
        <v>2.553</v>
      </c>
      <c r="AN79" s="56">
        <v>3.094</v>
      </c>
      <c r="AO79" s="56">
        <v>3.68</v>
      </c>
      <c r="AP79" s="56">
        <v>4.326</v>
      </c>
      <c r="AQ79" s="49">
        <v>0.0</v>
      </c>
      <c r="AR79" s="56">
        <v>54.0</v>
      </c>
      <c r="AS79" s="56">
        <v>63.51</v>
      </c>
      <c r="AT79" s="56">
        <v>66.12</v>
      </c>
      <c r="AU79" s="56">
        <v>68.06</v>
      </c>
      <c r="AV79" s="56">
        <v>69.23</v>
      </c>
      <c r="AW79" s="56">
        <v>69.5</v>
      </c>
      <c r="AX79" s="56">
        <v>68.65</v>
      </c>
      <c r="AY79" s="56">
        <v>66.3</v>
      </c>
      <c r="AZ79" s="56">
        <v>61.81</v>
      </c>
      <c r="BA79" s="50">
        <v>502.0</v>
      </c>
      <c r="BB79" s="57">
        <v>300.0</v>
      </c>
      <c r="BC79" s="57">
        <v>168.0</v>
      </c>
      <c r="BD79" s="57">
        <v>127.0</v>
      </c>
      <c r="BE79" s="57" t="s">
        <v>637</v>
      </c>
      <c r="BF79" s="57" t="s">
        <v>638</v>
      </c>
      <c r="BG79" s="57" t="s">
        <v>639</v>
      </c>
      <c r="BH79" s="57" t="s">
        <v>640</v>
      </c>
      <c r="BI79" s="57">
        <v>130.0</v>
      </c>
      <c r="BJ79" s="57">
        <v>195.0</v>
      </c>
      <c r="BK79" s="57">
        <v>280.0</v>
      </c>
      <c r="BL79" s="57">
        <v>215.0</v>
      </c>
      <c r="BM79" s="57">
        <v>284.0</v>
      </c>
      <c r="BN79" s="57">
        <v>80.0</v>
      </c>
      <c r="BO79" s="57">
        <v>34.0</v>
      </c>
      <c r="BP79" s="57" t="s">
        <v>641</v>
      </c>
      <c r="BQ79" s="57" t="s">
        <v>642</v>
      </c>
      <c r="BR79" s="52">
        <v>16.0</v>
      </c>
      <c r="BS79" s="59" t="s">
        <v>643</v>
      </c>
      <c r="BT79" s="59" t="s">
        <v>643</v>
      </c>
      <c r="BU79" s="58">
        <v>3.0</v>
      </c>
      <c r="BV79" s="47">
        <f>IFERROR(__xludf.DUMMYFUNCTION("IFERROR(INDEX(motors!E:E, MATCH(1, (motors!A:A=REGEXEXTRACT(A79,""^\S+""))*(motors!B:B=BU79), 0)), """")"),10.4)</f>
        <v>10.4</v>
      </c>
      <c r="BW79" s="47">
        <f>IFERROR(__xludf.DUMMYFUNCTION("IFERROR(INDEX(motors!F:F, MATCH(1, (motors!A:A=REGEXEXTRACT(A79,""^\S+""))*(motors!B:B=BU79), 0)), """")"),6.0)</f>
        <v>6</v>
      </c>
      <c r="BX79" s="57">
        <v>2.0</v>
      </c>
      <c r="BY79" s="58">
        <v>54.0</v>
      </c>
      <c r="BZ79" s="59" t="s">
        <v>656</v>
      </c>
      <c r="CA79" s="53" t="str">
        <f>IFERROR(__xludf.DUMMYFUNCTION("IFERROR(REGEXEXTRACT(BZ79, ""(?i)[A-Z]+-D-E-([^-]+)-E""), """")"),"HQQE")</f>
        <v>HQQE</v>
      </c>
    </row>
    <row r="80" ht="11.25" customHeight="1">
      <c r="A80" s="46" t="s">
        <v>657</v>
      </c>
      <c r="B80" s="46">
        <v>7.4117745E7</v>
      </c>
      <c r="C80" s="47">
        <v>0.0</v>
      </c>
      <c r="D80" s="47">
        <v>5.0</v>
      </c>
      <c r="E80" s="47">
        <v>7.0</v>
      </c>
      <c r="F80" s="47">
        <v>8.0</v>
      </c>
      <c r="G80" s="47">
        <v>9.0</v>
      </c>
      <c r="H80" s="47">
        <v>10.0</v>
      </c>
      <c r="I80" s="47">
        <v>11.0</v>
      </c>
      <c r="J80" s="47">
        <v>12.0</v>
      </c>
      <c r="K80" s="47">
        <v>13.0</v>
      </c>
      <c r="L80" s="47">
        <v>14.0</v>
      </c>
      <c r="M80" s="48">
        <v>83.7674897119</v>
      </c>
      <c r="N80" s="47">
        <v>79.5291740209</v>
      </c>
      <c r="O80" s="47">
        <v>74.3981481639</v>
      </c>
      <c r="P80" s="47">
        <v>70.9873603999</v>
      </c>
      <c r="Q80" s="47">
        <v>66.9767049133</v>
      </c>
      <c r="R80" s="47">
        <v>62.3389183299</v>
      </c>
      <c r="S80" s="47">
        <v>57.04673727549999</v>
      </c>
      <c r="T80" s="47">
        <v>51.072898375899996</v>
      </c>
      <c r="U80" s="47">
        <v>44.3901382569</v>
      </c>
      <c r="V80" s="47">
        <v>36.97119354429999</v>
      </c>
      <c r="W80" s="49">
        <f>$W$73*8</f>
        <v>0.816</v>
      </c>
      <c r="X80" s="47">
        <v>1.936</v>
      </c>
      <c r="Y80" s="47">
        <v>2.2744</v>
      </c>
      <c r="Z80" s="47">
        <v>2.3944</v>
      </c>
      <c r="AA80" s="47">
        <v>2.484</v>
      </c>
      <c r="AB80" s="47">
        <v>2.5424</v>
      </c>
      <c r="AC80" s="47">
        <v>2.5664</v>
      </c>
      <c r="AD80" s="47">
        <v>2.5536</v>
      </c>
      <c r="AE80" s="47">
        <v>2.4992</v>
      </c>
      <c r="AF80" s="47">
        <v>2.3968</v>
      </c>
      <c r="AG80" s="49">
        <v>0.427</v>
      </c>
      <c r="AH80" s="47">
        <v>0.948</v>
      </c>
      <c r="AI80" s="47">
        <v>1.241</v>
      </c>
      <c r="AJ80" s="47">
        <v>1.449</v>
      </c>
      <c r="AK80" s="47">
        <v>1.709</v>
      </c>
      <c r="AL80" s="47">
        <v>2.067</v>
      </c>
      <c r="AM80" s="47">
        <v>2.553</v>
      </c>
      <c r="AN80" s="47">
        <v>3.094</v>
      </c>
      <c r="AO80" s="47">
        <v>3.68</v>
      </c>
      <c r="AP80" s="47">
        <v>4.326</v>
      </c>
      <c r="AQ80" s="49">
        <v>0.0</v>
      </c>
      <c r="AR80" s="47">
        <v>54.0</v>
      </c>
      <c r="AS80" s="47">
        <v>63.51</v>
      </c>
      <c r="AT80" s="47">
        <v>66.12</v>
      </c>
      <c r="AU80" s="47">
        <v>68.06</v>
      </c>
      <c r="AV80" s="47">
        <v>69.23</v>
      </c>
      <c r="AW80" s="47">
        <v>69.5</v>
      </c>
      <c r="AX80" s="47">
        <v>68.65</v>
      </c>
      <c r="AY80" s="47">
        <v>66.3</v>
      </c>
      <c r="AZ80" s="47">
        <v>61.81</v>
      </c>
      <c r="BA80" s="50">
        <v>532.0</v>
      </c>
      <c r="BB80" s="51">
        <v>300.0</v>
      </c>
      <c r="BC80" s="51">
        <v>168.0</v>
      </c>
      <c r="BD80" s="51">
        <v>127.0</v>
      </c>
      <c r="BE80" s="51" t="s">
        <v>637</v>
      </c>
      <c r="BF80" s="51" t="s">
        <v>638</v>
      </c>
      <c r="BG80" s="51" t="s">
        <v>639</v>
      </c>
      <c r="BH80" s="51" t="s">
        <v>640</v>
      </c>
      <c r="BI80" s="51">
        <v>130.0</v>
      </c>
      <c r="BJ80" s="51">
        <v>195.0</v>
      </c>
      <c r="BK80" s="51">
        <v>280.0</v>
      </c>
      <c r="BL80" s="51">
        <v>215.0</v>
      </c>
      <c r="BM80" s="51">
        <v>284.0</v>
      </c>
      <c r="BN80" s="51">
        <v>80.0</v>
      </c>
      <c r="BO80" s="51">
        <v>34.0</v>
      </c>
      <c r="BP80" s="51" t="s">
        <v>641</v>
      </c>
      <c r="BQ80" s="51" t="s">
        <v>642</v>
      </c>
      <c r="BR80" s="52">
        <v>16.0</v>
      </c>
      <c r="BS80" s="53" t="s">
        <v>643</v>
      </c>
      <c r="BT80" s="53" t="s">
        <v>643</v>
      </c>
      <c r="BU80" s="52">
        <v>3.0</v>
      </c>
      <c r="BV80" s="47">
        <f>IFERROR(__xludf.DUMMYFUNCTION("IFERROR(INDEX(motors!E:E, MATCH(1, (motors!A:A=REGEXEXTRACT(A80,""^\S+""))*(motors!B:B=BU80), 0)), """")"),10.4)</f>
        <v>10.4</v>
      </c>
      <c r="BW80" s="47">
        <f>IFERROR(__xludf.DUMMYFUNCTION("IFERROR(INDEX(motors!F:F, MATCH(1, (motors!A:A=REGEXEXTRACT(A80,""^\S+""))*(motors!B:B=BU80), 0)), """")"),6.0)</f>
        <v>6</v>
      </c>
      <c r="BX80" s="51">
        <v>2.0</v>
      </c>
      <c r="BY80" s="52">
        <v>55.0</v>
      </c>
      <c r="BZ80" s="53" t="s">
        <v>658</v>
      </c>
      <c r="CA80" s="53" t="str">
        <f>IFERROR(__xludf.DUMMYFUNCTION("IFERROR(REGEXEXTRACT(BZ80, ""(?i)[A-Z]+-D-E-([^-]+)-E""), """")"),"HQQE")</f>
        <v>HQQE</v>
      </c>
    </row>
    <row r="81" ht="11.25" customHeight="1">
      <c r="A81" s="61" t="s">
        <v>659</v>
      </c>
      <c r="B81" s="61">
        <v>7.4117746E7</v>
      </c>
      <c r="C81" s="62">
        <v>0.0</v>
      </c>
      <c r="D81" s="62">
        <v>5.0</v>
      </c>
      <c r="E81" s="62">
        <v>7.0</v>
      </c>
      <c r="F81" s="62">
        <v>8.0</v>
      </c>
      <c r="G81" s="62">
        <v>9.0</v>
      </c>
      <c r="H81" s="62">
        <v>10.0</v>
      </c>
      <c r="I81" s="62">
        <v>11.0</v>
      </c>
      <c r="J81" s="62">
        <v>12.0</v>
      </c>
      <c r="K81" s="62">
        <v>13.0</v>
      </c>
      <c r="L81" s="62">
        <v>14.0</v>
      </c>
      <c r="M81" s="48">
        <v>94.8477366255</v>
      </c>
      <c r="N81" s="62">
        <v>89.14447383400001</v>
      </c>
      <c r="O81" s="62">
        <v>84.09259257900001</v>
      </c>
      <c r="P81" s="62">
        <v>80.64785418310001</v>
      </c>
      <c r="Q81" s="62">
        <v>76.4822163144</v>
      </c>
      <c r="R81" s="62">
        <v>71.5144032525</v>
      </c>
      <c r="S81" s="62">
        <v>65.663139277</v>
      </c>
      <c r="T81" s="62">
        <v>58.84714866750001</v>
      </c>
      <c r="U81" s="62">
        <v>50.98515570360001</v>
      </c>
      <c r="V81" s="62">
        <v>41.99588466490001</v>
      </c>
      <c r="W81" s="62">
        <f>$W$73*9</f>
        <v>0.918</v>
      </c>
      <c r="X81" s="62">
        <v>2.178</v>
      </c>
      <c r="Y81" s="62">
        <v>2.5587</v>
      </c>
      <c r="Z81" s="62">
        <v>2.6937</v>
      </c>
      <c r="AA81" s="62">
        <v>2.7945</v>
      </c>
      <c r="AB81" s="62">
        <v>2.8602000000000003</v>
      </c>
      <c r="AC81" s="62">
        <v>2.8872</v>
      </c>
      <c r="AD81" s="62">
        <v>2.8728</v>
      </c>
      <c r="AE81" s="62">
        <v>2.8116000000000003</v>
      </c>
      <c r="AF81" s="62">
        <v>2.6963999999999997</v>
      </c>
      <c r="AG81" s="62">
        <v>0.427</v>
      </c>
      <c r="AH81" s="62">
        <v>0.948</v>
      </c>
      <c r="AI81" s="62">
        <v>1.241</v>
      </c>
      <c r="AJ81" s="62">
        <v>1.449</v>
      </c>
      <c r="AK81" s="62">
        <v>1.709</v>
      </c>
      <c r="AL81" s="62">
        <v>2.067</v>
      </c>
      <c r="AM81" s="62">
        <v>2.553</v>
      </c>
      <c r="AN81" s="62">
        <v>3.094</v>
      </c>
      <c r="AO81" s="62">
        <v>3.68</v>
      </c>
      <c r="AP81" s="62">
        <v>4.326</v>
      </c>
      <c r="AQ81" s="62">
        <v>0.0</v>
      </c>
      <c r="AR81" s="62">
        <v>54.0</v>
      </c>
      <c r="AS81" s="62">
        <v>63.51</v>
      </c>
      <c r="AT81" s="62">
        <v>66.12</v>
      </c>
      <c r="AU81" s="62">
        <v>68.06</v>
      </c>
      <c r="AV81" s="62">
        <v>69.23</v>
      </c>
      <c r="AW81" s="62">
        <v>69.5</v>
      </c>
      <c r="AX81" s="62">
        <v>68.65</v>
      </c>
      <c r="AY81" s="62">
        <v>66.3</v>
      </c>
      <c r="AZ81" s="62">
        <v>61.81</v>
      </c>
      <c r="BA81" s="63">
        <v>562.0</v>
      </c>
      <c r="BB81" s="64">
        <v>300.0</v>
      </c>
      <c r="BC81" s="64">
        <v>168.0</v>
      </c>
      <c r="BD81" s="64">
        <v>127.0</v>
      </c>
      <c r="BE81" s="64" t="s">
        <v>637</v>
      </c>
      <c r="BF81" s="64" t="s">
        <v>638</v>
      </c>
      <c r="BG81" s="64" t="s">
        <v>639</v>
      </c>
      <c r="BH81" s="64" t="s">
        <v>640</v>
      </c>
      <c r="BI81" s="64">
        <v>130.0</v>
      </c>
      <c r="BJ81" s="64">
        <v>195.0</v>
      </c>
      <c r="BK81" s="64">
        <v>280.0</v>
      </c>
      <c r="BL81" s="64">
        <v>215.0</v>
      </c>
      <c r="BM81" s="64">
        <v>284.0</v>
      </c>
      <c r="BN81" s="64">
        <v>80.0</v>
      </c>
      <c r="BO81" s="64">
        <v>34.0</v>
      </c>
      <c r="BP81" s="64" t="s">
        <v>641</v>
      </c>
      <c r="BQ81" s="64" t="s">
        <v>642</v>
      </c>
      <c r="BR81" s="52">
        <v>16.0</v>
      </c>
      <c r="BS81" s="63" t="s">
        <v>643</v>
      </c>
      <c r="BT81" s="63" t="s">
        <v>643</v>
      </c>
      <c r="BU81" s="65">
        <v>3.0</v>
      </c>
      <c r="BV81" s="47">
        <f>IFERROR(__xludf.DUMMYFUNCTION("IFERROR(INDEX(motors!E:E, MATCH(1, (motors!A:A=REGEXEXTRACT(A81,""^\S+""))*(motors!B:B=BU81), 0)), """")"),10.4)</f>
        <v>10.4</v>
      </c>
      <c r="BW81" s="47">
        <f>IFERROR(__xludf.DUMMYFUNCTION("IFERROR(INDEX(motors!F:F, MATCH(1, (motors!A:A=REGEXEXTRACT(A81,""^\S+""))*(motors!B:B=BU81), 0)), """")"),6.0)</f>
        <v>6</v>
      </c>
      <c r="BX81" s="64">
        <v>2.0</v>
      </c>
      <c r="BY81" s="65">
        <v>56.0</v>
      </c>
      <c r="BZ81" s="63" t="s">
        <v>660</v>
      </c>
      <c r="CA81" s="53" t="str">
        <f>IFERROR(__xludf.DUMMYFUNCTION("IFERROR(REGEXEXTRACT(BZ81, ""(?i)[A-Z]+-D-E-([^-]+)-E""), """")"),"HQQE")</f>
        <v>HQQE</v>
      </c>
    </row>
    <row r="82" ht="11.25" customHeight="1">
      <c r="A82" s="46" t="s">
        <v>661</v>
      </c>
      <c r="B82" s="46">
        <v>7.4117747E7</v>
      </c>
      <c r="C82" s="47">
        <v>0.0</v>
      </c>
      <c r="D82" s="47">
        <v>5.0</v>
      </c>
      <c r="E82" s="47">
        <v>7.0</v>
      </c>
      <c r="F82" s="47">
        <v>8.0</v>
      </c>
      <c r="G82" s="47">
        <v>9.0</v>
      </c>
      <c r="H82" s="47">
        <v>10.0</v>
      </c>
      <c r="I82" s="47">
        <v>11.0</v>
      </c>
      <c r="J82" s="47">
        <v>12.0</v>
      </c>
      <c r="K82" s="47">
        <v>13.0</v>
      </c>
      <c r="L82" s="47">
        <v>14.0</v>
      </c>
      <c r="M82" s="48">
        <v>105.0946502058</v>
      </c>
      <c r="N82" s="47">
        <v>99.80888079879999</v>
      </c>
      <c r="O82" s="47">
        <v>94.75578701939999</v>
      </c>
      <c r="P82" s="47">
        <v>91.1416813378</v>
      </c>
      <c r="Q82" s="47">
        <v>86.6499301512</v>
      </c>
      <c r="R82" s="47">
        <v>81.1660787268</v>
      </c>
      <c r="S82" s="47">
        <v>74.57567233179999</v>
      </c>
      <c r="T82" s="47">
        <v>66.76425623339999</v>
      </c>
      <c r="U82" s="47">
        <v>57.6173756988</v>
      </c>
      <c r="V82" s="47">
        <v>47.02057599519999</v>
      </c>
      <c r="W82" s="49">
        <f>$W$73*10</f>
        <v>1.02</v>
      </c>
      <c r="X82" s="47">
        <v>2.42</v>
      </c>
      <c r="Y82" s="47">
        <v>2.843</v>
      </c>
      <c r="Z82" s="47">
        <v>2.9930000000000003</v>
      </c>
      <c r="AA82" s="47">
        <v>3.105</v>
      </c>
      <c r="AB82" s="47">
        <v>3.1780000000000004</v>
      </c>
      <c r="AC82" s="47">
        <v>3.2079999999999997</v>
      </c>
      <c r="AD82" s="47">
        <v>3.1919999999999997</v>
      </c>
      <c r="AE82" s="47">
        <v>3.124</v>
      </c>
      <c r="AF82" s="47">
        <v>2.9959999999999996</v>
      </c>
      <c r="AG82" s="49">
        <v>0.427</v>
      </c>
      <c r="AH82" s="47">
        <v>0.948</v>
      </c>
      <c r="AI82" s="47">
        <v>1.241</v>
      </c>
      <c r="AJ82" s="47">
        <v>1.449</v>
      </c>
      <c r="AK82" s="47">
        <v>1.709</v>
      </c>
      <c r="AL82" s="47">
        <v>2.067</v>
      </c>
      <c r="AM82" s="47">
        <v>2.553</v>
      </c>
      <c r="AN82" s="47">
        <v>3.094</v>
      </c>
      <c r="AO82" s="47">
        <v>3.68</v>
      </c>
      <c r="AP82" s="47">
        <v>4.326</v>
      </c>
      <c r="AQ82" s="49">
        <v>0.0</v>
      </c>
      <c r="AR82" s="47">
        <v>54.0</v>
      </c>
      <c r="AS82" s="47">
        <v>63.51</v>
      </c>
      <c r="AT82" s="47">
        <v>66.12</v>
      </c>
      <c r="AU82" s="47">
        <v>68.06</v>
      </c>
      <c r="AV82" s="47">
        <v>69.23</v>
      </c>
      <c r="AW82" s="47">
        <v>69.5</v>
      </c>
      <c r="AX82" s="47">
        <v>68.65</v>
      </c>
      <c r="AY82" s="47">
        <v>66.3</v>
      </c>
      <c r="AZ82" s="47">
        <v>61.81</v>
      </c>
      <c r="BA82" s="50">
        <v>602.0</v>
      </c>
      <c r="BB82" s="51">
        <v>323.0</v>
      </c>
      <c r="BC82" s="51">
        <v>200.0</v>
      </c>
      <c r="BD82" s="51">
        <v>146.0</v>
      </c>
      <c r="BE82" s="51" t="s">
        <v>637</v>
      </c>
      <c r="BF82" s="51" t="s">
        <v>638</v>
      </c>
      <c r="BG82" s="51" t="s">
        <v>639</v>
      </c>
      <c r="BH82" s="51" t="s">
        <v>640</v>
      </c>
      <c r="BI82" s="51">
        <v>130.0</v>
      </c>
      <c r="BJ82" s="51">
        <v>195.0</v>
      </c>
      <c r="BK82" s="51">
        <v>280.0</v>
      </c>
      <c r="BL82" s="51">
        <v>215.0</v>
      </c>
      <c r="BM82" s="51">
        <v>284.0</v>
      </c>
      <c r="BN82" s="51">
        <v>80.0</v>
      </c>
      <c r="BO82" s="51">
        <v>34.0</v>
      </c>
      <c r="BP82" s="51" t="s">
        <v>641</v>
      </c>
      <c r="BQ82" s="51" t="s">
        <v>642</v>
      </c>
      <c r="BR82" s="52">
        <v>16.0</v>
      </c>
      <c r="BS82" s="53" t="s">
        <v>643</v>
      </c>
      <c r="BT82" s="53" t="s">
        <v>643</v>
      </c>
      <c r="BU82" s="52">
        <v>4.0</v>
      </c>
      <c r="BV82" s="47">
        <f>IFERROR(__xludf.DUMMYFUNCTION("IFERROR(INDEX(motors!E:E, MATCH(1, (motors!A:A=REGEXEXTRACT(A82,""^\S+""))*(motors!B:B=BU82), 0)), """")"),7.8)</f>
        <v>7.8</v>
      </c>
      <c r="BW82" s="47">
        <f>IFERROR(__xludf.DUMMYFUNCTION("IFERROR(INDEX(motors!F:F, MATCH(1, (motors!A:A=REGEXEXTRACT(A82,""^\S+""))*(motors!B:B=BU82), 0)), """")"),4.5)</f>
        <v>4.5</v>
      </c>
      <c r="BX82" s="51">
        <v>2.0</v>
      </c>
      <c r="BY82" s="52">
        <v>68.0</v>
      </c>
      <c r="BZ82" s="53" t="s">
        <v>662</v>
      </c>
      <c r="CA82" s="53" t="str">
        <f>IFERROR(__xludf.DUMMYFUNCTION("IFERROR(REGEXEXTRACT(BZ82, ""(?i)[A-Z]+-D-E-([^-]+)-E""), """")"),"HQQE")</f>
        <v>HQQE</v>
      </c>
    </row>
    <row r="83" ht="11.25" customHeight="1">
      <c r="A83" s="61" t="s">
        <v>663</v>
      </c>
      <c r="B83" s="61">
        <v>7.4117748E7</v>
      </c>
      <c r="C83" s="62">
        <v>0.0</v>
      </c>
      <c r="D83" s="62">
        <v>5.0</v>
      </c>
      <c r="E83" s="62">
        <v>7.0</v>
      </c>
      <c r="F83" s="62">
        <v>8.0</v>
      </c>
      <c r="G83" s="62">
        <v>9.0</v>
      </c>
      <c r="H83" s="62">
        <v>10.0</v>
      </c>
      <c r="I83" s="62">
        <v>11.0</v>
      </c>
      <c r="J83" s="62">
        <v>12.0</v>
      </c>
      <c r="K83" s="62">
        <v>13.0</v>
      </c>
      <c r="L83" s="62">
        <v>14.0</v>
      </c>
      <c r="M83" s="48">
        <v>124.6440329218</v>
      </c>
      <c r="N83" s="62">
        <v>119.02509552480001</v>
      </c>
      <c r="O83" s="62">
        <v>112.48842590720001</v>
      </c>
      <c r="P83" s="62">
        <v>107.8833039114</v>
      </c>
      <c r="Q83" s="62">
        <v>102.24775863280001</v>
      </c>
      <c r="R83" s="62">
        <v>95.4773662028</v>
      </c>
      <c r="S83" s="62">
        <v>87.4677027528</v>
      </c>
      <c r="T83" s="62">
        <v>78.1143444142</v>
      </c>
      <c r="U83" s="62">
        <v>67.31286731840001</v>
      </c>
      <c r="V83" s="62">
        <v>54.9588475968</v>
      </c>
      <c r="W83" s="62">
        <f>$W$73*12</f>
        <v>1.224</v>
      </c>
      <c r="X83" s="62">
        <v>2.904</v>
      </c>
      <c r="Y83" s="62">
        <v>3.4116</v>
      </c>
      <c r="Z83" s="62">
        <v>3.5916</v>
      </c>
      <c r="AA83" s="62">
        <v>3.726</v>
      </c>
      <c r="AB83" s="62">
        <v>3.8136</v>
      </c>
      <c r="AC83" s="62">
        <v>3.8495999999999997</v>
      </c>
      <c r="AD83" s="62">
        <v>3.8304</v>
      </c>
      <c r="AE83" s="62">
        <v>3.7488</v>
      </c>
      <c r="AF83" s="62">
        <v>3.5951999999999997</v>
      </c>
      <c r="AG83" s="62">
        <v>0.427</v>
      </c>
      <c r="AH83" s="62">
        <v>0.948</v>
      </c>
      <c r="AI83" s="62">
        <v>1.241</v>
      </c>
      <c r="AJ83" s="62">
        <v>1.449</v>
      </c>
      <c r="AK83" s="62">
        <v>1.709</v>
      </c>
      <c r="AL83" s="62">
        <v>2.067</v>
      </c>
      <c r="AM83" s="62">
        <v>2.553</v>
      </c>
      <c r="AN83" s="62">
        <v>3.094</v>
      </c>
      <c r="AO83" s="62">
        <v>3.68</v>
      </c>
      <c r="AP83" s="62">
        <v>4.326</v>
      </c>
      <c r="AQ83" s="62">
        <v>0.0</v>
      </c>
      <c r="AR83" s="62">
        <v>54.0</v>
      </c>
      <c r="AS83" s="62">
        <v>63.51</v>
      </c>
      <c r="AT83" s="62">
        <v>66.12</v>
      </c>
      <c r="AU83" s="62">
        <v>68.06</v>
      </c>
      <c r="AV83" s="62">
        <v>69.23</v>
      </c>
      <c r="AW83" s="62">
        <v>69.5</v>
      </c>
      <c r="AX83" s="62">
        <v>68.65</v>
      </c>
      <c r="AY83" s="62">
        <v>66.3</v>
      </c>
      <c r="AZ83" s="62">
        <v>61.81</v>
      </c>
      <c r="BA83" s="63">
        <v>662.0</v>
      </c>
      <c r="BB83" s="64">
        <v>323.0</v>
      </c>
      <c r="BC83" s="64">
        <v>200.0</v>
      </c>
      <c r="BD83" s="64">
        <v>146.0</v>
      </c>
      <c r="BE83" s="64" t="s">
        <v>637</v>
      </c>
      <c r="BF83" s="64" t="s">
        <v>638</v>
      </c>
      <c r="BG83" s="64" t="s">
        <v>639</v>
      </c>
      <c r="BH83" s="64" t="s">
        <v>640</v>
      </c>
      <c r="BI83" s="64">
        <v>130.0</v>
      </c>
      <c r="BJ83" s="64">
        <v>195.0</v>
      </c>
      <c r="BK83" s="64">
        <v>280.0</v>
      </c>
      <c r="BL83" s="64">
        <v>215.0</v>
      </c>
      <c r="BM83" s="64">
        <v>284.0</v>
      </c>
      <c r="BN83" s="64">
        <v>80.0</v>
      </c>
      <c r="BO83" s="64">
        <v>34.0</v>
      </c>
      <c r="BP83" s="64" t="s">
        <v>641</v>
      </c>
      <c r="BQ83" s="64" t="s">
        <v>642</v>
      </c>
      <c r="BR83" s="52">
        <v>16.0</v>
      </c>
      <c r="BS83" s="63" t="s">
        <v>643</v>
      </c>
      <c r="BT83" s="63" t="s">
        <v>643</v>
      </c>
      <c r="BU83" s="65">
        <v>4.0</v>
      </c>
      <c r="BV83" s="47">
        <f>IFERROR(__xludf.DUMMYFUNCTION("IFERROR(INDEX(motors!E:E, MATCH(1, (motors!A:A=REGEXEXTRACT(A83,""^\S+""))*(motors!B:B=BU83), 0)), """")"),7.8)</f>
        <v>7.8</v>
      </c>
      <c r="BW83" s="47">
        <f>IFERROR(__xludf.DUMMYFUNCTION("IFERROR(INDEX(motors!F:F, MATCH(1, (motors!A:A=REGEXEXTRACT(A83,""^\S+""))*(motors!B:B=BU83), 0)), """")"),4.5)</f>
        <v>4.5</v>
      </c>
      <c r="BX83" s="64">
        <v>2.0</v>
      </c>
      <c r="BY83" s="65">
        <v>70.0</v>
      </c>
      <c r="BZ83" s="63" t="s">
        <v>664</v>
      </c>
      <c r="CA83" s="53" t="str">
        <f>IFERROR(__xludf.DUMMYFUNCTION("IFERROR(REGEXEXTRACT(BZ83, ""(?i)[A-Z]+-D-E-([^-]+)-E""), """")"),"HQQE")</f>
        <v>HQQE</v>
      </c>
    </row>
    <row r="84" ht="11.25" customHeight="1">
      <c r="A84" s="61" t="s">
        <v>665</v>
      </c>
      <c r="B84" s="61">
        <v>7.4117749E7</v>
      </c>
      <c r="C84" s="62">
        <v>0.0</v>
      </c>
      <c r="D84" s="62">
        <v>5.0</v>
      </c>
      <c r="E84" s="62">
        <v>7.0</v>
      </c>
      <c r="F84" s="62">
        <v>8.0</v>
      </c>
      <c r="G84" s="62">
        <v>9.0</v>
      </c>
      <c r="H84" s="62">
        <v>10.0</v>
      </c>
      <c r="I84" s="62">
        <v>11.0</v>
      </c>
      <c r="J84" s="62">
        <v>12.0</v>
      </c>
      <c r="K84" s="62">
        <v>13.0</v>
      </c>
      <c r="L84" s="62">
        <v>14.0</v>
      </c>
      <c r="M84" s="48">
        <v>144.6522633745</v>
      </c>
      <c r="N84" s="62">
        <v>138.279633308</v>
      </c>
      <c r="O84" s="62">
        <v>130.37615741919998</v>
      </c>
      <c r="P84" s="62">
        <v>124.85214581449999</v>
      </c>
      <c r="Q84" s="62">
        <v>118.1383193968</v>
      </c>
      <c r="R84" s="62">
        <v>110.12845388650001</v>
      </c>
      <c r="S84" s="62">
        <v>100.716325004</v>
      </c>
      <c r="T84" s="62">
        <v>89.7957084697</v>
      </c>
      <c r="U84" s="62">
        <v>77.260380004</v>
      </c>
      <c r="V84" s="62">
        <v>63.0041153273</v>
      </c>
      <c r="W84" s="62">
        <f>$W$73*14</f>
        <v>1.428</v>
      </c>
      <c r="X84" s="62">
        <v>3.388</v>
      </c>
      <c r="Y84" s="62">
        <v>3.9802</v>
      </c>
      <c r="Z84" s="62">
        <v>4.1902</v>
      </c>
      <c r="AA84" s="62">
        <v>4.3469999999999995</v>
      </c>
      <c r="AB84" s="62">
        <v>4.4492</v>
      </c>
      <c r="AC84" s="62">
        <v>4.491199999999999</v>
      </c>
      <c r="AD84" s="62">
        <v>4.4688</v>
      </c>
      <c r="AE84" s="62">
        <v>4.3736</v>
      </c>
      <c r="AF84" s="62">
        <v>4.1944</v>
      </c>
      <c r="AG84" s="62">
        <v>0.427</v>
      </c>
      <c r="AH84" s="62">
        <v>0.948</v>
      </c>
      <c r="AI84" s="62">
        <v>1.241</v>
      </c>
      <c r="AJ84" s="62">
        <v>1.449</v>
      </c>
      <c r="AK84" s="62">
        <v>1.709</v>
      </c>
      <c r="AL84" s="62">
        <v>2.067</v>
      </c>
      <c r="AM84" s="62">
        <v>2.553</v>
      </c>
      <c r="AN84" s="62">
        <v>3.094</v>
      </c>
      <c r="AO84" s="62">
        <v>3.68</v>
      </c>
      <c r="AP84" s="62">
        <v>4.326</v>
      </c>
      <c r="AQ84" s="62">
        <v>0.0</v>
      </c>
      <c r="AR84" s="62">
        <v>54.0</v>
      </c>
      <c r="AS84" s="62">
        <v>63.51</v>
      </c>
      <c r="AT84" s="62">
        <v>66.12</v>
      </c>
      <c r="AU84" s="62">
        <v>68.06</v>
      </c>
      <c r="AV84" s="62">
        <v>69.23</v>
      </c>
      <c r="AW84" s="62">
        <v>69.5</v>
      </c>
      <c r="AX84" s="62">
        <v>68.65</v>
      </c>
      <c r="AY84" s="62">
        <v>66.3</v>
      </c>
      <c r="AZ84" s="62">
        <v>61.81</v>
      </c>
      <c r="BA84" s="63">
        <v>747.0</v>
      </c>
      <c r="BB84" s="64">
        <v>379.0</v>
      </c>
      <c r="BC84" s="64">
        <v>212.0</v>
      </c>
      <c r="BD84" s="64">
        <v>160.0</v>
      </c>
      <c r="BE84" s="64" t="s">
        <v>637</v>
      </c>
      <c r="BF84" s="64" t="s">
        <v>638</v>
      </c>
      <c r="BG84" s="64" t="s">
        <v>639</v>
      </c>
      <c r="BH84" s="64" t="s">
        <v>640</v>
      </c>
      <c r="BI84" s="64">
        <v>130.0</v>
      </c>
      <c r="BJ84" s="64">
        <v>195.0</v>
      </c>
      <c r="BK84" s="64">
        <v>280.0</v>
      </c>
      <c r="BL84" s="64">
        <v>215.0</v>
      </c>
      <c r="BM84" s="64">
        <v>284.0</v>
      </c>
      <c r="BN84" s="64">
        <v>80.0</v>
      </c>
      <c r="BO84" s="64">
        <v>34.0</v>
      </c>
      <c r="BP84" s="64" t="s">
        <v>641</v>
      </c>
      <c r="BQ84" s="64" t="s">
        <v>642</v>
      </c>
      <c r="BR84" s="65">
        <v>25.0</v>
      </c>
      <c r="BS84" s="63" t="s">
        <v>643</v>
      </c>
      <c r="BT84" s="63" t="s">
        <v>643</v>
      </c>
      <c r="BU84" s="65">
        <v>5.5</v>
      </c>
      <c r="BV84" s="47">
        <f>IFERROR(__xludf.DUMMYFUNCTION("IFERROR(INDEX(motors!E:E, MATCH(1, (motors!A:A=REGEXEXTRACT(A84,""^\S+""))*(motors!B:B=BU84), 0)), """")"),10.6)</f>
        <v>10.6</v>
      </c>
      <c r="BW84" s="47">
        <f>IFERROR(__xludf.DUMMYFUNCTION("IFERROR(INDEX(motors!F:F, MATCH(1, (motors!A:A=REGEXEXTRACT(A84,""^\S+""))*(motors!B:B=BU84), 0)), """")"),6.1)</f>
        <v>6.1</v>
      </c>
      <c r="BX84" s="64">
        <v>2.0</v>
      </c>
      <c r="BY84" s="65">
        <v>92.0</v>
      </c>
      <c r="BZ84" s="63" t="s">
        <v>666</v>
      </c>
      <c r="CA84" s="53" t="str">
        <f>IFERROR(__xludf.DUMMYFUNCTION("IFERROR(REGEXEXTRACT(BZ84, ""(?i)[A-Z]+-D-E-([^-]+)-E""), """")"),"HQQE")</f>
        <v>HQQE</v>
      </c>
    </row>
    <row r="85" ht="11.25" customHeight="1">
      <c r="A85" s="55" t="s">
        <v>667</v>
      </c>
      <c r="B85" s="55">
        <v>7.411775E7</v>
      </c>
      <c r="C85" s="56">
        <v>0.0</v>
      </c>
      <c r="D85" s="56">
        <v>5.0</v>
      </c>
      <c r="E85" s="56">
        <v>7.0</v>
      </c>
      <c r="F85" s="56">
        <v>8.0</v>
      </c>
      <c r="G85" s="56">
        <v>9.0</v>
      </c>
      <c r="H85" s="56">
        <v>10.0</v>
      </c>
      <c r="I85" s="56">
        <v>11.0</v>
      </c>
      <c r="J85" s="56">
        <v>12.0</v>
      </c>
      <c r="K85" s="56">
        <v>13.0</v>
      </c>
      <c r="L85" s="56">
        <v>14.0</v>
      </c>
      <c r="M85" s="48">
        <v>164.6296296296</v>
      </c>
      <c r="N85" s="56">
        <v>157.7422288356</v>
      </c>
      <c r="O85" s="56">
        <v>148.8020833328</v>
      </c>
      <c r="P85" s="56">
        <v>142.4973544968</v>
      </c>
      <c r="Q85" s="56">
        <v>134.799768518</v>
      </c>
      <c r="R85" s="56">
        <v>125.5820105816</v>
      </c>
      <c r="S85" s="56">
        <v>114.71676587280001</v>
      </c>
      <c r="T85" s="56">
        <v>102.0767195768</v>
      </c>
      <c r="U85" s="56">
        <v>87.5345568788</v>
      </c>
      <c r="V85" s="56">
        <v>70.962962964</v>
      </c>
      <c r="W85" s="49">
        <f>$W$73*16</f>
        <v>1.632</v>
      </c>
      <c r="X85" s="56">
        <v>3.872</v>
      </c>
      <c r="Y85" s="56">
        <v>4.5488</v>
      </c>
      <c r="Z85" s="56">
        <v>4.7888</v>
      </c>
      <c r="AA85" s="56">
        <v>4.968</v>
      </c>
      <c r="AB85" s="56">
        <v>5.0848</v>
      </c>
      <c r="AC85" s="56">
        <v>5.1328</v>
      </c>
      <c r="AD85" s="56">
        <v>5.1072</v>
      </c>
      <c r="AE85" s="56">
        <v>4.9984</v>
      </c>
      <c r="AF85" s="56">
        <v>4.7936</v>
      </c>
      <c r="AG85" s="49">
        <v>0.427</v>
      </c>
      <c r="AH85" s="56">
        <v>0.948</v>
      </c>
      <c r="AI85" s="56">
        <v>1.241</v>
      </c>
      <c r="AJ85" s="56">
        <v>1.449</v>
      </c>
      <c r="AK85" s="56">
        <v>1.709</v>
      </c>
      <c r="AL85" s="56">
        <v>2.067</v>
      </c>
      <c r="AM85" s="56">
        <v>2.553</v>
      </c>
      <c r="AN85" s="56">
        <v>3.094</v>
      </c>
      <c r="AO85" s="56">
        <v>3.68</v>
      </c>
      <c r="AP85" s="56">
        <v>4.326</v>
      </c>
      <c r="AQ85" s="49">
        <v>0.0</v>
      </c>
      <c r="AR85" s="56">
        <v>54.0</v>
      </c>
      <c r="AS85" s="56">
        <v>63.51</v>
      </c>
      <c r="AT85" s="56">
        <v>66.12</v>
      </c>
      <c r="AU85" s="56">
        <v>68.06</v>
      </c>
      <c r="AV85" s="56">
        <v>69.23</v>
      </c>
      <c r="AW85" s="56">
        <v>69.5</v>
      </c>
      <c r="AX85" s="56">
        <v>68.65</v>
      </c>
      <c r="AY85" s="56">
        <v>66.3</v>
      </c>
      <c r="AZ85" s="56">
        <v>61.81</v>
      </c>
      <c r="BA85" s="50">
        <v>807.0</v>
      </c>
      <c r="BB85" s="57">
        <v>379.0</v>
      </c>
      <c r="BC85" s="57">
        <v>212.0</v>
      </c>
      <c r="BD85" s="57">
        <v>160.0</v>
      </c>
      <c r="BE85" s="57" t="s">
        <v>637</v>
      </c>
      <c r="BF85" s="57" t="s">
        <v>638</v>
      </c>
      <c r="BG85" s="57" t="s">
        <v>639</v>
      </c>
      <c r="BH85" s="57" t="s">
        <v>640</v>
      </c>
      <c r="BI85" s="57">
        <v>130.0</v>
      </c>
      <c r="BJ85" s="57">
        <v>195.0</v>
      </c>
      <c r="BK85" s="57">
        <v>280.0</v>
      </c>
      <c r="BL85" s="57">
        <v>215.0</v>
      </c>
      <c r="BM85" s="57">
        <v>284.0</v>
      </c>
      <c r="BN85" s="57">
        <v>80.0</v>
      </c>
      <c r="BO85" s="57">
        <v>34.0</v>
      </c>
      <c r="BP85" s="57" t="s">
        <v>641</v>
      </c>
      <c r="BQ85" s="57" t="s">
        <v>642</v>
      </c>
      <c r="BR85" s="58">
        <v>25.0</v>
      </c>
      <c r="BS85" s="59" t="s">
        <v>643</v>
      </c>
      <c r="BT85" s="59" t="s">
        <v>643</v>
      </c>
      <c r="BU85" s="58">
        <v>5.5</v>
      </c>
      <c r="BV85" s="47">
        <f>IFERROR(__xludf.DUMMYFUNCTION("IFERROR(INDEX(motors!E:E, MATCH(1, (motors!A:A=REGEXEXTRACT(A85,""^\S+""))*(motors!B:B=BU85), 0)), """")"),10.6)</f>
        <v>10.6</v>
      </c>
      <c r="BW85" s="47">
        <f>IFERROR(__xludf.DUMMYFUNCTION("IFERROR(INDEX(motors!F:F, MATCH(1, (motors!A:A=REGEXEXTRACT(A85,""^\S+""))*(motors!B:B=BU85), 0)), """")"),6.1)</f>
        <v>6.1</v>
      </c>
      <c r="BX85" s="57">
        <v>2.0</v>
      </c>
      <c r="BY85" s="58">
        <v>94.0</v>
      </c>
      <c r="BZ85" s="59" t="s">
        <v>668</v>
      </c>
      <c r="CA85" s="53" t="str">
        <f>IFERROR(__xludf.DUMMYFUNCTION("IFERROR(REGEXEXTRACT(BZ85, ""(?i)[A-Z]+-D-E-([^-]+)-E""), """")"),"HQQE")</f>
        <v>HQQE</v>
      </c>
    </row>
    <row r="86" ht="11.25" customHeight="1">
      <c r="A86" s="46" t="s">
        <v>669</v>
      </c>
      <c r="B86" s="46">
        <v>7.4117751E7</v>
      </c>
      <c r="C86" s="47">
        <v>0.0</v>
      </c>
      <c r="D86" s="47">
        <v>5.0</v>
      </c>
      <c r="E86" s="47">
        <v>7.0</v>
      </c>
      <c r="F86" s="47">
        <v>8.0</v>
      </c>
      <c r="G86" s="47">
        <v>9.0</v>
      </c>
      <c r="H86" s="47">
        <v>10.0</v>
      </c>
      <c r="I86" s="47">
        <v>11.0</v>
      </c>
      <c r="J86" s="47">
        <v>12.0</v>
      </c>
      <c r="K86" s="47">
        <v>13.0</v>
      </c>
      <c r="L86" s="47">
        <v>14.0</v>
      </c>
      <c r="M86" s="48">
        <v>185.9855967078</v>
      </c>
      <c r="N86" s="47">
        <v>176.3242761578</v>
      </c>
      <c r="O86" s="47">
        <v>167.6886573982</v>
      </c>
      <c r="P86" s="47">
        <v>161.4235743542</v>
      </c>
      <c r="Q86" s="47">
        <v>153.5520098274</v>
      </c>
      <c r="R86" s="47">
        <v>143.84273953779999</v>
      </c>
      <c r="S86" s="47">
        <v>132.0645392054</v>
      </c>
      <c r="T86" s="47">
        <v>117.9861845502</v>
      </c>
      <c r="U86" s="47">
        <v>101.3764512922</v>
      </c>
      <c r="V86" s="47">
        <v>82.00411515139999</v>
      </c>
      <c r="W86" s="49">
        <f>$W$73*18</f>
        <v>1.836</v>
      </c>
      <c r="X86" s="47">
        <v>4.356</v>
      </c>
      <c r="Y86" s="47">
        <v>5.1174</v>
      </c>
      <c r="Z86" s="47">
        <v>5.3874</v>
      </c>
      <c r="AA86" s="47">
        <v>5.589</v>
      </c>
      <c r="AB86" s="47">
        <v>5.720400000000001</v>
      </c>
      <c r="AC86" s="47">
        <v>5.7744</v>
      </c>
      <c r="AD86" s="47">
        <v>5.7456</v>
      </c>
      <c r="AE86" s="47">
        <v>5.623200000000001</v>
      </c>
      <c r="AF86" s="47">
        <v>5.392799999999999</v>
      </c>
      <c r="AG86" s="49">
        <v>0.427</v>
      </c>
      <c r="AH86" s="47">
        <v>0.948</v>
      </c>
      <c r="AI86" s="47">
        <v>1.241</v>
      </c>
      <c r="AJ86" s="47">
        <v>1.449</v>
      </c>
      <c r="AK86" s="47">
        <v>1.709</v>
      </c>
      <c r="AL86" s="47">
        <v>2.067</v>
      </c>
      <c r="AM86" s="47">
        <v>2.553</v>
      </c>
      <c r="AN86" s="47">
        <v>3.094</v>
      </c>
      <c r="AO86" s="47">
        <v>3.68</v>
      </c>
      <c r="AP86" s="47">
        <v>4.326</v>
      </c>
      <c r="AQ86" s="49">
        <v>0.0</v>
      </c>
      <c r="AR86" s="47">
        <v>54.0</v>
      </c>
      <c r="AS86" s="47">
        <v>63.51</v>
      </c>
      <c r="AT86" s="47">
        <v>66.12</v>
      </c>
      <c r="AU86" s="47">
        <v>68.06</v>
      </c>
      <c r="AV86" s="47">
        <v>69.23</v>
      </c>
      <c r="AW86" s="47">
        <v>69.5</v>
      </c>
      <c r="AX86" s="47">
        <v>68.65</v>
      </c>
      <c r="AY86" s="47">
        <v>66.3</v>
      </c>
      <c r="AZ86" s="47">
        <v>61.81</v>
      </c>
      <c r="BA86" s="50">
        <v>867.0</v>
      </c>
      <c r="BB86" s="51">
        <v>417.0</v>
      </c>
      <c r="BC86" s="51">
        <v>212.0</v>
      </c>
      <c r="BD86" s="51">
        <v>160.0</v>
      </c>
      <c r="BE86" s="51" t="s">
        <v>637</v>
      </c>
      <c r="BF86" s="51" t="s">
        <v>638</v>
      </c>
      <c r="BG86" s="51" t="s">
        <v>639</v>
      </c>
      <c r="BH86" s="51" t="s">
        <v>640</v>
      </c>
      <c r="BI86" s="51">
        <v>130.0</v>
      </c>
      <c r="BJ86" s="51">
        <v>195.0</v>
      </c>
      <c r="BK86" s="51">
        <v>280.0</v>
      </c>
      <c r="BL86" s="51">
        <v>215.0</v>
      </c>
      <c r="BM86" s="51">
        <v>284.0</v>
      </c>
      <c r="BN86" s="51">
        <v>80.0</v>
      </c>
      <c r="BO86" s="51">
        <v>34.0</v>
      </c>
      <c r="BP86" s="51" t="s">
        <v>641</v>
      </c>
      <c r="BQ86" s="51" t="s">
        <v>642</v>
      </c>
      <c r="BR86" s="52">
        <v>25.0</v>
      </c>
      <c r="BS86" s="53" t="s">
        <v>643</v>
      </c>
      <c r="BT86" s="53" t="s">
        <v>643</v>
      </c>
      <c r="BU86" s="52">
        <v>7.5</v>
      </c>
      <c r="BV86" s="47">
        <f>IFERROR(__xludf.DUMMYFUNCTION("IFERROR(INDEX(motors!E:E, MATCH(1, (motors!A:A=REGEXEXTRACT(A86,""^\S+""))*(motors!B:B=BU86), 0)), """")"),14.4)</f>
        <v>14.4</v>
      </c>
      <c r="BW86" s="47">
        <f>IFERROR(__xludf.DUMMYFUNCTION("IFERROR(INDEX(motors!F:F, MATCH(1, (motors!A:A=REGEXEXTRACT(A86,""^\S+""))*(motors!B:B=BU86), 0)), """")"),8.3)</f>
        <v>8.3</v>
      </c>
      <c r="BX86" s="51">
        <v>2.0</v>
      </c>
      <c r="BY86" s="52">
        <v>99.0</v>
      </c>
      <c r="BZ86" s="53" t="s">
        <v>670</v>
      </c>
      <c r="CA86" s="53" t="str">
        <f>IFERROR(__xludf.DUMMYFUNCTION("IFERROR(REGEXEXTRACT(BZ86, ""(?i)[A-Z]+-D-E-([^-]+)-E""), """")"),"HQQE")</f>
        <v>HQQE</v>
      </c>
    </row>
    <row r="87" ht="11.25" customHeight="1">
      <c r="A87" s="55" t="s">
        <v>671</v>
      </c>
      <c r="B87" s="55">
        <v>7.4117752E7</v>
      </c>
      <c r="C87" s="56">
        <v>0.0</v>
      </c>
      <c r="D87" s="56">
        <v>5.0</v>
      </c>
      <c r="E87" s="56">
        <v>7.0</v>
      </c>
      <c r="F87" s="56">
        <v>8.0</v>
      </c>
      <c r="G87" s="56">
        <v>9.0</v>
      </c>
      <c r="H87" s="56">
        <v>10.0</v>
      </c>
      <c r="I87" s="56">
        <v>11.0</v>
      </c>
      <c r="J87" s="56">
        <v>12.0</v>
      </c>
      <c r="K87" s="56">
        <v>13.0</v>
      </c>
      <c r="L87" s="56">
        <v>14.0</v>
      </c>
      <c r="M87" s="48">
        <v>205.9423868313</v>
      </c>
      <c r="N87" s="56">
        <v>194.99799750280002</v>
      </c>
      <c r="O87" s="56">
        <v>186.03587963240003</v>
      </c>
      <c r="P87" s="56">
        <v>179.4562022377</v>
      </c>
      <c r="Q87" s="56">
        <v>171.10536082200002</v>
      </c>
      <c r="R87" s="56">
        <v>160.7042915993</v>
      </c>
      <c r="S87" s="56">
        <v>147.9739307836</v>
      </c>
      <c r="T87" s="56">
        <v>132.6352145889</v>
      </c>
      <c r="U87" s="56">
        <v>114.40907922920002</v>
      </c>
      <c r="V87" s="56">
        <v>93.01646091850003</v>
      </c>
      <c r="W87" s="49">
        <f>$W$73*20</f>
        <v>2.04</v>
      </c>
      <c r="X87" s="56">
        <v>4.84</v>
      </c>
      <c r="Y87" s="56">
        <v>5.686</v>
      </c>
      <c r="Z87" s="56">
        <v>5.986000000000001</v>
      </c>
      <c r="AA87" s="56">
        <v>6.21</v>
      </c>
      <c r="AB87" s="56">
        <v>6.356000000000001</v>
      </c>
      <c r="AC87" s="56">
        <v>6.4159999999999995</v>
      </c>
      <c r="AD87" s="56">
        <v>6.3839999999999995</v>
      </c>
      <c r="AE87" s="56">
        <v>6.248</v>
      </c>
      <c r="AF87" s="56">
        <v>5.991999999999999</v>
      </c>
      <c r="AG87" s="49">
        <v>0.427</v>
      </c>
      <c r="AH87" s="56">
        <v>0.948</v>
      </c>
      <c r="AI87" s="56">
        <v>1.241</v>
      </c>
      <c r="AJ87" s="56">
        <v>1.449</v>
      </c>
      <c r="AK87" s="56">
        <v>1.709</v>
      </c>
      <c r="AL87" s="56">
        <v>2.067</v>
      </c>
      <c r="AM87" s="56">
        <v>2.553</v>
      </c>
      <c r="AN87" s="56">
        <v>3.094</v>
      </c>
      <c r="AO87" s="56">
        <v>3.68</v>
      </c>
      <c r="AP87" s="56">
        <v>4.326</v>
      </c>
      <c r="AQ87" s="49">
        <v>0.0</v>
      </c>
      <c r="AR87" s="56">
        <v>54.0</v>
      </c>
      <c r="AS87" s="56">
        <v>63.51</v>
      </c>
      <c r="AT87" s="56">
        <v>66.12</v>
      </c>
      <c r="AU87" s="56">
        <v>68.06</v>
      </c>
      <c r="AV87" s="56">
        <v>69.23</v>
      </c>
      <c r="AW87" s="56">
        <v>69.5</v>
      </c>
      <c r="AX87" s="56">
        <v>68.65</v>
      </c>
      <c r="AY87" s="56">
        <v>66.3</v>
      </c>
      <c r="AZ87" s="56">
        <v>61.81</v>
      </c>
      <c r="BA87" s="50">
        <v>927.0</v>
      </c>
      <c r="BB87" s="57">
        <v>417.0</v>
      </c>
      <c r="BC87" s="57">
        <v>212.0</v>
      </c>
      <c r="BD87" s="57">
        <v>160.0</v>
      </c>
      <c r="BE87" s="57" t="s">
        <v>637</v>
      </c>
      <c r="BF87" s="57" t="s">
        <v>638</v>
      </c>
      <c r="BG87" s="57" t="s">
        <v>639</v>
      </c>
      <c r="BH87" s="57" t="s">
        <v>640</v>
      </c>
      <c r="BI87" s="57">
        <v>130.0</v>
      </c>
      <c r="BJ87" s="57">
        <v>195.0</v>
      </c>
      <c r="BK87" s="57">
        <v>280.0</v>
      </c>
      <c r="BL87" s="57">
        <v>215.0</v>
      </c>
      <c r="BM87" s="57">
        <v>284.0</v>
      </c>
      <c r="BN87" s="57">
        <v>80.0</v>
      </c>
      <c r="BO87" s="57">
        <v>34.0</v>
      </c>
      <c r="BP87" s="57" t="s">
        <v>641</v>
      </c>
      <c r="BQ87" s="57" t="s">
        <v>642</v>
      </c>
      <c r="BR87" s="58">
        <v>25.0</v>
      </c>
      <c r="BS87" s="59" t="s">
        <v>643</v>
      </c>
      <c r="BT87" s="59" t="s">
        <v>643</v>
      </c>
      <c r="BU87" s="58">
        <v>7.5</v>
      </c>
      <c r="BV87" s="47">
        <f>IFERROR(__xludf.DUMMYFUNCTION("IFERROR(INDEX(motors!E:E, MATCH(1, (motors!A:A=REGEXEXTRACT(A87,""^\S+""))*(motors!B:B=BU87), 0)), """")"),14.4)</f>
        <v>14.4</v>
      </c>
      <c r="BW87" s="47">
        <f>IFERROR(__xludf.DUMMYFUNCTION("IFERROR(INDEX(motors!F:F, MATCH(1, (motors!A:A=REGEXEXTRACT(A87,""^\S+""))*(motors!B:B=BU87), 0)), """")"),8.3)</f>
        <v>8.3</v>
      </c>
      <c r="BX87" s="57">
        <v>2.0</v>
      </c>
      <c r="BY87" s="58">
        <v>101.0</v>
      </c>
      <c r="BZ87" s="59" t="s">
        <v>672</v>
      </c>
      <c r="CA87" s="53" t="str">
        <f>IFERROR(__xludf.DUMMYFUNCTION("IFERROR(REGEXEXTRACT(BZ87, ""(?i)[A-Z]+-D-E-([^-]+)-E""), """")"),"HQQE")</f>
        <v>HQQE</v>
      </c>
    </row>
    <row r="88" ht="11.25" customHeight="1">
      <c r="A88" s="46" t="s">
        <v>673</v>
      </c>
      <c r="B88" s="46">
        <v>7.4117753E7</v>
      </c>
      <c r="C88" s="47">
        <v>0.0</v>
      </c>
      <c r="D88" s="47">
        <v>5.0</v>
      </c>
      <c r="E88" s="47">
        <v>7.0</v>
      </c>
      <c r="F88" s="47">
        <v>8.0</v>
      </c>
      <c r="G88" s="47">
        <v>9.0</v>
      </c>
      <c r="H88" s="47">
        <v>10.0</v>
      </c>
      <c r="I88" s="47">
        <v>11.0</v>
      </c>
      <c r="J88" s="47">
        <v>12.0</v>
      </c>
      <c r="K88" s="47">
        <v>13.0</v>
      </c>
      <c r="L88" s="47">
        <v>14.0</v>
      </c>
      <c r="M88" s="48">
        <v>227.1748971193</v>
      </c>
      <c r="N88" s="47">
        <v>213.6384663483</v>
      </c>
      <c r="O88" s="47">
        <v>204.4502314955</v>
      </c>
      <c r="P88" s="47">
        <v>197.7069371169</v>
      </c>
      <c r="Q88" s="47">
        <v>189.0840131107</v>
      </c>
      <c r="R88" s="47">
        <v>178.2463257323</v>
      </c>
      <c r="S88" s="47">
        <v>164.8587412371</v>
      </c>
      <c r="T88" s="47">
        <v>148.5861258805</v>
      </c>
      <c r="U88" s="47">
        <v>129.0933459179</v>
      </c>
      <c r="V88" s="47">
        <v>106.04526760469999</v>
      </c>
      <c r="W88" s="49">
        <f>$W$73*22</f>
        <v>2.244</v>
      </c>
      <c r="X88" s="47">
        <v>5.324</v>
      </c>
      <c r="Y88" s="47">
        <v>6.2546</v>
      </c>
      <c r="Z88" s="47">
        <v>6.5846</v>
      </c>
      <c r="AA88" s="47">
        <v>6.8309999999999995</v>
      </c>
      <c r="AB88" s="47">
        <v>6.991600000000001</v>
      </c>
      <c r="AC88" s="47">
        <v>7.057599999999999</v>
      </c>
      <c r="AD88" s="47">
        <v>7.022399999999999</v>
      </c>
      <c r="AE88" s="47">
        <v>6.8728</v>
      </c>
      <c r="AF88" s="47">
        <v>6.5912</v>
      </c>
      <c r="AG88" s="49">
        <v>0.427</v>
      </c>
      <c r="AH88" s="47">
        <v>0.948</v>
      </c>
      <c r="AI88" s="47">
        <v>1.241</v>
      </c>
      <c r="AJ88" s="47">
        <v>1.449</v>
      </c>
      <c r="AK88" s="47">
        <v>1.709</v>
      </c>
      <c r="AL88" s="47">
        <v>2.067</v>
      </c>
      <c r="AM88" s="47">
        <v>2.553</v>
      </c>
      <c r="AN88" s="47">
        <v>3.094</v>
      </c>
      <c r="AO88" s="47">
        <v>3.68</v>
      </c>
      <c r="AP88" s="47">
        <v>4.326</v>
      </c>
      <c r="AQ88" s="49">
        <v>0.0</v>
      </c>
      <c r="AR88" s="47">
        <v>54.0</v>
      </c>
      <c r="AS88" s="47">
        <v>63.51</v>
      </c>
      <c r="AT88" s="47">
        <v>66.12</v>
      </c>
      <c r="AU88" s="47">
        <v>68.06</v>
      </c>
      <c r="AV88" s="47">
        <v>69.23</v>
      </c>
      <c r="AW88" s="47">
        <v>69.5</v>
      </c>
      <c r="AX88" s="47">
        <v>68.65</v>
      </c>
      <c r="AY88" s="47">
        <v>66.3</v>
      </c>
      <c r="AZ88" s="47">
        <v>61.81</v>
      </c>
      <c r="BA88" s="50">
        <v>987.0</v>
      </c>
      <c r="BB88" s="51">
        <v>417.0</v>
      </c>
      <c r="BC88" s="51">
        <v>212.0</v>
      </c>
      <c r="BD88" s="51">
        <v>160.0</v>
      </c>
      <c r="BE88" s="51" t="s">
        <v>637</v>
      </c>
      <c r="BF88" s="51" t="s">
        <v>638</v>
      </c>
      <c r="BG88" s="51" t="s">
        <v>639</v>
      </c>
      <c r="BH88" s="51" t="s">
        <v>640</v>
      </c>
      <c r="BI88" s="51">
        <v>130.0</v>
      </c>
      <c r="BJ88" s="51">
        <v>195.0</v>
      </c>
      <c r="BK88" s="51">
        <v>280.0</v>
      </c>
      <c r="BL88" s="51">
        <v>215.0</v>
      </c>
      <c r="BM88" s="51">
        <v>284.0</v>
      </c>
      <c r="BN88" s="51">
        <v>80.0</v>
      </c>
      <c r="BO88" s="51">
        <v>34.0</v>
      </c>
      <c r="BP88" s="51" t="s">
        <v>641</v>
      </c>
      <c r="BQ88" s="51" t="s">
        <v>642</v>
      </c>
      <c r="BR88" s="52">
        <v>25.0</v>
      </c>
      <c r="BS88" s="53" t="s">
        <v>643</v>
      </c>
      <c r="BT88" s="53" t="s">
        <v>643</v>
      </c>
      <c r="BU88" s="52">
        <v>7.5</v>
      </c>
      <c r="BV88" s="47">
        <f>IFERROR(__xludf.DUMMYFUNCTION("IFERROR(INDEX(motors!E:E, MATCH(1, (motors!A:A=REGEXEXTRACT(A88,""^\S+""))*(motors!B:B=BU88), 0)), """")"),14.4)</f>
        <v>14.4</v>
      </c>
      <c r="BW88" s="47">
        <f>IFERROR(__xludf.DUMMYFUNCTION("IFERROR(INDEX(motors!F:F, MATCH(1, (motors!A:A=REGEXEXTRACT(A88,""^\S+""))*(motors!B:B=BU88), 0)), """")"),8.3)</f>
        <v>8.3</v>
      </c>
      <c r="BX88" s="51">
        <v>2.0</v>
      </c>
      <c r="BY88" s="52">
        <v>104.0</v>
      </c>
      <c r="BZ88" s="53" t="s">
        <v>674</v>
      </c>
      <c r="CA88" s="53" t="str">
        <f>IFERROR(__xludf.DUMMYFUNCTION("IFERROR(REGEXEXTRACT(BZ88, ""(?i)[A-Z]+-D-E-([^-]+)-E""), """")"),"HQQE")</f>
        <v>HQQE</v>
      </c>
    </row>
    <row r="89" ht="11.25" customHeight="1">
      <c r="A89" s="55"/>
      <c r="B89" s="55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48"/>
      <c r="N89" s="56"/>
      <c r="O89" s="56"/>
      <c r="P89" s="56"/>
      <c r="Q89" s="56"/>
      <c r="R89" s="56"/>
      <c r="S89" s="56"/>
      <c r="T89" s="56"/>
      <c r="U89" s="56"/>
      <c r="V89" s="56"/>
      <c r="W89" s="49"/>
      <c r="X89" s="56"/>
      <c r="Y89" s="56"/>
      <c r="Z89" s="56"/>
      <c r="AA89" s="56"/>
      <c r="AB89" s="56"/>
      <c r="AC89" s="56"/>
      <c r="AD89" s="56"/>
      <c r="AE89" s="56"/>
      <c r="AF89" s="56"/>
      <c r="AG89" s="49"/>
      <c r="AH89" s="56"/>
      <c r="AI89" s="56"/>
      <c r="AJ89" s="56"/>
      <c r="AK89" s="56"/>
      <c r="AL89" s="56"/>
      <c r="AM89" s="56"/>
      <c r="AN89" s="56"/>
      <c r="AO89" s="56"/>
      <c r="AP89" s="56"/>
      <c r="AQ89" s="49"/>
      <c r="AR89" s="56"/>
      <c r="AS89" s="56"/>
      <c r="AT89" s="56"/>
      <c r="AU89" s="56"/>
      <c r="AV89" s="56"/>
      <c r="AW89" s="56"/>
      <c r="AX89" s="56"/>
      <c r="AY89" s="56"/>
      <c r="AZ89" s="56"/>
      <c r="BA89" s="50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59"/>
      <c r="BS89" s="59"/>
      <c r="BT89" s="59"/>
      <c r="BU89" s="59"/>
      <c r="BV89" s="47" t="str">
        <f>IFERROR(__xludf.DUMMYFUNCTION("IFERROR(INDEX(motors!E:E, MATCH(1, (motors!A:A=REGEXEXTRACT(A89,""^\S+""))*(motors!B:B=BU89), 0)), """")"),"")</f>
        <v/>
      </c>
      <c r="BW89" s="47" t="str">
        <f>IFERROR(__xludf.DUMMYFUNCTION("IFERROR(INDEX(motors!F:F, MATCH(1, (motors!A:A=REGEXEXTRACT(A89,""^\S+""))*(motors!B:B=BU89), 0)), """")"),"")</f>
        <v/>
      </c>
      <c r="BX89" s="57"/>
      <c r="BY89" s="59"/>
      <c r="BZ89" s="59"/>
      <c r="CA89" s="53" t="str">
        <f>IFERROR(__xludf.DUMMYFUNCTION("IFERROR(REGEXEXTRACT(BZ89, ""(?i)[A-Z]+-D-E-([^-]+)-E""), """")"),"")</f>
        <v/>
      </c>
    </row>
    <row r="90" ht="11.25" customHeight="1">
      <c r="A90" s="45" t="s">
        <v>675</v>
      </c>
      <c r="B90" s="46">
        <v>7.4118717E7</v>
      </c>
      <c r="C90" s="47">
        <v>0.0</v>
      </c>
      <c r="D90" s="47">
        <v>8.7</v>
      </c>
      <c r="E90" s="47">
        <v>12.0</v>
      </c>
      <c r="F90" s="47">
        <v>14.0</v>
      </c>
      <c r="G90" s="47">
        <v>15.0</v>
      </c>
      <c r="H90" s="47">
        <v>16.0</v>
      </c>
      <c r="I90" s="47">
        <v>18.0</v>
      </c>
      <c r="J90" s="47">
        <v>20.0</v>
      </c>
      <c r="K90" s="47">
        <v>22.0</v>
      </c>
      <c r="L90" s="47">
        <v>24.0</v>
      </c>
      <c r="M90" s="48">
        <v>15.9</v>
      </c>
      <c r="N90" s="47">
        <v>13.610180629126148</v>
      </c>
      <c r="O90" s="47">
        <v>12.45</v>
      </c>
      <c r="P90" s="47">
        <v>11.65</v>
      </c>
      <c r="Q90" s="47">
        <v>11.23</v>
      </c>
      <c r="R90" s="47">
        <v>10.8</v>
      </c>
      <c r="S90" s="47">
        <v>9.95</v>
      </c>
      <c r="T90" s="47">
        <v>9.08</v>
      </c>
      <c r="U90" s="47">
        <v>8.1135819468</v>
      </c>
      <c r="V90" s="47">
        <v>6.942582595599998</v>
      </c>
      <c r="W90" s="49">
        <v>0.23</v>
      </c>
      <c r="X90" s="47">
        <v>0.52</v>
      </c>
      <c r="Y90" s="47">
        <v>0.616</v>
      </c>
      <c r="Z90" s="47">
        <v>0.658</v>
      </c>
      <c r="AA90" s="47">
        <v>0.676</v>
      </c>
      <c r="AB90" s="47">
        <v>0.692</v>
      </c>
      <c r="AC90" s="47">
        <v>0.717</v>
      </c>
      <c r="AD90" s="47">
        <v>0.736</v>
      </c>
      <c r="AE90" s="47">
        <v>0.746</v>
      </c>
      <c r="AF90" s="47">
        <v>0.751</v>
      </c>
      <c r="AG90" s="49">
        <v>0.656</v>
      </c>
      <c r="AH90" s="47">
        <v>0.878</v>
      </c>
      <c r="AI90" s="47">
        <v>1.032</v>
      </c>
      <c r="AJ90" s="47">
        <v>1.172</v>
      </c>
      <c r="AK90" s="47">
        <v>1.258</v>
      </c>
      <c r="AL90" s="47">
        <v>1.361</v>
      </c>
      <c r="AM90" s="47">
        <v>1.635</v>
      </c>
      <c r="AN90" s="47">
        <v>2.137</v>
      </c>
      <c r="AO90" s="47">
        <v>2.899</v>
      </c>
      <c r="AP90" s="47">
        <v>4.068</v>
      </c>
      <c r="AQ90" s="49">
        <v>0.0</v>
      </c>
      <c r="AR90" s="47">
        <v>55.0</v>
      </c>
      <c r="AS90" s="47">
        <v>66.34</v>
      </c>
      <c r="AT90" s="47">
        <v>69.74</v>
      </c>
      <c r="AU90" s="47">
        <v>71.01</v>
      </c>
      <c r="AV90" s="47">
        <v>71.97</v>
      </c>
      <c r="AW90" s="47">
        <v>72.93</v>
      </c>
      <c r="AX90" s="47">
        <v>72.4</v>
      </c>
      <c r="AY90" s="47">
        <v>70.08</v>
      </c>
      <c r="AZ90" s="47">
        <v>65.53</v>
      </c>
      <c r="BA90" s="50">
        <v>332.0</v>
      </c>
      <c r="BB90" s="51">
        <v>240.0</v>
      </c>
      <c r="BC90" s="51">
        <v>150.0</v>
      </c>
      <c r="BD90" s="51">
        <v>118.0</v>
      </c>
      <c r="BE90" s="51" t="s">
        <v>676</v>
      </c>
      <c r="BF90" s="51" t="s">
        <v>677</v>
      </c>
      <c r="BG90" s="51" t="s">
        <v>678</v>
      </c>
      <c r="BH90" s="51" t="s">
        <v>679</v>
      </c>
      <c r="BI90" s="51">
        <v>130.0</v>
      </c>
      <c r="BJ90" s="51">
        <v>196.0</v>
      </c>
      <c r="BK90" s="51">
        <v>300.0</v>
      </c>
      <c r="BL90" s="51">
        <v>215.0</v>
      </c>
      <c r="BM90" s="51">
        <v>284.0</v>
      </c>
      <c r="BN90" s="51">
        <v>90.0</v>
      </c>
      <c r="BO90" s="51">
        <v>34.0</v>
      </c>
      <c r="BP90" s="51" t="s">
        <v>680</v>
      </c>
      <c r="BQ90" s="51" t="s">
        <v>642</v>
      </c>
      <c r="BR90" s="52">
        <v>16.0</v>
      </c>
      <c r="BS90" s="53" t="s">
        <v>681</v>
      </c>
      <c r="BT90" s="53" t="s">
        <v>681</v>
      </c>
      <c r="BU90" s="52">
        <v>1.1</v>
      </c>
      <c r="BV90" s="47">
        <f>IFERROR(__xludf.DUMMYFUNCTION("IFERROR(INDEX(motors!E:E, MATCH(1, (motors!A:A=REGEXEXTRACT(A90,""^\S+""))*(motors!B:B=BU90), 0)), """")"),4.2)</f>
        <v>4.2</v>
      </c>
      <c r="BW90" s="47">
        <f>IFERROR(__xludf.DUMMYFUNCTION("IFERROR(INDEX(motors!F:F, MATCH(1, (motors!A:A=REGEXEXTRACT(A90,""^\S+""))*(motors!B:B=BU90), 0)), """")"),2.4)</f>
        <v>2.4</v>
      </c>
      <c r="BX90" s="51">
        <v>2.0</v>
      </c>
      <c r="BY90" s="52">
        <v>42.0</v>
      </c>
      <c r="BZ90" s="53" t="s">
        <v>682</v>
      </c>
      <c r="CA90" s="53" t="str">
        <f>IFERROR(__xludf.DUMMYFUNCTION("IFERROR(REGEXEXTRACT(BZ90, ""(?i)[A-Z]+-D-E-([^-]+)-E""), """")"),"HQQE")</f>
        <v>HQQE</v>
      </c>
    </row>
    <row r="91" ht="11.25" customHeight="1">
      <c r="A91" s="60" t="s">
        <v>683</v>
      </c>
      <c r="B91" s="61">
        <v>7.4118718E7</v>
      </c>
      <c r="C91" s="62">
        <v>0.0</v>
      </c>
      <c r="D91" s="62">
        <v>8.7</v>
      </c>
      <c r="E91" s="62">
        <v>12.0</v>
      </c>
      <c r="F91" s="62">
        <v>14.0</v>
      </c>
      <c r="G91" s="62">
        <v>15.0</v>
      </c>
      <c r="H91" s="62">
        <v>16.0</v>
      </c>
      <c r="I91" s="62">
        <v>18.0</v>
      </c>
      <c r="J91" s="62">
        <v>20.0</v>
      </c>
      <c r="K91" s="62">
        <v>22.0</v>
      </c>
      <c r="L91" s="62">
        <v>24.0</v>
      </c>
      <c r="M91" s="48">
        <v>29.0798326476</v>
      </c>
      <c r="N91" s="62">
        <v>25.6749308162844</v>
      </c>
      <c r="O91" s="62">
        <v>23.98362096</v>
      </c>
      <c r="P91" s="62">
        <v>22.7526491402</v>
      </c>
      <c r="Q91" s="62">
        <v>22.0723173321</v>
      </c>
      <c r="R91" s="62">
        <v>21.347220646</v>
      </c>
      <c r="S91" s="62">
        <v>19.7611957062</v>
      </c>
      <c r="T91" s="62">
        <v>17.9966102936</v>
      </c>
      <c r="U91" s="62">
        <v>16.063676125</v>
      </c>
      <c r="V91" s="62">
        <v>13.9807806612</v>
      </c>
      <c r="W91" s="62">
        <f>W90*2</f>
        <v>0.46</v>
      </c>
      <c r="X91" s="62">
        <v>1.04</v>
      </c>
      <c r="Y91" s="62">
        <v>1.232</v>
      </c>
      <c r="Z91" s="62">
        <v>1.316</v>
      </c>
      <c r="AA91" s="62">
        <v>1.352</v>
      </c>
      <c r="AB91" s="62">
        <v>1.384</v>
      </c>
      <c r="AC91" s="62">
        <v>1.434</v>
      </c>
      <c r="AD91" s="62">
        <v>1.472</v>
      </c>
      <c r="AE91" s="62">
        <v>1.492</v>
      </c>
      <c r="AF91" s="62">
        <v>1.502</v>
      </c>
      <c r="AG91" s="62">
        <v>0.656</v>
      </c>
      <c r="AH91" s="62">
        <v>0.878</v>
      </c>
      <c r="AI91" s="62">
        <v>1.032</v>
      </c>
      <c r="AJ91" s="62">
        <v>1.172</v>
      </c>
      <c r="AK91" s="62">
        <v>1.258</v>
      </c>
      <c r="AL91" s="62">
        <v>1.361</v>
      </c>
      <c r="AM91" s="62">
        <v>1.635</v>
      </c>
      <c r="AN91" s="62">
        <v>2.137</v>
      </c>
      <c r="AO91" s="62">
        <v>2.899</v>
      </c>
      <c r="AP91" s="62">
        <v>4.068</v>
      </c>
      <c r="AQ91" s="62">
        <v>0.0</v>
      </c>
      <c r="AR91" s="62">
        <v>55.0</v>
      </c>
      <c r="AS91" s="62">
        <v>66.34</v>
      </c>
      <c r="AT91" s="62">
        <v>69.74</v>
      </c>
      <c r="AU91" s="62">
        <v>71.01</v>
      </c>
      <c r="AV91" s="62">
        <v>71.97</v>
      </c>
      <c r="AW91" s="62">
        <v>72.93</v>
      </c>
      <c r="AX91" s="62">
        <v>72.4</v>
      </c>
      <c r="AY91" s="62">
        <v>70.08</v>
      </c>
      <c r="AZ91" s="62">
        <v>65.53</v>
      </c>
      <c r="BA91" s="63">
        <v>389.0</v>
      </c>
      <c r="BB91" s="64">
        <v>280.0</v>
      </c>
      <c r="BC91" s="64">
        <v>168.0</v>
      </c>
      <c r="BD91" s="64">
        <v>127.0</v>
      </c>
      <c r="BE91" s="64" t="s">
        <v>676</v>
      </c>
      <c r="BF91" s="64" t="s">
        <v>677</v>
      </c>
      <c r="BG91" s="64" t="s">
        <v>678</v>
      </c>
      <c r="BH91" s="64" t="s">
        <v>679</v>
      </c>
      <c r="BI91" s="64">
        <v>130.0</v>
      </c>
      <c r="BJ91" s="64">
        <v>196.0</v>
      </c>
      <c r="BK91" s="64">
        <v>300.0</v>
      </c>
      <c r="BL91" s="64">
        <v>215.0</v>
      </c>
      <c r="BM91" s="64">
        <v>284.0</v>
      </c>
      <c r="BN91" s="64">
        <v>90.0</v>
      </c>
      <c r="BO91" s="64">
        <v>34.0</v>
      </c>
      <c r="BP91" s="64" t="s">
        <v>680</v>
      </c>
      <c r="BQ91" s="64" t="s">
        <v>642</v>
      </c>
      <c r="BR91" s="65">
        <v>16.0</v>
      </c>
      <c r="BS91" s="63" t="s">
        <v>681</v>
      </c>
      <c r="BT91" s="63" t="s">
        <v>681</v>
      </c>
      <c r="BU91" s="65">
        <v>2.2</v>
      </c>
      <c r="BV91" s="47">
        <f>IFERROR(__xludf.DUMMYFUNCTION("IFERROR(INDEX(motors!E:E, MATCH(1, (motors!A:A=REGEXEXTRACT(A91,""^\S+""))*(motors!B:B=BU91), 0)), """")"),7.9)</f>
        <v>7.9</v>
      </c>
      <c r="BW91" s="47">
        <f>IFERROR(__xludf.DUMMYFUNCTION("IFERROR(INDEX(motors!F:F, MATCH(1, (motors!A:A=REGEXEXTRACT(A91,""^\S+""))*(motors!B:B=BU91), 0)), """")"),4.6)</f>
        <v>4.6</v>
      </c>
      <c r="BX91" s="64">
        <v>2.0</v>
      </c>
      <c r="BY91" s="65">
        <v>50.0</v>
      </c>
      <c r="BZ91" s="63" t="s">
        <v>684</v>
      </c>
      <c r="CA91" s="53" t="str">
        <f>IFERROR(__xludf.DUMMYFUNCTION("IFERROR(REGEXEXTRACT(BZ91, ""(?i)[A-Z]+-D-E-([^-]+)-E""), """")"),"HQQE")</f>
        <v>HQQE</v>
      </c>
    </row>
    <row r="92" ht="11.25" customHeight="1">
      <c r="A92" s="60" t="s">
        <v>685</v>
      </c>
      <c r="B92" s="61">
        <v>7.4118712E7</v>
      </c>
      <c r="C92" s="62">
        <v>0.0</v>
      </c>
      <c r="D92" s="62">
        <v>8.7</v>
      </c>
      <c r="E92" s="62">
        <v>12.0</v>
      </c>
      <c r="F92" s="62">
        <v>14.0</v>
      </c>
      <c r="G92" s="62">
        <v>15.0</v>
      </c>
      <c r="H92" s="62">
        <v>16.0</v>
      </c>
      <c r="I92" s="62">
        <v>18.0</v>
      </c>
      <c r="J92" s="62">
        <v>20.0</v>
      </c>
      <c r="K92" s="62">
        <v>22.0</v>
      </c>
      <c r="L92" s="62">
        <v>24.0</v>
      </c>
      <c r="M92" s="48">
        <v>43.0504167477</v>
      </c>
      <c r="N92" s="62">
        <v>38.9292801864147</v>
      </c>
      <c r="O92" s="62">
        <v>36.074705684099996</v>
      </c>
      <c r="P92" s="62">
        <v>34.0526365311</v>
      </c>
      <c r="Q92" s="62">
        <v>32.9591340702</v>
      </c>
      <c r="R92" s="62">
        <v>31.809359030899998</v>
      </c>
      <c r="S92" s="62">
        <v>29.333730290699997</v>
      </c>
      <c r="T92" s="62">
        <v>26.6055968577</v>
      </c>
      <c r="U92" s="62">
        <v>23.5957947191</v>
      </c>
      <c r="V92" s="62">
        <v>20.0</v>
      </c>
      <c r="W92" s="62">
        <f>W90*3</f>
        <v>0.69</v>
      </c>
      <c r="X92" s="62">
        <v>1.56</v>
      </c>
      <c r="Y92" s="62">
        <v>1.8479999999999999</v>
      </c>
      <c r="Z92" s="62">
        <v>1.9740000000000002</v>
      </c>
      <c r="AA92" s="62">
        <v>2.028</v>
      </c>
      <c r="AB92" s="62">
        <v>2.0759999999999996</v>
      </c>
      <c r="AC92" s="62">
        <v>2.151</v>
      </c>
      <c r="AD92" s="62">
        <v>2.208</v>
      </c>
      <c r="AE92" s="62">
        <v>2.238</v>
      </c>
      <c r="AF92" s="62">
        <v>2.253</v>
      </c>
      <c r="AG92" s="62">
        <v>0.656</v>
      </c>
      <c r="AH92" s="62">
        <v>0.878</v>
      </c>
      <c r="AI92" s="62">
        <v>1.032</v>
      </c>
      <c r="AJ92" s="62">
        <v>1.172</v>
      </c>
      <c r="AK92" s="62">
        <v>1.258</v>
      </c>
      <c r="AL92" s="62">
        <v>1.361</v>
      </c>
      <c r="AM92" s="62">
        <v>1.635</v>
      </c>
      <c r="AN92" s="62">
        <v>2.137</v>
      </c>
      <c r="AO92" s="62">
        <v>2.899</v>
      </c>
      <c r="AP92" s="62">
        <v>4.068</v>
      </c>
      <c r="AQ92" s="62">
        <v>0.0</v>
      </c>
      <c r="AR92" s="62">
        <v>55.0</v>
      </c>
      <c r="AS92" s="62">
        <v>66.34</v>
      </c>
      <c r="AT92" s="62">
        <v>69.74</v>
      </c>
      <c r="AU92" s="62">
        <v>71.01</v>
      </c>
      <c r="AV92" s="62">
        <v>71.97</v>
      </c>
      <c r="AW92" s="62">
        <v>72.93</v>
      </c>
      <c r="AX92" s="62">
        <v>72.4</v>
      </c>
      <c r="AY92" s="62">
        <v>70.08</v>
      </c>
      <c r="AZ92" s="62">
        <v>65.53</v>
      </c>
      <c r="BA92" s="63">
        <v>434.0</v>
      </c>
      <c r="BB92" s="64">
        <v>300.0</v>
      </c>
      <c r="BC92" s="64">
        <v>168.0</v>
      </c>
      <c r="BD92" s="64">
        <v>127.0</v>
      </c>
      <c r="BE92" s="64" t="s">
        <v>676</v>
      </c>
      <c r="BF92" s="64" t="s">
        <v>677</v>
      </c>
      <c r="BG92" s="64" t="s">
        <v>678</v>
      </c>
      <c r="BH92" s="64" t="s">
        <v>679</v>
      </c>
      <c r="BI92" s="64">
        <v>130.0</v>
      </c>
      <c r="BJ92" s="64">
        <v>196.0</v>
      </c>
      <c r="BK92" s="64">
        <v>300.0</v>
      </c>
      <c r="BL92" s="64">
        <v>215.0</v>
      </c>
      <c r="BM92" s="64">
        <v>284.0</v>
      </c>
      <c r="BN92" s="64">
        <v>90.0</v>
      </c>
      <c r="BO92" s="64">
        <v>34.0</v>
      </c>
      <c r="BP92" s="64" t="s">
        <v>680</v>
      </c>
      <c r="BQ92" s="64" t="s">
        <v>642</v>
      </c>
      <c r="BR92" s="65">
        <v>16.0</v>
      </c>
      <c r="BS92" s="63" t="s">
        <v>681</v>
      </c>
      <c r="BT92" s="63" t="s">
        <v>681</v>
      </c>
      <c r="BU92" s="65">
        <v>3.0</v>
      </c>
      <c r="BV92" s="47">
        <f>IFERROR(__xludf.DUMMYFUNCTION("IFERROR(INDEX(motors!E:E, MATCH(1, (motors!A:A=REGEXEXTRACT(A92,""^\S+""))*(motors!B:B=BU92), 0)), """")"),10.4)</f>
        <v>10.4</v>
      </c>
      <c r="BW92" s="47">
        <f>IFERROR(__xludf.DUMMYFUNCTION("IFERROR(INDEX(motors!F:F, MATCH(1, (motors!A:A=REGEXEXTRACT(A92,""^\S+""))*(motors!B:B=BU92), 0)), """")"),6.0)</f>
        <v>6</v>
      </c>
      <c r="BX92" s="64">
        <v>2.0</v>
      </c>
      <c r="BY92" s="65">
        <v>55.0</v>
      </c>
      <c r="BZ92" s="63" t="s">
        <v>686</v>
      </c>
      <c r="CA92" s="53" t="str">
        <f>IFERROR(__xludf.DUMMYFUNCTION("IFERROR(REGEXEXTRACT(BZ92, ""(?i)[A-Z]+-D-E-([^-]+)-E""), """")"),"HQQE")</f>
        <v>HQQE</v>
      </c>
    </row>
    <row r="93" ht="11.25" customHeight="1">
      <c r="A93" s="61" t="s">
        <v>687</v>
      </c>
      <c r="B93" s="61">
        <v>7.4118719E7</v>
      </c>
      <c r="C93" s="62">
        <v>0.0</v>
      </c>
      <c r="D93" s="62">
        <v>8.7</v>
      </c>
      <c r="E93" s="62">
        <v>12.0</v>
      </c>
      <c r="F93" s="62">
        <v>14.0</v>
      </c>
      <c r="G93" s="62">
        <v>15.0</v>
      </c>
      <c r="H93" s="62">
        <v>16.0</v>
      </c>
      <c r="I93" s="62">
        <v>18.0</v>
      </c>
      <c r="J93" s="62">
        <v>20.0</v>
      </c>
      <c r="K93" s="62">
        <v>22.0</v>
      </c>
      <c r="L93" s="62">
        <v>24.0</v>
      </c>
      <c r="M93" s="48">
        <v>57.0962786378</v>
      </c>
      <c r="N93" s="62">
        <v>51.29410927436789</v>
      </c>
      <c r="O93" s="62">
        <v>48.0703531334</v>
      </c>
      <c r="P93" s="62">
        <v>45.7174458592</v>
      </c>
      <c r="Q93" s="62">
        <v>44.3991359588</v>
      </c>
      <c r="R93" s="62">
        <v>42.9713570458</v>
      </c>
      <c r="S93" s="62">
        <v>39.736124488399994</v>
      </c>
      <c r="T93" s="62">
        <v>35.898257495799996</v>
      </c>
      <c r="U93" s="62">
        <v>31.3267368904</v>
      </c>
      <c r="V93" s="62">
        <v>26.0</v>
      </c>
      <c r="W93" s="62">
        <f>W90*4</f>
        <v>0.92</v>
      </c>
      <c r="X93" s="62">
        <v>2.08</v>
      </c>
      <c r="Y93" s="62">
        <v>2.464</v>
      </c>
      <c r="Z93" s="62">
        <v>2.632</v>
      </c>
      <c r="AA93" s="62">
        <v>2.704</v>
      </c>
      <c r="AB93" s="62">
        <v>2.768</v>
      </c>
      <c r="AC93" s="62">
        <v>2.868</v>
      </c>
      <c r="AD93" s="62">
        <v>2.944</v>
      </c>
      <c r="AE93" s="62">
        <v>2.984</v>
      </c>
      <c r="AF93" s="62">
        <v>3.004</v>
      </c>
      <c r="AG93" s="62">
        <v>0.656</v>
      </c>
      <c r="AH93" s="62">
        <v>0.878</v>
      </c>
      <c r="AI93" s="62">
        <v>1.032</v>
      </c>
      <c r="AJ93" s="62">
        <v>1.172</v>
      </c>
      <c r="AK93" s="62">
        <v>1.258</v>
      </c>
      <c r="AL93" s="62">
        <v>1.361</v>
      </c>
      <c r="AM93" s="62">
        <v>1.635</v>
      </c>
      <c r="AN93" s="62">
        <v>2.137</v>
      </c>
      <c r="AO93" s="62">
        <v>2.899</v>
      </c>
      <c r="AP93" s="62">
        <v>4.068</v>
      </c>
      <c r="AQ93" s="62">
        <v>0.0</v>
      </c>
      <c r="AR93" s="62">
        <v>55.0</v>
      </c>
      <c r="AS93" s="62">
        <v>66.34</v>
      </c>
      <c r="AT93" s="62">
        <v>69.74</v>
      </c>
      <c r="AU93" s="62">
        <v>71.01</v>
      </c>
      <c r="AV93" s="62">
        <v>71.97</v>
      </c>
      <c r="AW93" s="62">
        <v>72.93</v>
      </c>
      <c r="AX93" s="62">
        <v>72.4</v>
      </c>
      <c r="AY93" s="62">
        <v>70.08</v>
      </c>
      <c r="AZ93" s="62">
        <v>65.53</v>
      </c>
      <c r="BA93" s="63">
        <v>489.0</v>
      </c>
      <c r="BB93" s="64">
        <v>323.0</v>
      </c>
      <c r="BC93" s="64">
        <v>200.0</v>
      </c>
      <c r="BD93" s="64">
        <v>146.0</v>
      </c>
      <c r="BE93" s="64" t="s">
        <v>676</v>
      </c>
      <c r="BF93" s="64" t="s">
        <v>677</v>
      </c>
      <c r="BG93" s="64" t="s">
        <v>678</v>
      </c>
      <c r="BH93" s="64" t="s">
        <v>679</v>
      </c>
      <c r="BI93" s="64">
        <v>130.0</v>
      </c>
      <c r="BJ93" s="64">
        <v>196.0</v>
      </c>
      <c r="BK93" s="64">
        <v>300.0</v>
      </c>
      <c r="BL93" s="64">
        <v>215.0</v>
      </c>
      <c r="BM93" s="64">
        <v>284.0</v>
      </c>
      <c r="BN93" s="64">
        <v>90.0</v>
      </c>
      <c r="BO93" s="64">
        <v>34.0</v>
      </c>
      <c r="BP93" s="64" t="s">
        <v>680</v>
      </c>
      <c r="BQ93" s="64" t="s">
        <v>642</v>
      </c>
      <c r="BR93" s="65">
        <v>16.0</v>
      </c>
      <c r="BS93" s="63" t="s">
        <v>681</v>
      </c>
      <c r="BT93" s="63" t="s">
        <v>681</v>
      </c>
      <c r="BU93" s="65">
        <v>4.0</v>
      </c>
      <c r="BV93" s="47">
        <f>IFERROR(__xludf.DUMMYFUNCTION("IFERROR(INDEX(motors!E:E, MATCH(1, (motors!A:A=REGEXEXTRACT(A93,""^\S+""))*(motors!B:B=BU93), 0)), """")"),7.8)</f>
        <v>7.8</v>
      </c>
      <c r="BW93" s="47">
        <f>IFERROR(__xludf.DUMMYFUNCTION("IFERROR(INDEX(motors!F:F, MATCH(1, (motors!A:A=REGEXEXTRACT(A93,""^\S+""))*(motors!B:B=BU93), 0)), """")"),4.5)</f>
        <v>4.5</v>
      </c>
      <c r="BX93" s="64">
        <v>2.0</v>
      </c>
      <c r="BY93" s="65">
        <v>68.0</v>
      </c>
      <c r="BZ93" s="63" t="s">
        <v>688</v>
      </c>
      <c r="CA93" s="53" t="str">
        <f>IFERROR(__xludf.DUMMYFUNCTION("IFERROR(REGEXEXTRACT(BZ93, ""(?i)[A-Z]+-D-E-([^-]+)-E""), """")"),"HQQE")</f>
        <v>HQQE</v>
      </c>
    </row>
    <row r="94" ht="11.25" customHeight="1">
      <c r="A94" s="60" t="s">
        <v>689</v>
      </c>
      <c r="B94" s="61">
        <v>7.411872E7</v>
      </c>
      <c r="C94" s="62">
        <v>0.0</v>
      </c>
      <c r="D94" s="62">
        <v>8.7</v>
      </c>
      <c r="E94" s="62">
        <v>12.0</v>
      </c>
      <c r="F94" s="62">
        <v>14.0</v>
      </c>
      <c r="G94" s="62">
        <v>15.0</v>
      </c>
      <c r="H94" s="62">
        <v>16.0</v>
      </c>
      <c r="I94" s="62">
        <v>18.0</v>
      </c>
      <c r="J94" s="62">
        <v>20.0</v>
      </c>
      <c r="K94" s="62">
        <v>22.0</v>
      </c>
      <c r="L94" s="62">
        <v>24.0</v>
      </c>
      <c r="M94" s="48">
        <v>71.0896983486</v>
      </c>
      <c r="N94" s="62">
        <v>65.33180146891587</v>
      </c>
      <c r="O94" s="62">
        <v>61.1197736778</v>
      </c>
      <c r="P94" s="62">
        <v>57.9077409768</v>
      </c>
      <c r="Q94" s="62">
        <v>56.1001716156</v>
      </c>
      <c r="R94" s="62">
        <v>54.1518732686</v>
      </c>
      <c r="S94" s="62">
        <v>49.813941533999994</v>
      </c>
      <c r="T94" s="62">
        <v>44.855537694599995</v>
      </c>
      <c r="U94" s="62">
        <v>39.2380746128</v>
      </c>
      <c r="V94" s="62">
        <v>33.0</v>
      </c>
      <c r="W94" s="62">
        <f>W90*5</f>
        <v>1.15</v>
      </c>
      <c r="X94" s="62">
        <v>2.6</v>
      </c>
      <c r="Y94" s="62">
        <v>3.08</v>
      </c>
      <c r="Z94" s="62">
        <v>3.29</v>
      </c>
      <c r="AA94" s="62">
        <v>3.3800000000000003</v>
      </c>
      <c r="AB94" s="62">
        <v>3.46</v>
      </c>
      <c r="AC94" s="62">
        <v>3.585</v>
      </c>
      <c r="AD94" s="62">
        <v>3.6799999999999997</v>
      </c>
      <c r="AE94" s="62">
        <v>3.73</v>
      </c>
      <c r="AF94" s="62">
        <v>3.755</v>
      </c>
      <c r="AG94" s="62">
        <v>0.656</v>
      </c>
      <c r="AH94" s="62">
        <v>0.878</v>
      </c>
      <c r="AI94" s="62">
        <v>1.032</v>
      </c>
      <c r="AJ94" s="62">
        <v>1.172</v>
      </c>
      <c r="AK94" s="62">
        <v>1.258</v>
      </c>
      <c r="AL94" s="62">
        <v>1.361</v>
      </c>
      <c r="AM94" s="62">
        <v>1.635</v>
      </c>
      <c r="AN94" s="62">
        <v>2.137</v>
      </c>
      <c r="AO94" s="62">
        <v>2.899</v>
      </c>
      <c r="AP94" s="62">
        <v>4.068</v>
      </c>
      <c r="AQ94" s="62">
        <v>0.0</v>
      </c>
      <c r="AR94" s="62">
        <v>55.0</v>
      </c>
      <c r="AS94" s="62">
        <v>66.34</v>
      </c>
      <c r="AT94" s="62">
        <v>69.74</v>
      </c>
      <c r="AU94" s="62">
        <v>71.01</v>
      </c>
      <c r="AV94" s="62">
        <v>71.97</v>
      </c>
      <c r="AW94" s="62">
        <v>72.93</v>
      </c>
      <c r="AX94" s="62">
        <v>72.4</v>
      </c>
      <c r="AY94" s="62">
        <v>70.08</v>
      </c>
      <c r="AZ94" s="62">
        <v>65.53</v>
      </c>
      <c r="BA94" s="63">
        <v>534.0</v>
      </c>
      <c r="BB94" s="64">
        <v>323.0</v>
      </c>
      <c r="BC94" s="64">
        <v>200.0</v>
      </c>
      <c r="BD94" s="64">
        <v>146.0</v>
      </c>
      <c r="BE94" s="64" t="s">
        <v>676</v>
      </c>
      <c r="BF94" s="64" t="s">
        <v>677</v>
      </c>
      <c r="BG94" s="64" t="s">
        <v>678</v>
      </c>
      <c r="BH94" s="64" t="s">
        <v>679</v>
      </c>
      <c r="BI94" s="64">
        <v>130.0</v>
      </c>
      <c r="BJ94" s="64">
        <v>196.0</v>
      </c>
      <c r="BK94" s="64">
        <v>300.0</v>
      </c>
      <c r="BL94" s="64">
        <v>215.0</v>
      </c>
      <c r="BM94" s="64">
        <v>284.0</v>
      </c>
      <c r="BN94" s="64">
        <v>90.0</v>
      </c>
      <c r="BO94" s="64">
        <v>34.0</v>
      </c>
      <c r="BP94" s="64" t="s">
        <v>680</v>
      </c>
      <c r="BQ94" s="64" t="s">
        <v>642</v>
      </c>
      <c r="BR94" s="65">
        <v>16.0</v>
      </c>
      <c r="BS94" s="63" t="s">
        <v>681</v>
      </c>
      <c r="BT94" s="63" t="s">
        <v>681</v>
      </c>
      <c r="BU94" s="65">
        <v>4.0</v>
      </c>
      <c r="BV94" s="47">
        <f>IFERROR(__xludf.DUMMYFUNCTION("IFERROR(INDEX(motors!E:E, MATCH(1, (motors!A:A=REGEXEXTRACT(A94,""^\S+""))*(motors!B:B=BU94), 0)), """")"),7.8)</f>
        <v>7.8</v>
      </c>
      <c r="BW94" s="47">
        <f>IFERROR(__xludf.DUMMYFUNCTION("IFERROR(INDEX(motors!F:F, MATCH(1, (motors!A:A=REGEXEXTRACT(A94,""^\S+""))*(motors!B:B=BU94), 0)), """")"),4.5)</f>
        <v>4.5</v>
      </c>
      <c r="BX94" s="64">
        <v>2.0</v>
      </c>
      <c r="BY94" s="65">
        <v>69.0</v>
      </c>
      <c r="BZ94" s="63" t="s">
        <v>690</v>
      </c>
      <c r="CA94" s="53" t="str">
        <f>IFERROR(__xludf.DUMMYFUNCTION("IFERROR(REGEXEXTRACT(BZ94, ""(?i)[A-Z]+-D-E-([^-]+)-E""), """")"),"HQQE")</f>
        <v>HQQE</v>
      </c>
    </row>
    <row r="95" ht="11.25" customHeight="1">
      <c r="A95" s="54" t="s">
        <v>691</v>
      </c>
      <c r="B95" s="55">
        <v>7.4118721E7</v>
      </c>
      <c r="C95" s="56">
        <v>0.0</v>
      </c>
      <c r="D95" s="56">
        <v>8.7</v>
      </c>
      <c r="E95" s="56">
        <v>12.0</v>
      </c>
      <c r="F95" s="56">
        <v>14.0</v>
      </c>
      <c r="G95" s="56">
        <v>15.0</v>
      </c>
      <c r="H95" s="56">
        <v>16.0</v>
      </c>
      <c r="I95" s="56">
        <v>18.0</v>
      </c>
      <c r="J95" s="56">
        <v>20.0</v>
      </c>
      <c r="K95" s="56">
        <v>22.0</v>
      </c>
      <c r="L95" s="56">
        <v>24.0</v>
      </c>
      <c r="M95" s="48">
        <v>85.0837188538</v>
      </c>
      <c r="N95" s="56">
        <v>79.52384009269623</v>
      </c>
      <c r="O95" s="56">
        <v>74.31549262179999</v>
      </c>
      <c r="P95" s="56">
        <v>70.1269711738</v>
      </c>
      <c r="Q95" s="56">
        <v>67.75323103029999</v>
      </c>
      <c r="R95" s="56">
        <v>65.2063957626</v>
      </c>
      <c r="S95" s="56">
        <v>59.65259067459999</v>
      </c>
      <c r="T95" s="56">
        <v>53.61631980579999</v>
      </c>
      <c r="U95" s="56">
        <v>47.30028666179999</v>
      </c>
      <c r="V95" s="56">
        <v>40.1</v>
      </c>
      <c r="W95" s="49">
        <f>W90*6</f>
        <v>1.38</v>
      </c>
      <c r="X95" s="56">
        <v>3.12</v>
      </c>
      <c r="Y95" s="56">
        <v>3.6959999999999997</v>
      </c>
      <c r="Z95" s="56">
        <v>3.9480000000000004</v>
      </c>
      <c r="AA95" s="56">
        <v>4.056</v>
      </c>
      <c r="AB95" s="56">
        <v>4.151999999999999</v>
      </c>
      <c r="AC95" s="56">
        <v>4.302</v>
      </c>
      <c r="AD95" s="56">
        <v>4.416</v>
      </c>
      <c r="AE95" s="56">
        <v>4.476</v>
      </c>
      <c r="AF95" s="56">
        <v>4.506</v>
      </c>
      <c r="AG95" s="49">
        <v>0.656</v>
      </c>
      <c r="AH95" s="56">
        <v>0.878</v>
      </c>
      <c r="AI95" s="56">
        <v>1.032</v>
      </c>
      <c r="AJ95" s="56">
        <v>1.172</v>
      </c>
      <c r="AK95" s="56">
        <v>1.258</v>
      </c>
      <c r="AL95" s="56">
        <v>1.361</v>
      </c>
      <c r="AM95" s="56">
        <v>1.635</v>
      </c>
      <c r="AN95" s="56">
        <v>2.137</v>
      </c>
      <c r="AO95" s="56">
        <v>2.899</v>
      </c>
      <c r="AP95" s="56">
        <v>4.068</v>
      </c>
      <c r="AQ95" s="49">
        <v>0.0</v>
      </c>
      <c r="AR95" s="56">
        <v>55.0</v>
      </c>
      <c r="AS95" s="56">
        <v>66.34</v>
      </c>
      <c r="AT95" s="56">
        <v>69.74</v>
      </c>
      <c r="AU95" s="56">
        <v>71.01</v>
      </c>
      <c r="AV95" s="56">
        <v>71.97</v>
      </c>
      <c r="AW95" s="56">
        <v>72.93</v>
      </c>
      <c r="AX95" s="56">
        <v>72.4</v>
      </c>
      <c r="AY95" s="56">
        <v>70.08</v>
      </c>
      <c r="AZ95" s="56">
        <v>65.53</v>
      </c>
      <c r="BA95" s="50">
        <v>604.0</v>
      </c>
      <c r="BB95" s="57">
        <v>379.0</v>
      </c>
      <c r="BC95" s="57">
        <v>212.0</v>
      </c>
      <c r="BD95" s="57">
        <v>160.0</v>
      </c>
      <c r="BE95" s="57" t="s">
        <v>676</v>
      </c>
      <c r="BF95" s="57" t="s">
        <v>677</v>
      </c>
      <c r="BG95" s="57" t="s">
        <v>678</v>
      </c>
      <c r="BH95" s="57" t="s">
        <v>679</v>
      </c>
      <c r="BI95" s="57">
        <v>130.0</v>
      </c>
      <c r="BJ95" s="57">
        <v>196.0</v>
      </c>
      <c r="BK95" s="57">
        <v>300.0</v>
      </c>
      <c r="BL95" s="57">
        <v>215.0</v>
      </c>
      <c r="BM95" s="57">
        <v>284.0</v>
      </c>
      <c r="BN95" s="57">
        <v>90.0</v>
      </c>
      <c r="BO95" s="57">
        <v>34.0</v>
      </c>
      <c r="BP95" s="57" t="s">
        <v>680</v>
      </c>
      <c r="BQ95" s="57" t="s">
        <v>642</v>
      </c>
      <c r="BR95" s="58">
        <v>16.0</v>
      </c>
      <c r="BS95" s="59" t="s">
        <v>681</v>
      </c>
      <c r="BT95" s="59" t="s">
        <v>681</v>
      </c>
      <c r="BU95" s="58">
        <v>5.5</v>
      </c>
      <c r="BV95" s="47">
        <f>IFERROR(__xludf.DUMMYFUNCTION("IFERROR(INDEX(motors!E:E, MATCH(1, (motors!A:A=REGEXEXTRACT(A95,""^\S+""))*(motors!B:B=BU95), 0)), """")"),10.6)</f>
        <v>10.6</v>
      </c>
      <c r="BW95" s="47">
        <f>IFERROR(__xludf.DUMMYFUNCTION("IFERROR(INDEX(motors!F:F, MATCH(1, (motors!A:A=REGEXEXTRACT(A95,""^\S+""))*(motors!B:B=BU95), 0)), """")"),6.1)</f>
        <v>6.1</v>
      </c>
      <c r="BX95" s="57">
        <v>2.0</v>
      </c>
      <c r="BY95" s="58">
        <v>91.0</v>
      </c>
      <c r="BZ95" s="59" t="s">
        <v>692</v>
      </c>
      <c r="CA95" s="53" t="str">
        <f>IFERROR(__xludf.DUMMYFUNCTION("IFERROR(REGEXEXTRACT(BZ95, ""(?i)[A-Z]+-D-E-([^-]+)-E""), """")"),"HQQE")</f>
        <v>HQQE</v>
      </c>
    </row>
    <row r="96" ht="11.25" customHeight="1">
      <c r="A96" s="60" t="s">
        <v>693</v>
      </c>
      <c r="B96" s="61">
        <v>7.4118722E7</v>
      </c>
      <c r="C96" s="62">
        <v>0.0</v>
      </c>
      <c r="D96" s="62">
        <v>8.7</v>
      </c>
      <c r="E96" s="62">
        <v>12.0</v>
      </c>
      <c r="F96" s="62">
        <v>14.0</v>
      </c>
      <c r="G96" s="62">
        <v>15.0</v>
      </c>
      <c r="H96" s="62">
        <v>16.0</v>
      </c>
      <c r="I96" s="62">
        <v>18.0</v>
      </c>
      <c r="J96" s="62">
        <v>20.0</v>
      </c>
      <c r="K96" s="62">
        <v>22.0</v>
      </c>
      <c r="L96" s="62">
        <v>24.0</v>
      </c>
      <c r="M96" s="48">
        <v>98.969091498</v>
      </c>
      <c r="N96" s="62">
        <v>93.8835599609355</v>
      </c>
      <c r="O96" s="62">
        <v>87.60935406</v>
      </c>
      <c r="P96" s="62">
        <v>82.797357213</v>
      </c>
      <c r="Q96" s="62">
        <v>80.12523646049999</v>
      </c>
      <c r="R96" s="62">
        <v>77.28398461</v>
      </c>
      <c r="S96" s="62">
        <v>71.11893897899999</v>
      </c>
      <c r="T96" s="62">
        <v>64.351923048</v>
      </c>
      <c r="U96" s="62">
        <v>57.032639544999995</v>
      </c>
      <c r="V96" s="62">
        <v>49.1</v>
      </c>
      <c r="W96" s="62">
        <f>W90*7</f>
        <v>1.61</v>
      </c>
      <c r="X96" s="62">
        <v>3.64</v>
      </c>
      <c r="Y96" s="62">
        <v>4.312</v>
      </c>
      <c r="Z96" s="62">
        <v>4.606</v>
      </c>
      <c r="AA96" s="62">
        <v>4.732</v>
      </c>
      <c r="AB96" s="62">
        <v>4.843999999999999</v>
      </c>
      <c r="AC96" s="62">
        <v>5.019</v>
      </c>
      <c r="AD96" s="62">
        <v>5.152</v>
      </c>
      <c r="AE96" s="62">
        <v>5.2219999999999995</v>
      </c>
      <c r="AF96" s="62">
        <v>5.257</v>
      </c>
      <c r="AG96" s="62">
        <v>0.656</v>
      </c>
      <c r="AH96" s="62">
        <v>0.878</v>
      </c>
      <c r="AI96" s="62">
        <v>1.032</v>
      </c>
      <c r="AJ96" s="62">
        <v>1.172</v>
      </c>
      <c r="AK96" s="62">
        <v>1.258</v>
      </c>
      <c r="AL96" s="62">
        <v>1.361</v>
      </c>
      <c r="AM96" s="62">
        <v>1.635</v>
      </c>
      <c r="AN96" s="62">
        <v>2.137</v>
      </c>
      <c r="AO96" s="62">
        <v>2.899</v>
      </c>
      <c r="AP96" s="62">
        <v>4.068</v>
      </c>
      <c r="AQ96" s="62">
        <v>0.0</v>
      </c>
      <c r="AR96" s="62">
        <v>55.0</v>
      </c>
      <c r="AS96" s="62">
        <v>66.34</v>
      </c>
      <c r="AT96" s="62">
        <v>69.74</v>
      </c>
      <c r="AU96" s="62">
        <v>71.01</v>
      </c>
      <c r="AV96" s="62">
        <v>71.97</v>
      </c>
      <c r="AW96" s="62">
        <v>72.93</v>
      </c>
      <c r="AX96" s="62">
        <v>72.4</v>
      </c>
      <c r="AY96" s="62">
        <v>70.08</v>
      </c>
      <c r="AZ96" s="62">
        <v>65.53</v>
      </c>
      <c r="BA96" s="63">
        <v>649.0</v>
      </c>
      <c r="BB96" s="64">
        <v>379.0</v>
      </c>
      <c r="BC96" s="64">
        <v>212.0</v>
      </c>
      <c r="BD96" s="64">
        <v>160.0</v>
      </c>
      <c r="BE96" s="64" t="s">
        <v>676</v>
      </c>
      <c r="BF96" s="64" t="s">
        <v>677</v>
      </c>
      <c r="BG96" s="64" t="s">
        <v>678</v>
      </c>
      <c r="BH96" s="64" t="s">
        <v>679</v>
      </c>
      <c r="BI96" s="64">
        <v>130.0</v>
      </c>
      <c r="BJ96" s="64">
        <v>196.0</v>
      </c>
      <c r="BK96" s="64">
        <v>300.0</v>
      </c>
      <c r="BL96" s="64">
        <v>215.0</v>
      </c>
      <c r="BM96" s="64">
        <v>284.0</v>
      </c>
      <c r="BN96" s="64">
        <v>90.0</v>
      </c>
      <c r="BO96" s="64">
        <v>34.0</v>
      </c>
      <c r="BP96" s="64" t="s">
        <v>680</v>
      </c>
      <c r="BQ96" s="64" t="s">
        <v>642</v>
      </c>
      <c r="BR96" s="65">
        <v>16.0</v>
      </c>
      <c r="BS96" s="63" t="s">
        <v>681</v>
      </c>
      <c r="BT96" s="63" t="s">
        <v>681</v>
      </c>
      <c r="BU96" s="65">
        <v>5.5</v>
      </c>
      <c r="BV96" s="47">
        <f>IFERROR(__xludf.DUMMYFUNCTION("IFERROR(INDEX(motors!E:E, MATCH(1, (motors!A:A=REGEXEXTRACT(A96,""^\S+""))*(motors!B:B=BU96), 0)), """")"),10.6)</f>
        <v>10.6</v>
      </c>
      <c r="BW96" s="47">
        <f>IFERROR(__xludf.DUMMYFUNCTION("IFERROR(INDEX(motors!F:F, MATCH(1, (motors!A:A=REGEXEXTRACT(A96,""^\S+""))*(motors!B:B=BU96), 0)), """")"),6.1)</f>
        <v>6.1</v>
      </c>
      <c r="BX96" s="64">
        <v>2.0</v>
      </c>
      <c r="BY96" s="65">
        <v>93.0</v>
      </c>
      <c r="BZ96" s="63" t="s">
        <v>694</v>
      </c>
      <c r="CA96" s="53" t="str">
        <f>IFERROR(__xludf.DUMMYFUNCTION("IFERROR(REGEXEXTRACT(BZ96, ""(?i)[A-Z]+-D-E-([^-]+)-E""), """")"),"HQQE")</f>
        <v>HQQE</v>
      </c>
    </row>
    <row r="97" ht="11.25" customHeight="1">
      <c r="A97" s="54" t="s">
        <v>695</v>
      </c>
      <c r="B97" s="55">
        <v>7.4118723E7</v>
      </c>
      <c r="C97" s="56">
        <v>0.0</v>
      </c>
      <c r="D97" s="56">
        <v>8.7</v>
      </c>
      <c r="E97" s="56">
        <v>12.0</v>
      </c>
      <c r="F97" s="56">
        <v>14.0</v>
      </c>
      <c r="G97" s="56">
        <v>15.0</v>
      </c>
      <c r="H97" s="56">
        <v>16.0</v>
      </c>
      <c r="I97" s="56">
        <v>18.0</v>
      </c>
      <c r="J97" s="56">
        <v>20.0</v>
      </c>
      <c r="K97" s="56">
        <v>22.0</v>
      </c>
      <c r="L97" s="56">
        <v>24.0</v>
      </c>
      <c r="M97" s="48">
        <v>113.0494372039</v>
      </c>
      <c r="N97" s="56">
        <v>107.2419758881471</v>
      </c>
      <c r="O97" s="56">
        <v>100.8554863195</v>
      </c>
      <c r="P97" s="56">
        <v>95.8124469621</v>
      </c>
      <c r="Q97" s="56">
        <v>92.9524093624</v>
      </c>
      <c r="R97" s="56">
        <v>89.8638591223</v>
      </c>
      <c r="S97" s="56">
        <v>82.9927186417</v>
      </c>
      <c r="T97" s="56">
        <v>75.1820213619</v>
      </c>
      <c r="U97" s="56">
        <v>66.4147631245</v>
      </c>
      <c r="V97" s="56">
        <v>57.0</v>
      </c>
      <c r="W97" s="49">
        <f>W90*8</f>
        <v>1.84</v>
      </c>
      <c r="X97" s="56">
        <v>4.16</v>
      </c>
      <c r="Y97" s="56">
        <v>4.928</v>
      </c>
      <c r="Z97" s="56">
        <v>5.264</v>
      </c>
      <c r="AA97" s="56">
        <v>5.408</v>
      </c>
      <c r="AB97" s="56">
        <v>5.536</v>
      </c>
      <c r="AC97" s="56">
        <v>5.736</v>
      </c>
      <c r="AD97" s="56">
        <v>5.888</v>
      </c>
      <c r="AE97" s="56">
        <v>5.968</v>
      </c>
      <c r="AF97" s="56">
        <v>6.008</v>
      </c>
      <c r="AG97" s="49">
        <v>0.656</v>
      </c>
      <c r="AH97" s="56">
        <v>0.878</v>
      </c>
      <c r="AI97" s="56">
        <v>1.032</v>
      </c>
      <c r="AJ97" s="56">
        <v>1.172</v>
      </c>
      <c r="AK97" s="56">
        <v>1.258</v>
      </c>
      <c r="AL97" s="56">
        <v>1.361</v>
      </c>
      <c r="AM97" s="56">
        <v>1.635</v>
      </c>
      <c r="AN97" s="56">
        <v>2.137</v>
      </c>
      <c r="AO97" s="56">
        <v>2.899</v>
      </c>
      <c r="AP97" s="56">
        <v>4.068</v>
      </c>
      <c r="AQ97" s="49">
        <v>0.0</v>
      </c>
      <c r="AR97" s="56">
        <v>55.0</v>
      </c>
      <c r="AS97" s="56">
        <v>66.34</v>
      </c>
      <c r="AT97" s="56">
        <v>69.74</v>
      </c>
      <c r="AU97" s="56">
        <v>71.01</v>
      </c>
      <c r="AV97" s="56">
        <v>71.97</v>
      </c>
      <c r="AW97" s="56">
        <v>72.93</v>
      </c>
      <c r="AX97" s="56">
        <v>72.4</v>
      </c>
      <c r="AY97" s="56">
        <v>70.08</v>
      </c>
      <c r="AZ97" s="56">
        <v>65.53</v>
      </c>
      <c r="BA97" s="50">
        <v>694.0</v>
      </c>
      <c r="BB97" s="57">
        <v>417.0</v>
      </c>
      <c r="BC97" s="57">
        <v>212.0</v>
      </c>
      <c r="BD97" s="57">
        <v>160.0</v>
      </c>
      <c r="BE97" s="57" t="s">
        <v>676</v>
      </c>
      <c r="BF97" s="57" t="s">
        <v>677</v>
      </c>
      <c r="BG97" s="57" t="s">
        <v>678</v>
      </c>
      <c r="BH97" s="57" t="s">
        <v>679</v>
      </c>
      <c r="BI97" s="57">
        <v>130.0</v>
      </c>
      <c r="BJ97" s="57">
        <v>196.0</v>
      </c>
      <c r="BK97" s="57">
        <v>300.0</v>
      </c>
      <c r="BL97" s="57">
        <v>215.0</v>
      </c>
      <c r="BM97" s="57">
        <v>284.0</v>
      </c>
      <c r="BN97" s="57">
        <v>90.0</v>
      </c>
      <c r="BO97" s="57">
        <v>34.0</v>
      </c>
      <c r="BP97" s="57" t="s">
        <v>680</v>
      </c>
      <c r="BQ97" s="57" t="s">
        <v>642</v>
      </c>
      <c r="BR97" s="58">
        <v>16.0</v>
      </c>
      <c r="BS97" s="59" t="s">
        <v>681</v>
      </c>
      <c r="BT97" s="59" t="s">
        <v>681</v>
      </c>
      <c r="BU97" s="58">
        <v>7.5</v>
      </c>
      <c r="BV97" s="47">
        <f>IFERROR(__xludf.DUMMYFUNCTION("IFERROR(INDEX(motors!E:E, MATCH(1, (motors!A:A=REGEXEXTRACT(A97,""^\S+""))*(motors!B:B=BU97), 0)), """")"),14.4)</f>
        <v>14.4</v>
      </c>
      <c r="BW97" s="47">
        <f>IFERROR(__xludf.DUMMYFUNCTION("IFERROR(INDEX(motors!F:F, MATCH(1, (motors!A:A=REGEXEXTRACT(A97,""^\S+""))*(motors!B:B=BU97), 0)), """")"),8.3)</f>
        <v>8.3</v>
      </c>
      <c r="BX97" s="57">
        <v>2.0</v>
      </c>
      <c r="BY97" s="58">
        <v>97.0</v>
      </c>
      <c r="BZ97" s="59" t="s">
        <v>696</v>
      </c>
      <c r="CA97" s="53" t="str">
        <f>IFERROR(__xludf.DUMMYFUNCTION("IFERROR(REGEXEXTRACT(BZ97, ""(?i)[A-Z]+-D-E-([^-]+)-E""), """")"),"HQQE")</f>
        <v>HQQE</v>
      </c>
    </row>
    <row r="98" ht="11.25" customHeight="1">
      <c r="A98" s="60" t="s">
        <v>697</v>
      </c>
      <c r="B98" s="61">
        <v>7.4118724E7</v>
      </c>
      <c r="C98" s="62">
        <v>0.0</v>
      </c>
      <c r="D98" s="62">
        <v>8.7</v>
      </c>
      <c r="E98" s="62">
        <v>12.0</v>
      </c>
      <c r="F98" s="62">
        <v>14.0</v>
      </c>
      <c r="G98" s="62">
        <v>15.0</v>
      </c>
      <c r="H98" s="62">
        <v>16.0</v>
      </c>
      <c r="I98" s="62">
        <v>18.0</v>
      </c>
      <c r="J98" s="62">
        <v>20.0</v>
      </c>
      <c r="K98" s="62">
        <v>22.0</v>
      </c>
      <c r="L98" s="62">
        <v>24.0</v>
      </c>
      <c r="M98" s="48">
        <v>127.0957671176</v>
      </c>
      <c r="N98" s="62">
        <v>121.3623451963481</v>
      </c>
      <c r="O98" s="62">
        <v>113.6840809172</v>
      </c>
      <c r="P98" s="62">
        <v>107.7780176778</v>
      </c>
      <c r="Q98" s="62">
        <v>104.49857973110001</v>
      </c>
      <c r="R98" s="62">
        <v>101.013429436</v>
      </c>
      <c r="S98" s="62">
        <v>93.46166740940001</v>
      </c>
      <c r="T98" s="62">
        <v>85.19408281560001</v>
      </c>
      <c r="U98" s="62">
        <v>76.2820268722</v>
      </c>
      <c r="V98" s="62">
        <v>66.0</v>
      </c>
      <c r="W98" s="62">
        <f>W90*9</f>
        <v>2.07</v>
      </c>
      <c r="X98" s="62">
        <v>4.68</v>
      </c>
      <c r="Y98" s="62">
        <v>5.544</v>
      </c>
      <c r="Z98" s="62">
        <v>5.922000000000001</v>
      </c>
      <c r="AA98" s="62">
        <v>6.0840000000000005</v>
      </c>
      <c r="AB98" s="62">
        <v>6.228</v>
      </c>
      <c r="AC98" s="62">
        <v>6.452999999999999</v>
      </c>
      <c r="AD98" s="62">
        <v>6.624</v>
      </c>
      <c r="AE98" s="62">
        <v>6.714</v>
      </c>
      <c r="AF98" s="62">
        <v>6.759</v>
      </c>
      <c r="AG98" s="62">
        <v>0.656</v>
      </c>
      <c r="AH98" s="62">
        <v>0.878</v>
      </c>
      <c r="AI98" s="62">
        <v>1.032</v>
      </c>
      <c r="AJ98" s="62">
        <v>1.172</v>
      </c>
      <c r="AK98" s="62">
        <v>1.258</v>
      </c>
      <c r="AL98" s="62">
        <v>1.361</v>
      </c>
      <c r="AM98" s="62">
        <v>1.635</v>
      </c>
      <c r="AN98" s="62">
        <v>2.137</v>
      </c>
      <c r="AO98" s="62">
        <v>2.899</v>
      </c>
      <c r="AP98" s="62">
        <v>4.068</v>
      </c>
      <c r="AQ98" s="62">
        <v>0.0</v>
      </c>
      <c r="AR98" s="62">
        <v>55.0</v>
      </c>
      <c r="AS98" s="62">
        <v>66.34</v>
      </c>
      <c r="AT98" s="62">
        <v>69.74</v>
      </c>
      <c r="AU98" s="62">
        <v>71.01</v>
      </c>
      <c r="AV98" s="62">
        <v>71.97</v>
      </c>
      <c r="AW98" s="62">
        <v>72.93</v>
      </c>
      <c r="AX98" s="62">
        <v>72.4</v>
      </c>
      <c r="AY98" s="62">
        <v>70.08</v>
      </c>
      <c r="AZ98" s="62">
        <v>65.53</v>
      </c>
      <c r="BA98" s="63">
        <v>739.0</v>
      </c>
      <c r="BB98" s="64">
        <v>417.0</v>
      </c>
      <c r="BC98" s="64">
        <v>212.0</v>
      </c>
      <c r="BD98" s="64">
        <v>160.0</v>
      </c>
      <c r="BE98" s="64" t="s">
        <v>676</v>
      </c>
      <c r="BF98" s="64" t="s">
        <v>677</v>
      </c>
      <c r="BG98" s="64" t="s">
        <v>678</v>
      </c>
      <c r="BH98" s="64" t="s">
        <v>679</v>
      </c>
      <c r="BI98" s="64">
        <v>130.0</v>
      </c>
      <c r="BJ98" s="64">
        <v>196.0</v>
      </c>
      <c r="BK98" s="64">
        <v>300.0</v>
      </c>
      <c r="BL98" s="64">
        <v>215.0</v>
      </c>
      <c r="BM98" s="64">
        <v>284.0</v>
      </c>
      <c r="BN98" s="64">
        <v>90.0</v>
      </c>
      <c r="BO98" s="64">
        <v>34.0</v>
      </c>
      <c r="BP98" s="64" t="s">
        <v>680</v>
      </c>
      <c r="BQ98" s="64" t="s">
        <v>642</v>
      </c>
      <c r="BR98" s="65">
        <v>16.0</v>
      </c>
      <c r="BS98" s="63" t="s">
        <v>681</v>
      </c>
      <c r="BT98" s="63" t="s">
        <v>681</v>
      </c>
      <c r="BU98" s="65">
        <v>7.5</v>
      </c>
      <c r="BV98" s="47">
        <f>IFERROR(__xludf.DUMMYFUNCTION("IFERROR(INDEX(motors!E:E, MATCH(1, (motors!A:A=REGEXEXTRACT(A98,""^\S+""))*(motors!B:B=BU98), 0)), """")"),14.4)</f>
        <v>14.4</v>
      </c>
      <c r="BW98" s="47">
        <f>IFERROR(__xludf.DUMMYFUNCTION("IFERROR(INDEX(motors!F:F, MATCH(1, (motors!A:A=REGEXEXTRACT(A98,""^\S+""))*(motors!B:B=BU98), 0)), """")"),8.3)</f>
        <v>8.3</v>
      </c>
      <c r="BX98" s="64">
        <v>2.0</v>
      </c>
      <c r="BY98" s="65">
        <v>98.0</v>
      </c>
      <c r="BZ98" s="63" t="s">
        <v>698</v>
      </c>
      <c r="CA98" s="53" t="str">
        <f>IFERROR(__xludf.DUMMYFUNCTION("IFERROR(REGEXEXTRACT(BZ98, ""(?i)[A-Z]+-D-E-([^-]+)-E""), """")"),"HQQE")</f>
        <v>HQQE</v>
      </c>
    </row>
    <row r="99" ht="11.25" customHeight="1">
      <c r="A99" s="60" t="s">
        <v>699</v>
      </c>
      <c r="B99" s="61">
        <v>7.4118725E7</v>
      </c>
      <c r="C99" s="62">
        <v>0.0</v>
      </c>
      <c r="D99" s="62">
        <v>8.7</v>
      </c>
      <c r="E99" s="62">
        <v>12.0</v>
      </c>
      <c r="F99" s="62">
        <v>14.0</v>
      </c>
      <c r="G99" s="62">
        <v>15.0</v>
      </c>
      <c r="H99" s="62">
        <v>16.0</v>
      </c>
      <c r="I99" s="62">
        <v>18.0</v>
      </c>
      <c r="J99" s="62">
        <v>20.0</v>
      </c>
      <c r="K99" s="62">
        <v>22.0</v>
      </c>
      <c r="L99" s="62">
        <v>24.0</v>
      </c>
      <c r="M99" s="48">
        <v>141.0050718956</v>
      </c>
      <c r="N99" s="62">
        <v>135.3876044576504</v>
      </c>
      <c r="O99" s="62">
        <v>128.3175954656</v>
      </c>
      <c r="P99" s="62">
        <v>122.5567729174</v>
      </c>
      <c r="Q99" s="62">
        <v>119.23904091109999</v>
      </c>
      <c r="R99" s="62">
        <v>115.6214680924</v>
      </c>
      <c r="S99" s="62">
        <v>107.461919045</v>
      </c>
      <c r="T99" s="62">
        <v>98.0283638296</v>
      </c>
      <c r="U99" s="62">
        <v>87.27104050060001</v>
      </c>
      <c r="V99" s="62">
        <v>75.8</v>
      </c>
      <c r="W99" s="62">
        <f>W90*10</f>
        <v>2.3</v>
      </c>
      <c r="X99" s="62">
        <v>5.2</v>
      </c>
      <c r="Y99" s="62">
        <v>6.16</v>
      </c>
      <c r="Z99" s="62">
        <v>6.58</v>
      </c>
      <c r="AA99" s="62">
        <v>6.760000000000001</v>
      </c>
      <c r="AB99" s="62">
        <v>6.92</v>
      </c>
      <c r="AC99" s="62">
        <v>7.17</v>
      </c>
      <c r="AD99" s="62">
        <v>7.359999999999999</v>
      </c>
      <c r="AE99" s="62">
        <v>7.46</v>
      </c>
      <c r="AF99" s="62">
        <v>7.51</v>
      </c>
      <c r="AG99" s="62">
        <v>0.656</v>
      </c>
      <c r="AH99" s="62">
        <v>0.878</v>
      </c>
      <c r="AI99" s="62">
        <v>1.032</v>
      </c>
      <c r="AJ99" s="62">
        <v>1.172</v>
      </c>
      <c r="AK99" s="62">
        <v>1.258</v>
      </c>
      <c r="AL99" s="62">
        <v>1.361</v>
      </c>
      <c r="AM99" s="62">
        <v>1.635</v>
      </c>
      <c r="AN99" s="62">
        <v>2.137</v>
      </c>
      <c r="AO99" s="62">
        <v>2.899</v>
      </c>
      <c r="AP99" s="62">
        <v>4.068</v>
      </c>
      <c r="AQ99" s="62">
        <v>0.0</v>
      </c>
      <c r="AR99" s="62">
        <v>55.0</v>
      </c>
      <c r="AS99" s="62">
        <v>66.34</v>
      </c>
      <c r="AT99" s="62">
        <v>69.74</v>
      </c>
      <c r="AU99" s="62">
        <v>71.01</v>
      </c>
      <c r="AV99" s="62">
        <v>71.97</v>
      </c>
      <c r="AW99" s="62">
        <v>72.93</v>
      </c>
      <c r="AX99" s="62">
        <v>72.4</v>
      </c>
      <c r="AY99" s="62">
        <v>70.08</v>
      </c>
      <c r="AZ99" s="62">
        <v>65.53</v>
      </c>
      <c r="BA99" s="63">
        <v>869.0</v>
      </c>
      <c r="BB99" s="64">
        <v>448.0</v>
      </c>
      <c r="BC99" s="64">
        <v>255.0</v>
      </c>
      <c r="BD99" s="64">
        <v>178.0</v>
      </c>
      <c r="BE99" s="64" t="s">
        <v>676</v>
      </c>
      <c r="BF99" s="64" t="s">
        <v>677</v>
      </c>
      <c r="BG99" s="64" t="s">
        <v>678</v>
      </c>
      <c r="BH99" s="64" t="s">
        <v>679</v>
      </c>
      <c r="BI99" s="64">
        <v>130.0</v>
      </c>
      <c r="BJ99" s="64">
        <v>196.0</v>
      </c>
      <c r="BK99" s="64">
        <v>300.0</v>
      </c>
      <c r="BL99" s="64">
        <v>215.0</v>
      </c>
      <c r="BM99" s="64">
        <v>284.0</v>
      </c>
      <c r="BN99" s="64">
        <v>90.0</v>
      </c>
      <c r="BO99" s="64">
        <v>34.0</v>
      </c>
      <c r="BP99" s="64" t="s">
        <v>680</v>
      </c>
      <c r="BQ99" s="64" t="s">
        <v>642</v>
      </c>
      <c r="BR99" s="65">
        <v>16.0</v>
      </c>
      <c r="BS99" s="63" t="s">
        <v>681</v>
      </c>
      <c r="BT99" s="63" t="s">
        <v>681</v>
      </c>
      <c r="BU99" s="65">
        <v>11.0</v>
      </c>
      <c r="BV99" s="47">
        <f>IFERROR(__xludf.DUMMYFUNCTION("IFERROR(INDEX(motors!E:E, MATCH(1, (motors!A:A=REGEXEXTRACT(A99,""^\S+""))*(motors!B:B=BU99), 0)), """")"),20.6)</f>
        <v>20.6</v>
      </c>
      <c r="BW99" s="47">
        <f>IFERROR(__xludf.DUMMYFUNCTION("IFERROR(INDEX(motors!F:F, MATCH(1, (motors!A:A=REGEXEXTRACT(A99,""^\S+""))*(motors!B:B=BU99), 0)), """")"),11.9)</f>
        <v>11.9</v>
      </c>
      <c r="BX99" s="64">
        <v>2.0</v>
      </c>
      <c r="BY99" s="65">
        <v>141.0</v>
      </c>
      <c r="BZ99" s="63" t="s">
        <v>700</v>
      </c>
      <c r="CA99" s="53" t="str">
        <f>IFERROR(__xludf.DUMMYFUNCTION("IFERROR(REGEXEXTRACT(BZ99, ""(?i)[A-Z]+-D-E-([^-]+)-E""), """")"),"HQQE")</f>
        <v>HQQE</v>
      </c>
    </row>
    <row r="100" ht="11.25" customHeight="1">
      <c r="A100" s="45" t="s">
        <v>701</v>
      </c>
      <c r="B100" s="46">
        <v>7.4118726E7</v>
      </c>
      <c r="C100" s="47">
        <v>0.0</v>
      </c>
      <c r="D100" s="47">
        <v>8.7</v>
      </c>
      <c r="E100" s="47">
        <v>12.0</v>
      </c>
      <c r="F100" s="47">
        <v>14.0</v>
      </c>
      <c r="G100" s="47">
        <v>15.0</v>
      </c>
      <c r="H100" s="47">
        <v>16.0</v>
      </c>
      <c r="I100" s="47">
        <v>18.0</v>
      </c>
      <c r="J100" s="47">
        <v>20.0</v>
      </c>
      <c r="K100" s="47">
        <v>22.0</v>
      </c>
      <c r="L100" s="47">
        <v>24.0</v>
      </c>
      <c r="M100" s="48">
        <v>168.9943642069</v>
      </c>
      <c r="N100" s="47">
        <v>157.5710025709387</v>
      </c>
      <c r="O100" s="47">
        <v>149.5804842085</v>
      </c>
      <c r="P100" s="47">
        <v>143.2471129485</v>
      </c>
      <c r="Q100" s="47">
        <v>139.5933934954</v>
      </c>
      <c r="R100" s="47">
        <v>135.5874053141</v>
      </c>
      <c r="S100" s="47">
        <v>126.4358842285</v>
      </c>
      <c r="T100" s="47">
        <v>115.6270726149</v>
      </c>
      <c r="U100" s="47">
        <v>102.9954933965</v>
      </c>
      <c r="V100" s="47">
        <v>89.0</v>
      </c>
      <c r="W100" s="49">
        <f>W90*12</f>
        <v>2.76</v>
      </c>
      <c r="X100" s="47">
        <v>6.24</v>
      </c>
      <c r="Y100" s="47">
        <v>7.3919999999999995</v>
      </c>
      <c r="Z100" s="47">
        <v>7.896000000000001</v>
      </c>
      <c r="AA100" s="47">
        <v>8.112</v>
      </c>
      <c r="AB100" s="47">
        <v>8.303999999999998</v>
      </c>
      <c r="AC100" s="47">
        <v>8.604</v>
      </c>
      <c r="AD100" s="47">
        <v>8.832</v>
      </c>
      <c r="AE100" s="47">
        <v>8.952</v>
      </c>
      <c r="AF100" s="47">
        <v>9.012</v>
      </c>
      <c r="AG100" s="49">
        <v>0.656</v>
      </c>
      <c r="AH100" s="47">
        <v>0.878</v>
      </c>
      <c r="AI100" s="47">
        <v>1.032</v>
      </c>
      <c r="AJ100" s="47">
        <v>1.172</v>
      </c>
      <c r="AK100" s="47">
        <v>1.258</v>
      </c>
      <c r="AL100" s="47">
        <v>1.361</v>
      </c>
      <c r="AM100" s="47">
        <v>1.635</v>
      </c>
      <c r="AN100" s="47">
        <v>2.137</v>
      </c>
      <c r="AO100" s="47">
        <v>2.899</v>
      </c>
      <c r="AP100" s="47">
        <v>4.068</v>
      </c>
      <c r="AQ100" s="49">
        <v>0.0</v>
      </c>
      <c r="AR100" s="47">
        <v>55.0</v>
      </c>
      <c r="AS100" s="47">
        <v>66.34</v>
      </c>
      <c r="AT100" s="47">
        <v>69.74</v>
      </c>
      <c r="AU100" s="47">
        <v>71.01</v>
      </c>
      <c r="AV100" s="47">
        <v>71.97</v>
      </c>
      <c r="AW100" s="47">
        <v>72.93</v>
      </c>
      <c r="AX100" s="47">
        <v>72.4</v>
      </c>
      <c r="AY100" s="47">
        <v>70.08</v>
      </c>
      <c r="AZ100" s="47">
        <v>65.53</v>
      </c>
      <c r="BA100" s="50">
        <v>959.0</v>
      </c>
      <c r="BB100" s="51">
        <v>448.0</v>
      </c>
      <c r="BC100" s="51">
        <v>255.0</v>
      </c>
      <c r="BD100" s="51">
        <v>178.0</v>
      </c>
      <c r="BE100" s="51" t="s">
        <v>676</v>
      </c>
      <c r="BF100" s="51" t="s">
        <v>677</v>
      </c>
      <c r="BG100" s="51" t="s">
        <v>678</v>
      </c>
      <c r="BH100" s="51" t="s">
        <v>679</v>
      </c>
      <c r="BI100" s="51">
        <v>130.0</v>
      </c>
      <c r="BJ100" s="51">
        <v>196.0</v>
      </c>
      <c r="BK100" s="51">
        <v>300.0</v>
      </c>
      <c r="BL100" s="51">
        <v>215.0</v>
      </c>
      <c r="BM100" s="51">
        <v>284.0</v>
      </c>
      <c r="BN100" s="51">
        <v>90.0</v>
      </c>
      <c r="BO100" s="51">
        <v>34.0</v>
      </c>
      <c r="BP100" s="51" t="s">
        <v>680</v>
      </c>
      <c r="BQ100" s="51" t="s">
        <v>642</v>
      </c>
      <c r="BR100" s="52">
        <v>25.0</v>
      </c>
      <c r="BS100" s="53" t="s">
        <v>681</v>
      </c>
      <c r="BT100" s="53" t="s">
        <v>681</v>
      </c>
      <c r="BU100" s="52">
        <v>11.0</v>
      </c>
      <c r="BV100" s="47">
        <f>IFERROR(__xludf.DUMMYFUNCTION("IFERROR(INDEX(motors!E:E, MATCH(1, (motors!A:A=REGEXEXTRACT(A100,""^\S+""))*(motors!B:B=BU100), 0)), """")"),20.6)</f>
        <v>20.6</v>
      </c>
      <c r="BW100" s="47">
        <f>IFERROR(__xludf.DUMMYFUNCTION("IFERROR(INDEX(motors!F:F, MATCH(1, (motors!A:A=REGEXEXTRACT(A100,""^\S+""))*(motors!B:B=BU100), 0)), """")"),11.9)</f>
        <v>11.9</v>
      </c>
      <c r="BX100" s="51">
        <v>2.0</v>
      </c>
      <c r="BY100" s="52">
        <v>145.0</v>
      </c>
      <c r="BZ100" s="53" t="s">
        <v>702</v>
      </c>
      <c r="CA100" s="53" t="str">
        <f>IFERROR(__xludf.DUMMYFUNCTION("IFERROR(REGEXEXTRACT(BZ100, ""(?i)[A-Z]+-D-E-([^-]+)-E""), """")"),"HQQE")</f>
        <v>HQQE</v>
      </c>
    </row>
    <row r="101" ht="11.25" customHeight="1">
      <c r="A101" s="54" t="s">
        <v>703</v>
      </c>
      <c r="B101" s="55">
        <v>7.4118727E7</v>
      </c>
      <c r="C101" s="56">
        <v>0.0</v>
      </c>
      <c r="D101" s="56">
        <v>8.7</v>
      </c>
      <c r="E101" s="56">
        <v>12.0</v>
      </c>
      <c r="F101" s="56">
        <v>14.0</v>
      </c>
      <c r="G101" s="56">
        <v>15.0</v>
      </c>
      <c r="H101" s="56">
        <v>16.0</v>
      </c>
      <c r="I101" s="56">
        <v>18.0</v>
      </c>
      <c r="J101" s="56">
        <v>20.0</v>
      </c>
      <c r="K101" s="56">
        <v>22.0</v>
      </c>
      <c r="L101" s="56">
        <v>24.0</v>
      </c>
      <c r="M101" s="48">
        <v>197.0349192602</v>
      </c>
      <c r="N101" s="56">
        <v>181.67170214708483</v>
      </c>
      <c r="O101" s="56">
        <v>172.16262487580002</v>
      </c>
      <c r="P101" s="56">
        <v>164.8004676388</v>
      </c>
      <c r="Q101" s="56">
        <v>160.5886735502</v>
      </c>
      <c r="R101" s="56">
        <v>155.98999163300002</v>
      </c>
      <c r="S101" s="56">
        <v>145.5327317672</v>
      </c>
      <c r="T101" s="56">
        <v>133.23022295020002</v>
      </c>
      <c r="U101" s="56">
        <v>118.88400009080001</v>
      </c>
      <c r="V101" s="56">
        <v>102.5</v>
      </c>
      <c r="W101" s="49">
        <f>W90*14</f>
        <v>3.22</v>
      </c>
      <c r="X101" s="56">
        <v>7.28</v>
      </c>
      <c r="Y101" s="56">
        <v>8.624</v>
      </c>
      <c r="Z101" s="56">
        <v>9.212</v>
      </c>
      <c r="AA101" s="56">
        <v>9.464</v>
      </c>
      <c r="AB101" s="56">
        <v>9.687999999999999</v>
      </c>
      <c r="AC101" s="56">
        <v>10.038</v>
      </c>
      <c r="AD101" s="56">
        <v>10.304</v>
      </c>
      <c r="AE101" s="56">
        <v>10.443999999999999</v>
      </c>
      <c r="AF101" s="56">
        <v>10.514</v>
      </c>
      <c r="AG101" s="49">
        <v>0.656</v>
      </c>
      <c r="AH101" s="56">
        <v>0.878</v>
      </c>
      <c r="AI101" s="56">
        <v>1.032</v>
      </c>
      <c r="AJ101" s="56">
        <v>1.172</v>
      </c>
      <c r="AK101" s="56">
        <v>1.258</v>
      </c>
      <c r="AL101" s="56">
        <v>1.361</v>
      </c>
      <c r="AM101" s="56">
        <v>1.635</v>
      </c>
      <c r="AN101" s="56">
        <v>2.137</v>
      </c>
      <c r="AO101" s="56">
        <v>2.899</v>
      </c>
      <c r="AP101" s="56">
        <v>4.068</v>
      </c>
      <c r="AQ101" s="49">
        <v>0.0</v>
      </c>
      <c r="AR101" s="56">
        <v>55.0</v>
      </c>
      <c r="AS101" s="56">
        <v>66.34</v>
      </c>
      <c r="AT101" s="56">
        <v>69.74</v>
      </c>
      <c r="AU101" s="56">
        <v>71.01</v>
      </c>
      <c r="AV101" s="56">
        <v>71.97</v>
      </c>
      <c r="AW101" s="56">
        <v>72.93</v>
      </c>
      <c r="AX101" s="56">
        <v>72.4</v>
      </c>
      <c r="AY101" s="56">
        <v>70.08</v>
      </c>
      <c r="AZ101" s="56">
        <v>65.53</v>
      </c>
      <c r="BA101" s="50">
        <v>1049.0</v>
      </c>
      <c r="BB101" s="57">
        <v>448.0</v>
      </c>
      <c r="BC101" s="57">
        <v>255.0</v>
      </c>
      <c r="BD101" s="57">
        <v>178.0</v>
      </c>
      <c r="BE101" s="57" t="s">
        <v>676</v>
      </c>
      <c r="BF101" s="57" t="s">
        <v>677</v>
      </c>
      <c r="BG101" s="57" t="s">
        <v>678</v>
      </c>
      <c r="BH101" s="57" t="s">
        <v>679</v>
      </c>
      <c r="BI101" s="57">
        <v>130.0</v>
      </c>
      <c r="BJ101" s="57">
        <v>196.0</v>
      </c>
      <c r="BK101" s="57">
        <v>300.0</v>
      </c>
      <c r="BL101" s="57">
        <v>215.0</v>
      </c>
      <c r="BM101" s="57">
        <v>284.0</v>
      </c>
      <c r="BN101" s="57">
        <v>90.0</v>
      </c>
      <c r="BO101" s="57">
        <v>34.0</v>
      </c>
      <c r="BP101" s="57" t="s">
        <v>680</v>
      </c>
      <c r="BQ101" s="57" t="s">
        <v>642</v>
      </c>
      <c r="BR101" s="58">
        <v>25.0</v>
      </c>
      <c r="BS101" s="59" t="s">
        <v>681</v>
      </c>
      <c r="BT101" s="59" t="s">
        <v>681</v>
      </c>
      <c r="BU101" s="58">
        <v>11.0</v>
      </c>
      <c r="BV101" s="47">
        <f>IFERROR(__xludf.DUMMYFUNCTION("IFERROR(INDEX(motors!E:E, MATCH(1, (motors!A:A=REGEXEXTRACT(A101,""^\S+""))*(motors!B:B=BU101), 0)), """")"),20.6)</f>
        <v>20.6</v>
      </c>
      <c r="BW101" s="47">
        <f>IFERROR(__xludf.DUMMYFUNCTION("IFERROR(INDEX(motors!F:F, MATCH(1, (motors!A:A=REGEXEXTRACT(A101,""^\S+""))*(motors!B:B=BU101), 0)), """")"),11.9)</f>
        <v>11.9</v>
      </c>
      <c r="BX101" s="57">
        <v>2.0</v>
      </c>
      <c r="BY101" s="58">
        <v>148.0</v>
      </c>
      <c r="BZ101" s="59" t="s">
        <v>704</v>
      </c>
      <c r="CA101" s="53" t="str">
        <f>IFERROR(__xludf.DUMMYFUNCTION("IFERROR(REGEXEXTRACT(BZ101, ""(?i)[A-Z]+-D-E-([^-]+)-E""), """")"),"HQQE")</f>
        <v>HQQE</v>
      </c>
    </row>
    <row r="102" ht="11.25" customHeight="1">
      <c r="A102" s="45" t="s">
        <v>705</v>
      </c>
      <c r="B102" s="46">
        <v>7.4118728E7</v>
      </c>
      <c r="C102" s="47">
        <v>0.0</v>
      </c>
      <c r="D102" s="47">
        <v>8.7</v>
      </c>
      <c r="E102" s="47">
        <v>12.0</v>
      </c>
      <c r="F102" s="47">
        <v>14.0</v>
      </c>
      <c r="G102" s="47">
        <v>15.0</v>
      </c>
      <c r="H102" s="47">
        <v>16.0</v>
      </c>
      <c r="I102" s="47">
        <v>18.0</v>
      </c>
      <c r="J102" s="47">
        <v>20.0</v>
      </c>
      <c r="K102" s="47">
        <v>22.0</v>
      </c>
      <c r="L102" s="47">
        <v>24.0</v>
      </c>
      <c r="M102" s="48">
        <v>239.2507564304</v>
      </c>
      <c r="N102" s="47">
        <v>218.16</v>
      </c>
      <c r="O102" s="47">
        <v>208.0</v>
      </c>
      <c r="P102" s="47">
        <v>199.68</v>
      </c>
      <c r="Q102" s="47">
        <v>195.0</v>
      </c>
      <c r="R102" s="47">
        <v>189.5</v>
      </c>
      <c r="S102" s="47">
        <v>177.5</v>
      </c>
      <c r="T102" s="47">
        <v>163.0</v>
      </c>
      <c r="U102" s="47">
        <v>145.35</v>
      </c>
      <c r="V102" s="47">
        <v>125.0</v>
      </c>
      <c r="W102" s="49">
        <f>W90*17</f>
        <v>3.91</v>
      </c>
      <c r="X102" s="47">
        <v>8.84</v>
      </c>
      <c r="Y102" s="47">
        <v>10.472</v>
      </c>
      <c r="Z102" s="47">
        <v>11.186</v>
      </c>
      <c r="AA102" s="47">
        <v>11.492</v>
      </c>
      <c r="AB102" s="47">
        <v>11.764</v>
      </c>
      <c r="AC102" s="47">
        <v>12.189</v>
      </c>
      <c r="AD102" s="47">
        <v>12.512</v>
      </c>
      <c r="AE102" s="47">
        <v>12.682</v>
      </c>
      <c r="AF102" s="47">
        <v>12.767</v>
      </c>
      <c r="AG102" s="49">
        <v>0.656</v>
      </c>
      <c r="AH102" s="47">
        <v>0.878</v>
      </c>
      <c r="AI102" s="47">
        <v>1.032</v>
      </c>
      <c r="AJ102" s="47">
        <v>1.172</v>
      </c>
      <c r="AK102" s="47">
        <v>1.258</v>
      </c>
      <c r="AL102" s="47">
        <v>1.361</v>
      </c>
      <c r="AM102" s="47">
        <v>1.635</v>
      </c>
      <c r="AN102" s="47">
        <v>2.137</v>
      </c>
      <c r="AO102" s="47">
        <v>2.899</v>
      </c>
      <c r="AP102" s="47">
        <v>4.068</v>
      </c>
      <c r="AQ102" s="49">
        <v>0.0</v>
      </c>
      <c r="AR102" s="47">
        <v>55.0</v>
      </c>
      <c r="AS102" s="47">
        <v>66.34</v>
      </c>
      <c r="AT102" s="47">
        <v>69.74</v>
      </c>
      <c r="AU102" s="47">
        <v>71.01</v>
      </c>
      <c r="AV102" s="47">
        <v>71.97</v>
      </c>
      <c r="AW102" s="47">
        <v>72.93</v>
      </c>
      <c r="AX102" s="47">
        <v>72.4</v>
      </c>
      <c r="AY102" s="47">
        <v>70.08</v>
      </c>
      <c r="AZ102" s="47">
        <v>65.53</v>
      </c>
      <c r="BA102" s="50">
        <v>1184.0</v>
      </c>
      <c r="BB102" s="51">
        <v>489.0</v>
      </c>
      <c r="BC102" s="51">
        <v>255.0</v>
      </c>
      <c r="BD102" s="51">
        <v>178.0</v>
      </c>
      <c r="BE102" s="51" t="s">
        <v>676</v>
      </c>
      <c r="BF102" s="51" t="s">
        <v>677</v>
      </c>
      <c r="BG102" s="51" t="s">
        <v>678</v>
      </c>
      <c r="BH102" s="51" t="s">
        <v>679</v>
      </c>
      <c r="BI102" s="51">
        <v>130.0</v>
      </c>
      <c r="BJ102" s="51">
        <v>196.0</v>
      </c>
      <c r="BK102" s="51">
        <v>300.0</v>
      </c>
      <c r="BL102" s="51">
        <v>215.0</v>
      </c>
      <c r="BM102" s="51">
        <v>284.0</v>
      </c>
      <c r="BN102" s="51">
        <v>90.0</v>
      </c>
      <c r="BO102" s="51">
        <v>34.0</v>
      </c>
      <c r="BP102" s="51" t="s">
        <v>680</v>
      </c>
      <c r="BQ102" s="51" t="s">
        <v>642</v>
      </c>
      <c r="BR102" s="52">
        <v>25.0</v>
      </c>
      <c r="BS102" s="53" t="s">
        <v>681</v>
      </c>
      <c r="BT102" s="53" t="s">
        <v>681</v>
      </c>
      <c r="BU102" s="52">
        <v>15.0</v>
      </c>
      <c r="BV102" s="47">
        <f>IFERROR(__xludf.DUMMYFUNCTION("IFERROR(INDEX(motors!E:E, MATCH(1, (motors!A:A=REGEXEXTRACT(A102,""^\S+""))*(motors!B:B=BU102), 0)), """")"),27.9)</f>
        <v>27.9</v>
      </c>
      <c r="BW102" s="47">
        <f>IFERROR(__xludf.DUMMYFUNCTION("IFERROR(INDEX(motors!F:F, MATCH(1, (motors!A:A=REGEXEXTRACT(A102,""^\S+""))*(motors!B:B=BU102), 0)), """")"),16.0)</f>
        <v>16</v>
      </c>
      <c r="BX102" s="51">
        <v>2.0</v>
      </c>
      <c r="BY102" s="52">
        <v>158.0</v>
      </c>
      <c r="BZ102" s="53" t="s">
        <v>706</v>
      </c>
      <c r="CA102" s="53" t="str">
        <f>IFERROR(__xludf.DUMMYFUNCTION("IFERROR(REGEXEXTRACT(BZ102, ""(?i)[A-Z]+-D-E-([^-]+)-E""), """")"),"HQQE")</f>
        <v>HQQE</v>
      </c>
    </row>
    <row r="103" ht="11.25" customHeight="1">
      <c r="A103" s="55"/>
      <c r="B103" s="55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48"/>
      <c r="N103" s="56"/>
      <c r="O103" s="56"/>
      <c r="P103" s="56"/>
      <c r="Q103" s="56"/>
      <c r="R103" s="56"/>
      <c r="S103" s="56"/>
      <c r="T103" s="56"/>
      <c r="U103" s="56"/>
      <c r="V103" s="56"/>
      <c r="W103" s="49"/>
      <c r="X103" s="56"/>
      <c r="Y103" s="56"/>
      <c r="Z103" s="56"/>
      <c r="AA103" s="56"/>
      <c r="AB103" s="56"/>
      <c r="AC103" s="56"/>
      <c r="AD103" s="56"/>
      <c r="AE103" s="56"/>
      <c r="AF103" s="56"/>
      <c r="AG103" s="49"/>
      <c r="AH103" s="56"/>
      <c r="AI103" s="56"/>
      <c r="AJ103" s="56"/>
      <c r="AK103" s="56"/>
      <c r="AL103" s="56"/>
      <c r="AM103" s="56"/>
      <c r="AN103" s="56"/>
      <c r="AO103" s="56"/>
      <c r="AP103" s="56"/>
      <c r="AQ103" s="49"/>
      <c r="AR103" s="56"/>
      <c r="AS103" s="56"/>
      <c r="AT103" s="56"/>
      <c r="AU103" s="56"/>
      <c r="AV103" s="56"/>
      <c r="AW103" s="56"/>
      <c r="AX103" s="56"/>
      <c r="AY103" s="56"/>
      <c r="AZ103" s="56"/>
      <c r="BA103" s="50"/>
      <c r="BB103" s="57"/>
      <c r="BC103" s="57"/>
      <c r="BD103" s="57"/>
      <c r="BE103" s="57"/>
      <c r="BF103" s="57"/>
      <c r="BG103" s="57"/>
      <c r="BH103" s="57"/>
      <c r="BI103" s="57"/>
      <c r="BJ103" s="57"/>
      <c r="BK103" s="57"/>
      <c r="BL103" s="57"/>
      <c r="BM103" s="57"/>
      <c r="BN103" s="57"/>
      <c r="BO103" s="57"/>
      <c r="BP103" s="57"/>
      <c r="BQ103" s="57"/>
      <c r="BR103" s="59"/>
      <c r="BS103" s="59"/>
      <c r="BT103" s="59"/>
      <c r="BU103" s="59"/>
      <c r="BV103" s="47" t="str">
        <f>IFERROR(__xludf.DUMMYFUNCTION("IFERROR(INDEX(motors!E:E, MATCH(1, (motors!A:A=REGEXEXTRACT(A103,""^\S+""))*(motors!B:B=BU103), 0)), """")"),"")</f>
        <v/>
      </c>
      <c r="BW103" s="47" t="str">
        <f>IFERROR(__xludf.DUMMYFUNCTION("IFERROR(INDEX(motors!F:F, MATCH(1, (motors!A:A=REGEXEXTRACT(A103,""^\S+""))*(motors!B:B=BU103), 0)), """")"),"")</f>
        <v/>
      </c>
      <c r="BX103" s="57"/>
      <c r="BY103" s="59"/>
      <c r="BZ103" s="59"/>
      <c r="CA103" s="53" t="str">
        <f>IFERROR(__xludf.DUMMYFUNCTION("IFERROR(REGEXEXTRACT(BZ103, ""(?i)[A-Z]+-D-E-([^-]+)-E""), """")"),"")</f>
        <v/>
      </c>
    </row>
    <row r="104" ht="11.25" customHeight="1">
      <c r="A104" s="60" t="s">
        <v>707</v>
      </c>
      <c r="B104" s="61">
        <v>7.4119709E7</v>
      </c>
      <c r="C104" s="62">
        <v>0.0</v>
      </c>
      <c r="D104" s="62">
        <v>11.0</v>
      </c>
      <c r="E104" s="62">
        <v>14.0</v>
      </c>
      <c r="F104" s="62">
        <v>16.0</v>
      </c>
      <c r="G104" s="62">
        <v>18.0</v>
      </c>
      <c r="H104" s="62">
        <v>20.0</v>
      </c>
      <c r="I104" s="62">
        <v>24.0</v>
      </c>
      <c r="J104" s="62">
        <v>26.0</v>
      </c>
      <c r="K104" s="62">
        <v>28.0</v>
      </c>
      <c r="L104" s="62">
        <v>30.0</v>
      </c>
      <c r="M104" s="48">
        <v>14.906496718400001</v>
      </c>
      <c r="N104" s="62">
        <v>13.1029632141</v>
      </c>
      <c r="O104" s="62">
        <v>12.4</v>
      </c>
      <c r="P104" s="62">
        <v>11.8</v>
      </c>
      <c r="Q104" s="62">
        <v>11.15</v>
      </c>
      <c r="R104" s="62">
        <v>10.45</v>
      </c>
      <c r="S104" s="62">
        <v>8.85</v>
      </c>
      <c r="T104" s="62">
        <v>7.95</v>
      </c>
      <c r="U104" s="62">
        <v>6.9</v>
      </c>
      <c r="V104" s="62">
        <v>5.8</v>
      </c>
      <c r="W104" s="62">
        <v>0.342</v>
      </c>
      <c r="X104" s="62">
        <v>0.663</v>
      </c>
      <c r="Y104" s="62">
        <v>0.741</v>
      </c>
      <c r="Z104" s="62">
        <v>0.786</v>
      </c>
      <c r="AA104" s="62">
        <v>0.826</v>
      </c>
      <c r="AB104" s="62">
        <v>0.861</v>
      </c>
      <c r="AC104" s="62">
        <v>0.916</v>
      </c>
      <c r="AD104" s="62">
        <v>0.935</v>
      </c>
      <c r="AE104" s="62">
        <v>0.95</v>
      </c>
      <c r="AF104" s="62">
        <v>0.96</v>
      </c>
      <c r="AG104" s="62">
        <v>0.564</v>
      </c>
      <c r="AH104" s="62">
        <v>0.849</v>
      </c>
      <c r="AI104" s="62">
        <v>1.033</v>
      </c>
      <c r="AJ104" s="62">
        <v>1.18</v>
      </c>
      <c r="AK104" s="62">
        <v>1.352</v>
      </c>
      <c r="AL104" s="62">
        <v>1.558</v>
      </c>
      <c r="AM104" s="62">
        <v>2.202</v>
      </c>
      <c r="AN104" s="62">
        <v>2.855</v>
      </c>
      <c r="AO104" s="62">
        <v>3.894</v>
      </c>
      <c r="AP104" s="62">
        <v>5.507</v>
      </c>
      <c r="AQ104" s="62">
        <v>0.0</v>
      </c>
      <c r="AR104" s="62">
        <v>59.5</v>
      </c>
      <c r="AS104" s="62">
        <v>66.77</v>
      </c>
      <c r="AT104" s="62">
        <v>69.53</v>
      </c>
      <c r="AU104" s="62">
        <v>71.43</v>
      </c>
      <c r="AV104" s="62">
        <v>72.42</v>
      </c>
      <c r="AW104" s="62">
        <v>71.25</v>
      </c>
      <c r="AX104" s="62">
        <v>68.73</v>
      </c>
      <c r="AY104" s="62">
        <v>64.52</v>
      </c>
      <c r="AZ104" s="62">
        <v>58.16</v>
      </c>
      <c r="BA104" s="63">
        <v>332.0</v>
      </c>
      <c r="BB104" s="64">
        <v>240.0</v>
      </c>
      <c r="BC104" s="64">
        <v>150.0</v>
      </c>
      <c r="BD104" s="64">
        <v>118.0</v>
      </c>
      <c r="BE104" s="64" t="s">
        <v>676</v>
      </c>
      <c r="BF104" s="64" t="s">
        <v>677</v>
      </c>
      <c r="BG104" s="64" t="s">
        <v>678</v>
      </c>
      <c r="BH104" s="64" t="s">
        <v>679</v>
      </c>
      <c r="BI104" s="64">
        <v>130.0</v>
      </c>
      <c r="BJ104" s="64">
        <v>196.0</v>
      </c>
      <c r="BK104" s="64">
        <v>300.0</v>
      </c>
      <c r="BL104" s="64">
        <v>215.0</v>
      </c>
      <c r="BM104" s="64">
        <v>284.0</v>
      </c>
      <c r="BN104" s="64">
        <v>90.0</v>
      </c>
      <c r="BO104" s="64">
        <v>34.0</v>
      </c>
      <c r="BP104" s="64" t="s">
        <v>680</v>
      </c>
      <c r="BQ104" s="64" t="s">
        <v>642</v>
      </c>
      <c r="BR104" s="65">
        <v>16.0</v>
      </c>
      <c r="BS104" s="63" t="s">
        <v>681</v>
      </c>
      <c r="BT104" s="63" t="s">
        <v>681</v>
      </c>
      <c r="BU104" s="65">
        <v>1.1</v>
      </c>
      <c r="BV104" s="47">
        <f>IFERROR(__xludf.DUMMYFUNCTION("IFERROR(INDEX(motors!E:E, MATCH(1, (motors!A:A=REGEXEXTRACT(A104,""^\S+""))*(motors!B:B=BU104), 0)), """")"),4.2)</f>
        <v>4.2</v>
      </c>
      <c r="BW104" s="47">
        <f>IFERROR(__xludf.DUMMYFUNCTION("IFERROR(INDEX(motors!F:F, MATCH(1, (motors!A:A=REGEXEXTRACT(A104,""^\S+""))*(motors!B:B=BU104), 0)), """")"),2.4)</f>
        <v>2.4</v>
      </c>
      <c r="BX104" s="64">
        <v>2.0</v>
      </c>
      <c r="BY104" s="65">
        <v>33.0</v>
      </c>
      <c r="BZ104" s="63" t="s">
        <v>708</v>
      </c>
      <c r="CA104" s="53" t="str">
        <f>IFERROR(__xludf.DUMMYFUNCTION("IFERROR(REGEXEXTRACT(BZ104, ""(?i)[A-Z]+-D-E-([^-]+)-E""), """")"),"HQQE")</f>
        <v>HQQE</v>
      </c>
    </row>
    <row r="105" ht="11.25" customHeight="1">
      <c r="A105" s="60" t="s">
        <v>709</v>
      </c>
      <c r="B105" s="61">
        <v>7.411971E7</v>
      </c>
      <c r="C105" s="62">
        <v>0.0</v>
      </c>
      <c r="D105" s="62">
        <v>11.0</v>
      </c>
      <c r="E105" s="62">
        <v>14.0</v>
      </c>
      <c r="F105" s="62">
        <v>16.0</v>
      </c>
      <c r="G105" s="62">
        <v>18.0</v>
      </c>
      <c r="H105" s="62">
        <v>20.0</v>
      </c>
      <c r="I105" s="62">
        <v>24.0</v>
      </c>
      <c r="J105" s="62">
        <v>26.0</v>
      </c>
      <c r="K105" s="62">
        <v>28.0</v>
      </c>
      <c r="L105" s="62">
        <v>30.0</v>
      </c>
      <c r="M105" s="48">
        <v>29.1024245753</v>
      </c>
      <c r="N105" s="62">
        <v>26.6100180521</v>
      </c>
      <c r="O105" s="62">
        <v>25.25</v>
      </c>
      <c r="P105" s="62">
        <v>24.1</v>
      </c>
      <c r="Q105" s="62">
        <v>22.7</v>
      </c>
      <c r="R105" s="62">
        <v>21.2</v>
      </c>
      <c r="S105" s="62">
        <v>17.9</v>
      </c>
      <c r="T105" s="62">
        <v>15.995213674099999</v>
      </c>
      <c r="U105" s="62">
        <v>14.084175264899999</v>
      </c>
      <c r="V105" s="62">
        <v>12.0</v>
      </c>
      <c r="W105" s="62">
        <f>W104*2</f>
        <v>0.684</v>
      </c>
      <c r="X105" s="62">
        <v>1.326</v>
      </c>
      <c r="Y105" s="62">
        <v>1.482</v>
      </c>
      <c r="Z105" s="62">
        <v>1.572</v>
      </c>
      <c r="AA105" s="62">
        <v>1.652</v>
      </c>
      <c r="AB105" s="62">
        <v>1.722</v>
      </c>
      <c r="AC105" s="62">
        <v>1.832</v>
      </c>
      <c r="AD105" s="62">
        <v>1.87</v>
      </c>
      <c r="AE105" s="62">
        <v>1.9</v>
      </c>
      <c r="AF105" s="62">
        <v>1.92</v>
      </c>
      <c r="AG105" s="62">
        <v>0.564</v>
      </c>
      <c r="AH105" s="62">
        <v>0.849</v>
      </c>
      <c r="AI105" s="62">
        <v>1.033</v>
      </c>
      <c r="AJ105" s="62">
        <v>1.18</v>
      </c>
      <c r="AK105" s="62">
        <v>1.352</v>
      </c>
      <c r="AL105" s="62">
        <v>1.558</v>
      </c>
      <c r="AM105" s="62">
        <v>2.202</v>
      </c>
      <c r="AN105" s="62">
        <v>2.855</v>
      </c>
      <c r="AO105" s="62">
        <v>3.894</v>
      </c>
      <c r="AP105" s="62">
        <v>5.507</v>
      </c>
      <c r="AQ105" s="62">
        <v>0.0</v>
      </c>
      <c r="AR105" s="62">
        <v>59.5</v>
      </c>
      <c r="AS105" s="62">
        <v>66.77</v>
      </c>
      <c r="AT105" s="62">
        <v>69.53</v>
      </c>
      <c r="AU105" s="62">
        <v>71.43</v>
      </c>
      <c r="AV105" s="62">
        <v>72.42</v>
      </c>
      <c r="AW105" s="62">
        <v>71.25</v>
      </c>
      <c r="AX105" s="62">
        <v>68.73</v>
      </c>
      <c r="AY105" s="62">
        <v>64.52</v>
      </c>
      <c r="AZ105" s="62">
        <v>58.16</v>
      </c>
      <c r="BA105" s="63">
        <v>389.0</v>
      </c>
      <c r="BB105" s="64">
        <v>280.0</v>
      </c>
      <c r="BC105" s="64">
        <v>168.0</v>
      </c>
      <c r="BD105" s="64">
        <v>127.0</v>
      </c>
      <c r="BE105" s="64" t="s">
        <v>676</v>
      </c>
      <c r="BF105" s="64" t="s">
        <v>677</v>
      </c>
      <c r="BG105" s="64" t="s">
        <v>678</v>
      </c>
      <c r="BH105" s="64" t="s">
        <v>679</v>
      </c>
      <c r="BI105" s="64">
        <v>130.0</v>
      </c>
      <c r="BJ105" s="64">
        <v>196.0</v>
      </c>
      <c r="BK105" s="64">
        <v>300.0</v>
      </c>
      <c r="BL105" s="64">
        <v>215.0</v>
      </c>
      <c r="BM105" s="64">
        <v>284.0</v>
      </c>
      <c r="BN105" s="64">
        <v>90.0</v>
      </c>
      <c r="BO105" s="64">
        <v>34.0</v>
      </c>
      <c r="BP105" s="64" t="s">
        <v>680</v>
      </c>
      <c r="BQ105" s="64" t="s">
        <v>642</v>
      </c>
      <c r="BR105" s="65">
        <v>16.0</v>
      </c>
      <c r="BS105" s="63" t="s">
        <v>681</v>
      </c>
      <c r="BT105" s="63" t="s">
        <v>681</v>
      </c>
      <c r="BU105" s="65">
        <v>2.2</v>
      </c>
      <c r="BV105" s="47">
        <f>IFERROR(__xludf.DUMMYFUNCTION("IFERROR(INDEX(motors!E:E, MATCH(1, (motors!A:A=REGEXEXTRACT(A105,""^\S+""))*(motors!B:B=BU105), 0)), """")"),7.9)</f>
        <v>7.9</v>
      </c>
      <c r="BW105" s="47">
        <f>IFERROR(__xludf.DUMMYFUNCTION("IFERROR(INDEX(motors!F:F, MATCH(1, (motors!A:A=REGEXEXTRACT(A105,""^\S+""))*(motors!B:B=BU105), 0)), """")"),4.6)</f>
        <v>4.6</v>
      </c>
      <c r="BX105" s="64">
        <v>2.0</v>
      </c>
      <c r="BY105" s="65">
        <v>44.0</v>
      </c>
      <c r="BZ105" s="63" t="s">
        <v>710</v>
      </c>
      <c r="CA105" s="53" t="str">
        <f>IFERROR(__xludf.DUMMYFUNCTION("IFERROR(REGEXEXTRACT(BZ105, ""(?i)[A-Z]+-D-E-([^-]+)-E""), """")"),"HQQE")</f>
        <v>HQQE</v>
      </c>
    </row>
    <row r="106" ht="11.25" customHeight="1">
      <c r="A106" s="60" t="s">
        <v>711</v>
      </c>
      <c r="B106" s="61">
        <v>7.4119711E7</v>
      </c>
      <c r="C106" s="62">
        <v>0.0</v>
      </c>
      <c r="D106" s="62">
        <v>11.0</v>
      </c>
      <c r="E106" s="62">
        <v>14.0</v>
      </c>
      <c r="F106" s="62">
        <v>16.0</v>
      </c>
      <c r="G106" s="62">
        <v>18.0</v>
      </c>
      <c r="H106" s="62">
        <v>20.0</v>
      </c>
      <c r="I106" s="62">
        <v>24.0</v>
      </c>
      <c r="J106" s="62">
        <v>26.0</v>
      </c>
      <c r="K106" s="62">
        <v>28.0</v>
      </c>
      <c r="L106" s="62">
        <v>30.0</v>
      </c>
      <c r="M106" s="48">
        <v>43.0770253196</v>
      </c>
      <c r="N106" s="62">
        <v>39.6057534562</v>
      </c>
      <c r="O106" s="62">
        <v>37.690161747999994</v>
      </c>
      <c r="P106" s="62">
        <v>36.0733372012</v>
      </c>
      <c r="Q106" s="62">
        <v>34.175467841599996</v>
      </c>
      <c r="R106" s="62">
        <v>32.00104288359999</v>
      </c>
      <c r="S106" s="62">
        <v>26.895612565999997</v>
      </c>
      <c r="T106" s="62">
        <v>24.028715171199995</v>
      </c>
      <c r="U106" s="62">
        <v>20.9</v>
      </c>
      <c r="V106" s="62">
        <v>17.3</v>
      </c>
      <c r="W106" s="62">
        <f>W104*3</f>
        <v>1.026</v>
      </c>
      <c r="X106" s="62">
        <v>1.989</v>
      </c>
      <c r="Y106" s="62">
        <v>2.223</v>
      </c>
      <c r="Z106" s="62">
        <v>2.358</v>
      </c>
      <c r="AA106" s="62">
        <v>2.4779999999999998</v>
      </c>
      <c r="AB106" s="62">
        <v>2.583</v>
      </c>
      <c r="AC106" s="62">
        <v>2.748</v>
      </c>
      <c r="AD106" s="62">
        <v>2.805</v>
      </c>
      <c r="AE106" s="62">
        <v>2.8499999999999996</v>
      </c>
      <c r="AF106" s="62">
        <v>2.88</v>
      </c>
      <c r="AG106" s="62">
        <v>0.564</v>
      </c>
      <c r="AH106" s="62">
        <v>0.849</v>
      </c>
      <c r="AI106" s="62">
        <v>1.033</v>
      </c>
      <c r="AJ106" s="62">
        <v>1.18</v>
      </c>
      <c r="AK106" s="62">
        <v>1.352</v>
      </c>
      <c r="AL106" s="62">
        <v>1.558</v>
      </c>
      <c r="AM106" s="62">
        <v>2.202</v>
      </c>
      <c r="AN106" s="62">
        <v>2.855</v>
      </c>
      <c r="AO106" s="62">
        <v>3.894</v>
      </c>
      <c r="AP106" s="62">
        <v>5.507</v>
      </c>
      <c r="AQ106" s="62">
        <v>0.0</v>
      </c>
      <c r="AR106" s="62">
        <v>59.5</v>
      </c>
      <c r="AS106" s="62">
        <v>66.77</v>
      </c>
      <c r="AT106" s="62">
        <v>69.53</v>
      </c>
      <c r="AU106" s="62">
        <v>71.43</v>
      </c>
      <c r="AV106" s="62">
        <v>72.42</v>
      </c>
      <c r="AW106" s="62">
        <v>71.25</v>
      </c>
      <c r="AX106" s="62">
        <v>68.73</v>
      </c>
      <c r="AY106" s="62">
        <v>64.52</v>
      </c>
      <c r="AZ106" s="62">
        <v>58.16</v>
      </c>
      <c r="BA106" s="63">
        <v>444.0</v>
      </c>
      <c r="BB106" s="64">
        <v>323.0</v>
      </c>
      <c r="BC106" s="64">
        <v>200.0</v>
      </c>
      <c r="BD106" s="64">
        <v>146.0</v>
      </c>
      <c r="BE106" s="64" t="s">
        <v>676</v>
      </c>
      <c r="BF106" s="64" t="s">
        <v>677</v>
      </c>
      <c r="BG106" s="64" t="s">
        <v>678</v>
      </c>
      <c r="BH106" s="64" t="s">
        <v>679</v>
      </c>
      <c r="BI106" s="64">
        <v>130.0</v>
      </c>
      <c r="BJ106" s="64">
        <v>196.0</v>
      </c>
      <c r="BK106" s="64">
        <v>300.0</v>
      </c>
      <c r="BL106" s="64">
        <v>215.0</v>
      </c>
      <c r="BM106" s="64">
        <v>284.0</v>
      </c>
      <c r="BN106" s="64">
        <v>90.0</v>
      </c>
      <c r="BO106" s="64">
        <v>34.0</v>
      </c>
      <c r="BP106" s="64" t="s">
        <v>680</v>
      </c>
      <c r="BQ106" s="64" t="s">
        <v>642</v>
      </c>
      <c r="BR106" s="65">
        <v>16.0</v>
      </c>
      <c r="BS106" s="63" t="s">
        <v>681</v>
      </c>
      <c r="BT106" s="63" t="s">
        <v>681</v>
      </c>
      <c r="BU106" s="65">
        <v>4.0</v>
      </c>
      <c r="BV106" s="47">
        <f>IFERROR(__xludf.DUMMYFUNCTION("IFERROR(INDEX(motors!E:E, MATCH(1, (motors!A:A=REGEXEXTRACT(A106,""^\S+""))*(motors!B:B=BU106), 0)), """")"),7.8)</f>
        <v>7.8</v>
      </c>
      <c r="BW106" s="47">
        <f>IFERROR(__xludf.DUMMYFUNCTION("IFERROR(INDEX(motors!F:F, MATCH(1, (motors!A:A=REGEXEXTRACT(A106,""^\S+""))*(motors!B:B=BU106), 0)), """")"),4.5)</f>
        <v>4.5</v>
      </c>
      <c r="BX106" s="64">
        <v>2.0</v>
      </c>
      <c r="BY106" s="65">
        <v>58.0</v>
      </c>
      <c r="BZ106" s="63" t="s">
        <v>712</v>
      </c>
      <c r="CA106" s="53" t="str">
        <f>IFERROR(__xludf.DUMMYFUNCTION("IFERROR(REGEXEXTRACT(BZ106, ""(?i)[A-Z]+-D-E-([^-]+)-E""), """")"),"HQQE")</f>
        <v>HQQE</v>
      </c>
    </row>
    <row r="107" ht="11.25" customHeight="1">
      <c r="A107" s="54" t="s">
        <v>713</v>
      </c>
      <c r="B107" s="55">
        <v>7.411972E7</v>
      </c>
      <c r="C107" s="56">
        <v>0.0</v>
      </c>
      <c r="D107" s="56">
        <v>11.0</v>
      </c>
      <c r="E107" s="56">
        <v>14.0</v>
      </c>
      <c r="F107" s="56">
        <v>16.0</v>
      </c>
      <c r="G107" s="56">
        <v>18.0</v>
      </c>
      <c r="H107" s="56">
        <v>20.0</v>
      </c>
      <c r="I107" s="56">
        <v>24.0</v>
      </c>
      <c r="J107" s="56">
        <v>26.0</v>
      </c>
      <c r="K107" s="56">
        <v>28.0</v>
      </c>
      <c r="L107" s="56">
        <v>30.0</v>
      </c>
      <c r="M107" s="48">
        <v>57.0876421473</v>
      </c>
      <c r="N107" s="56">
        <v>52.8061751234</v>
      </c>
      <c r="O107" s="56">
        <v>50.8989894953</v>
      </c>
      <c r="P107" s="56">
        <v>48.9874349089</v>
      </c>
      <c r="Q107" s="56">
        <v>46.5113395449</v>
      </c>
      <c r="R107" s="56">
        <v>43.4728547153</v>
      </c>
      <c r="S107" s="56">
        <v>35.9267414913</v>
      </c>
      <c r="T107" s="56">
        <v>31.632835304900013</v>
      </c>
      <c r="U107" s="56">
        <v>27.203984068899977</v>
      </c>
      <c r="V107" s="56">
        <v>22.2</v>
      </c>
      <c r="W107" s="49">
        <f>W104*4</f>
        <v>1.368</v>
      </c>
      <c r="X107" s="56">
        <v>2.652</v>
      </c>
      <c r="Y107" s="56">
        <v>2.964</v>
      </c>
      <c r="Z107" s="56">
        <v>3.144</v>
      </c>
      <c r="AA107" s="56">
        <v>3.304</v>
      </c>
      <c r="AB107" s="56">
        <v>3.444</v>
      </c>
      <c r="AC107" s="56">
        <v>3.664</v>
      </c>
      <c r="AD107" s="56">
        <v>3.74</v>
      </c>
      <c r="AE107" s="56">
        <v>3.8</v>
      </c>
      <c r="AF107" s="56">
        <v>3.84</v>
      </c>
      <c r="AG107" s="49">
        <v>0.564</v>
      </c>
      <c r="AH107" s="56">
        <v>0.849</v>
      </c>
      <c r="AI107" s="56">
        <v>1.033</v>
      </c>
      <c r="AJ107" s="56">
        <v>1.18</v>
      </c>
      <c r="AK107" s="56">
        <v>1.352</v>
      </c>
      <c r="AL107" s="56">
        <v>1.558</v>
      </c>
      <c r="AM107" s="56">
        <v>2.202</v>
      </c>
      <c r="AN107" s="56">
        <v>2.855</v>
      </c>
      <c r="AO107" s="56">
        <v>3.894</v>
      </c>
      <c r="AP107" s="56">
        <v>5.507</v>
      </c>
      <c r="AQ107" s="49">
        <v>0.0</v>
      </c>
      <c r="AR107" s="56">
        <v>59.5</v>
      </c>
      <c r="AS107" s="56">
        <v>66.77</v>
      </c>
      <c r="AT107" s="56">
        <v>69.53</v>
      </c>
      <c r="AU107" s="56">
        <v>71.43</v>
      </c>
      <c r="AV107" s="56">
        <v>72.42</v>
      </c>
      <c r="AW107" s="56">
        <v>71.25</v>
      </c>
      <c r="AX107" s="56">
        <v>68.73</v>
      </c>
      <c r="AY107" s="56">
        <v>64.52</v>
      </c>
      <c r="AZ107" s="56">
        <v>58.16</v>
      </c>
      <c r="BA107" s="50">
        <v>514.0</v>
      </c>
      <c r="BB107" s="57">
        <v>379.0</v>
      </c>
      <c r="BC107" s="57">
        <v>212.0</v>
      </c>
      <c r="BD107" s="57">
        <v>160.0</v>
      </c>
      <c r="BE107" s="57" t="s">
        <v>676</v>
      </c>
      <c r="BF107" s="57" t="s">
        <v>677</v>
      </c>
      <c r="BG107" s="57" t="s">
        <v>678</v>
      </c>
      <c r="BH107" s="57" t="s">
        <v>679</v>
      </c>
      <c r="BI107" s="57">
        <v>130.0</v>
      </c>
      <c r="BJ107" s="57">
        <v>196.0</v>
      </c>
      <c r="BK107" s="57">
        <v>300.0</v>
      </c>
      <c r="BL107" s="57">
        <v>215.0</v>
      </c>
      <c r="BM107" s="57">
        <v>284.0</v>
      </c>
      <c r="BN107" s="57">
        <v>90.0</v>
      </c>
      <c r="BO107" s="57">
        <v>34.0</v>
      </c>
      <c r="BP107" s="57" t="s">
        <v>680</v>
      </c>
      <c r="BQ107" s="57" t="s">
        <v>642</v>
      </c>
      <c r="BR107" s="58">
        <v>16.0</v>
      </c>
      <c r="BS107" s="59" t="s">
        <v>681</v>
      </c>
      <c r="BT107" s="59" t="s">
        <v>681</v>
      </c>
      <c r="BU107" s="58">
        <v>5.5</v>
      </c>
      <c r="BV107" s="47">
        <f>IFERROR(__xludf.DUMMYFUNCTION("IFERROR(INDEX(motors!E:E, MATCH(1, (motors!A:A=REGEXEXTRACT(A107,""^\S+""))*(motors!B:B=BU107), 0)), """")"),10.6)</f>
        <v>10.6</v>
      </c>
      <c r="BW107" s="47">
        <f>IFERROR(__xludf.DUMMYFUNCTION("IFERROR(INDEX(motors!F:F, MATCH(1, (motors!A:A=REGEXEXTRACT(A107,""^\S+""))*(motors!B:B=BU107), 0)), """")"),6.1)</f>
        <v>6.1</v>
      </c>
      <c r="BX107" s="57">
        <v>2.0</v>
      </c>
      <c r="BY107" s="58">
        <v>73.0</v>
      </c>
      <c r="BZ107" s="59" t="s">
        <v>714</v>
      </c>
      <c r="CA107" s="53" t="str">
        <f>IFERROR(__xludf.DUMMYFUNCTION("IFERROR(REGEXEXTRACT(BZ107, ""(?i)[A-Z]+-D-E-([^-]+)-E""), """")"),"HQQE")</f>
        <v>HQQE</v>
      </c>
    </row>
    <row r="108" ht="11.25" customHeight="1">
      <c r="A108" s="60" t="s">
        <v>715</v>
      </c>
      <c r="B108" s="61">
        <v>7.4119712E7</v>
      </c>
      <c r="C108" s="62">
        <v>0.0</v>
      </c>
      <c r="D108" s="62">
        <v>11.0</v>
      </c>
      <c r="E108" s="62">
        <v>14.0</v>
      </c>
      <c r="F108" s="62">
        <v>16.0</v>
      </c>
      <c r="G108" s="62">
        <v>18.0</v>
      </c>
      <c r="H108" s="62">
        <v>20.0</v>
      </c>
      <c r="I108" s="62">
        <v>24.0</v>
      </c>
      <c r="J108" s="62">
        <v>26.0</v>
      </c>
      <c r="K108" s="62">
        <v>28.0</v>
      </c>
      <c r="L108" s="62">
        <v>30.0</v>
      </c>
      <c r="M108" s="48">
        <v>71.0686792387</v>
      </c>
      <c r="N108" s="62">
        <v>66.0152047126</v>
      </c>
      <c r="O108" s="62">
        <v>63.268378683099996</v>
      </c>
      <c r="P108" s="62">
        <v>60.9052336771</v>
      </c>
      <c r="Q108" s="62">
        <v>58.030553273500004</v>
      </c>
      <c r="R108" s="62">
        <v>54.5646850627</v>
      </c>
      <c r="S108" s="62">
        <v>45.5143583011</v>
      </c>
      <c r="T108" s="62">
        <v>39.7441776511</v>
      </c>
      <c r="U108" s="62">
        <v>33.3</v>
      </c>
      <c r="V108" s="62">
        <v>26.7</v>
      </c>
      <c r="W108" s="62">
        <f>W104*5</f>
        <v>1.71</v>
      </c>
      <c r="X108" s="62">
        <v>3.3150000000000004</v>
      </c>
      <c r="Y108" s="62">
        <v>3.705</v>
      </c>
      <c r="Z108" s="62">
        <v>3.93</v>
      </c>
      <c r="AA108" s="62">
        <v>4.13</v>
      </c>
      <c r="AB108" s="62">
        <v>4.305</v>
      </c>
      <c r="AC108" s="62">
        <v>4.58</v>
      </c>
      <c r="AD108" s="62">
        <v>4.675000000000001</v>
      </c>
      <c r="AE108" s="62">
        <v>4.75</v>
      </c>
      <c r="AF108" s="62">
        <v>4.8</v>
      </c>
      <c r="AG108" s="62">
        <v>0.564</v>
      </c>
      <c r="AH108" s="62">
        <v>0.849</v>
      </c>
      <c r="AI108" s="62">
        <v>1.033</v>
      </c>
      <c r="AJ108" s="62">
        <v>1.18</v>
      </c>
      <c r="AK108" s="62">
        <v>1.352</v>
      </c>
      <c r="AL108" s="62">
        <v>1.558</v>
      </c>
      <c r="AM108" s="62">
        <v>2.202</v>
      </c>
      <c r="AN108" s="62">
        <v>2.855</v>
      </c>
      <c r="AO108" s="62">
        <v>3.894</v>
      </c>
      <c r="AP108" s="62">
        <v>5.507</v>
      </c>
      <c r="AQ108" s="62">
        <v>0.0</v>
      </c>
      <c r="AR108" s="62">
        <v>59.5</v>
      </c>
      <c r="AS108" s="62">
        <v>66.77</v>
      </c>
      <c r="AT108" s="62">
        <v>69.53</v>
      </c>
      <c r="AU108" s="62">
        <v>71.43</v>
      </c>
      <c r="AV108" s="62">
        <v>72.42</v>
      </c>
      <c r="AW108" s="62">
        <v>71.25</v>
      </c>
      <c r="AX108" s="62">
        <v>68.73</v>
      </c>
      <c r="AY108" s="62">
        <v>64.52</v>
      </c>
      <c r="AZ108" s="62">
        <v>58.16</v>
      </c>
      <c r="BA108" s="63">
        <v>559.0</v>
      </c>
      <c r="BB108" s="64">
        <v>379.0</v>
      </c>
      <c r="BC108" s="64">
        <v>212.0</v>
      </c>
      <c r="BD108" s="64">
        <v>160.0</v>
      </c>
      <c r="BE108" s="64" t="s">
        <v>676</v>
      </c>
      <c r="BF108" s="64" t="s">
        <v>677</v>
      </c>
      <c r="BG108" s="64" t="s">
        <v>678</v>
      </c>
      <c r="BH108" s="64" t="s">
        <v>679</v>
      </c>
      <c r="BI108" s="64">
        <v>130.0</v>
      </c>
      <c r="BJ108" s="64">
        <v>196.0</v>
      </c>
      <c r="BK108" s="64">
        <v>300.0</v>
      </c>
      <c r="BL108" s="64">
        <v>215.0</v>
      </c>
      <c r="BM108" s="64">
        <v>284.0</v>
      </c>
      <c r="BN108" s="64">
        <v>90.0</v>
      </c>
      <c r="BO108" s="64">
        <v>34.0</v>
      </c>
      <c r="BP108" s="64" t="s">
        <v>680</v>
      </c>
      <c r="BQ108" s="64" t="s">
        <v>642</v>
      </c>
      <c r="BR108" s="65">
        <v>16.0</v>
      </c>
      <c r="BS108" s="63" t="s">
        <v>681</v>
      </c>
      <c r="BT108" s="63" t="s">
        <v>681</v>
      </c>
      <c r="BU108" s="65">
        <v>5.5</v>
      </c>
      <c r="BV108" s="47">
        <f>IFERROR(__xludf.DUMMYFUNCTION("IFERROR(INDEX(motors!E:E, MATCH(1, (motors!A:A=REGEXEXTRACT(A108,""^\S+""))*(motors!B:B=BU108), 0)), """")"),10.6)</f>
        <v>10.6</v>
      </c>
      <c r="BW108" s="47">
        <f>IFERROR(__xludf.DUMMYFUNCTION("IFERROR(INDEX(motors!F:F, MATCH(1, (motors!A:A=REGEXEXTRACT(A108,""^\S+""))*(motors!B:B=BU108), 0)), """")"),6.1)</f>
        <v>6.1</v>
      </c>
      <c r="BX108" s="64">
        <v>2.0</v>
      </c>
      <c r="BY108" s="65">
        <v>75.0</v>
      </c>
      <c r="BZ108" s="63" t="s">
        <v>716</v>
      </c>
      <c r="CA108" s="53" t="str">
        <f>IFERROR(__xludf.DUMMYFUNCTION("IFERROR(REGEXEXTRACT(BZ108, ""(?i)[A-Z]+-D-E-([^-]+)-E""), """")"),"HQQE")</f>
        <v>HQQE</v>
      </c>
    </row>
    <row r="109" ht="11.25" customHeight="1">
      <c r="A109" s="55" t="s">
        <v>717</v>
      </c>
      <c r="B109" s="55">
        <v>7.4119721E7</v>
      </c>
      <c r="C109" s="56">
        <v>0.0</v>
      </c>
      <c r="D109" s="56">
        <v>11.0</v>
      </c>
      <c r="E109" s="56">
        <v>14.0</v>
      </c>
      <c r="F109" s="56">
        <v>16.0</v>
      </c>
      <c r="G109" s="56">
        <v>18.0</v>
      </c>
      <c r="H109" s="56">
        <v>20.0</v>
      </c>
      <c r="I109" s="56">
        <v>24.0</v>
      </c>
      <c r="J109" s="56">
        <v>26.0</v>
      </c>
      <c r="K109" s="56">
        <v>28.0</v>
      </c>
      <c r="L109" s="56">
        <v>30.0</v>
      </c>
      <c r="M109" s="48">
        <v>85.0834232613</v>
      </c>
      <c r="N109" s="56">
        <v>79.4177815477</v>
      </c>
      <c r="O109" s="56">
        <v>76.1971421989</v>
      </c>
      <c r="P109" s="56">
        <v>73.40709293169999</v>
      </c>
      <c r="Q109" s="56">
        <v>69.9975692469</v>
      </c>
      <c r="R109" s="56">
        <v>65.8700360293</v>
      </c>
      <c r="S109" s="56">
        <v>55.0292831589</v>
      </c>
      <c r="T109" s="56">
        <v>48.081475899699996</v>
      </c>
      <c r="U109" s="56">
        <v>40.45</v>
      </c>
      <c r="V109" s="56">
        <v>32.5</v>
      </c>
      <c r="W109" s="49">
        <f>W104*6</f>
        <v>2.052</v>
      </c>
      <c r="X109" s="56">
        <v>3.978</v>
      </c>
      <c r="Y109" s="56">
        <v>4.446</v>
      </c>
      <c r="Z109" s="56">
        <v>4.716</v>
      </c>
      <c r="AA109" s="56">
        <v>4.9559999999999995</v>
      </c>
      <c r="AB109" s="56">
        <v>5.166</v>
      </c>
      <c r="AC109" s="56">
        <v>5.496</v>
      </c>
      <c r="AD109" s="56">
        <v>5.61</v>
      </c>
      <c r="AE109" s="56">
        <v>5.699999999999999</v>
      </c>
      <c r="AF109" s="56">
        <v>5.76</v>
      </c>
      <c r="AG109" s="49">
        <v>0.564</v>
      </c>
      <c r="AH109" s="56">
        <v>0.849</v>
      </c>
      <c r="AI109" s="56">
        <v>1.033</v>
      </c>
      <c r="AJ109" s="56">
        <v>1.18</v>
      </c>
      <c r="AK109" s="56">
        <v>1.352</v>
      </c>
      <c r="AL109" s="56">
        <v>1.558</v>
      </c>
      <c r="AM109" s="56">
        <v>2.202</v>
      </c>
      <c r="AN109" s="56">
        <v>2.855</v>
      </c>
      <c r="AO109" s="56">
        <v>3.894</v>
      </c>
      <c r="AP109" s="56">
        <v>5.507</v>
      </c>
      <c r="AQ109" s="49">
        <v>0.0</v>
      </c>
      <c r="AR109" s="56">
        <v>59.5</v>
      </c>
      <c r="AS109" s="56">
        <v>66.77</v>
      </c>
      <c r="AT109" s="56">
        <v>69.53</v>
      </c>
      <c r="AU109" s="56">
        <v>71.43</v>
      </c>
      <c r="AV109" s="56">
        <v>72.42</v>
      </c>
      <c r="AW109" s="56">
        <v>71.25</v>
      </c>
      <c r="AX109" s="56">
        <v>68.73</v>
      </c>
      <c r="AY109" s="56">
        <v>64.52</v>
      </c>
      <c r="AZ109" s="56">
        <v>58.16</v>
      </c>
      <c r="BA109" s="50">
        <v>604.0</v>
      </c>
      <c r="BB109" s="57">
        <v>417.0</v>
      </c>
      <c r="BC109" s="57">
        <v>212.0</v>
      </c>
      <c r="BD109" s="57">
        <v>160.0</v>
      </c>
      <c r="BE109" s="57" t="s">
        <v>676</v>
      </c>
      <c r="BF109" s="57" t="s">
        <v>677</v>
      </c>
      <c r="BG109" s="57" t="s">
        <v>678</v>
      </c>
      <c r="BH109" s="57" t="s">
        <v>679</v>
      </c>
      <c r="BI109" s="57">
        <v>130.0</v>
      </c>
      <c r="BJ109" s="57">
        <v>196.0</v>
      </c>
      <c r="BK109" s="57">
        <v>300.0</v>
      </c>
      <c r="BL109" s="57">
        <v>215.0</v>
      </c>
      <c r="BM109" s="57">
        <v>284.0</v>
      </c>
      <c r="BN109" s="57">
        <v>90.0</v>
      </c>
      <c r="BO109" s="57">
        <v>34.0</v>
      </c>
      <c r="BP109" s="57" t="s">
        <v>680</v>
      </c>
      <c r="BQ109" s="57" t="s">
        <v>642</v>
      </c>
      <c r="BR109" s="58">
        <v>16.0</v>
      </c>
      <c r="BS109" s="59" t="s">
        <v>681</v>
      </c>
      <c r="BT109" s="59" t="s">
        <v>681</v>
      </c>
      <c r="BU109" s="58">
        <v>7.5</v>
      </c>
      <c r="BV109" s="47">
        <f>IFERROR(__xludf.DUMMYFUNCTION("IFERROR(INDEX(motors!E:E, MATCH(1, (motors!A:A=REGEXEXTRACT(A109,""^\S+""))*(motors!B:B=BU109), 0)), """")"),14.4)</f>
        <v>14.4</v>
      </c>
      <c r="BW109" s="47">
        <f>IFERROR(__xludf.DUMMYFUNCTION("IFERROR(INDEX(motors!F:F, MATCH(1, (motors!A:A=REGEXEXTRACT(A109,""^\S+""))*(motors!B:B=BU109), 0)), """")"),8.3)</f>
        <v>8.3</v>
      </c>
      <c r="BX109" s="57">
        <v>2.0</v>
      </c>
      <c r="BY109" s="58">
        <v>83.0</v>
      </c>
      <c r="BZ109" s="59" t="s">
        <v>718</v>
      </c>
      <c r="CA109" s="53" t="str">
        <f>IFERROR(__xludf.DUMMYFUNCTION("IFERROR(REGEXEXTRACT(BZ109, ""(?i)[A-Z]+-D-E-([^-]+)-E""), """")"),"HQQE")</f>
        <v>HQQE</v>
      </c>
    </row>
    <row r="110" ht="11.25" customHeight="1">
      <c r="A110" s="60" t="s">
        <v>719</v>
      </c>
      <c r="B110" s="61">
        <v>7.4119713E7</v>
      </c>
      <c r="C110" s="62">
        <v>0.0</v>
      </c>
      <c r="D110" s="62">
        <v>11.0</v>
      </c>
      <c r="E110" s="62">
        <v>14.0</v>
      </c>
      <c r="F110" s="62">
        <v>16.0</v>
      </c>
      <c r="G110" s="62">
        <v>18.0</v>
      </c>
      <c r="H110" s="62">
        <v>20.0</v>
      </c>
      <c r="I110" s="62">
        <v>24.0</v>
      </c>
      <c r="J110" s="62">
        <v>26.0</v>
      </c>
      <c r="K110" s="62">
        <v>28.0</v>
      </c>
      <c r="L110" s="62">
        <v>30.0</v>
      </c>
      <c r="M110" s="48">
        <v>99.9810237447</v>
      </c>
      <c r="N110" s="62">
        <v>92.97683871619999</v>
      </c>
      <c r="O110" s="62">
        <v>88.99744571689999</v>
      </c>
      <c r="P110" s="62">
        <v>85.7773565847</v>
      </c>
      <c r="Q110" s="62">
        <v>81.9734935221</v>
      </c>
      <c r="R110" s="62">
        <v>77.4298305707</v>
      </c>
      <c r="S110" s="62">
        <v>65.3009641119</v>
      </c>
      <c r="T110" s="62">
        <v>57.20567163170001</v>
      </c>
      <c r="U110" s="62">
        <v>48.4</v>
      </c>
      <c r="V110" s="62">
        <v>38.6</v>
      </c>
      <c r="W110" s="62">
        <f>W104*7</f>
        <v>2.394</v>
      </c>
      <c r="X110" s="62">
        <v>4.641</v>
      </c>
      <c r="Y110" s="62">
        <v>5.187</v>
      </c>
      <c r="Z110" s="62">
        <v>5.502000000000001</v>
      </c>
      <c r="AA110" s="62">
        <v>5.782</v>
      </c>
      <c r="AB110" s="62">
        <v>6.027</v>
      </c>
      <c r="AC110" s="62">
        <v>6.412</v>
      </c>
      <c r="AD110" s="62">
        <v>6.545</v>
      </c>
      <c r="AE110" s="62">
        <v>6.6499999999999995</v>
      </c>
      <c r="AF110" s="62">
        <v>6.72</v>
      </c>
      <c r="AG110" s="62">
        <v>0.564</v>
      </c>
      <c r="AH110" s="62">
        <v>0.849</v>
      </c>
      <c r="AI110" s="62">
        <v>1.033</v>
      </c>
      <c r="AJ110" s="62">
        <v>1.18</v>
      </c>
      <c r="AK110" s="62">
        <v>1.352</v>
      </c>
      <c r="AL110" s="62">
        <v>1.558</v>
      </c>
      <c r="AM110" s="62">
        <v>2.202</v>
      </c>
      <c r="AN110" s="62">
        <v>2.855</v>
      </c>
      <c r="AO110" s="62">
        <v>3.894</v>
      </c>
      <c r="AP110" s="62">
        <v>5.507</v>
      </c>
      <c r="AQ110" s="62">
        <v>0.0</v>
      </c>
      <c r="AR110" s="62">
        <v>59.5</v>
      </c>
      <c r="AS110" s="62">
        <v>66.77</v>
      </c>
      <c r="AT110" s="62">
        <v>69.53</v>
      </c>
      <c r="AU110" s="62">
        <v>71.43</v>
      </c>
      <c r="AV110" s="62">
        <v>72.42</v>
      </c>
      <c r="AW110" s="62">
        <v>71.25</v>
      </c>
      <c r="AX110" s="62">
        <v>68.73</v>
      </c>
      <c r="AY110" s="62">
        <v>64.52</v>
      </c>
      <c r="AZ110" s="62">
        <v>58.16</v>
      </c>
      <c r="BA110" s="63">
        <v>649.0</v>
      </c>
      <c r="BB110" s="64">
        <v>417.0</v>
      </c>
      <c r="BC110" s="64">
        <v>212.0</v>
      </c>
      <c r="BD110" s="64">
        <v>160.0</v>
      </c>
      <c r="BE110" s="64" t="s">
        <v>676</v>
      </c>
      <c r="BF110" s="64" t="s">
        <v>677</v>
      </c>
      <c r="BG110" s="64" t="s">
        <v>678</v>
      </c>
      <c r="BH110" s="64" t="s">
        <v>679</v>
      </c>
      <c r="BI110" s="64">
        <v>130.0</v>
      </c>
      <c r="BJ110" s="64">
        <v>196.0</v>
      </c>
      <c r="BK110" s="64">
        <v>300.0</v>
      </c>
      <c r="BL110" s="64">
        <v>215.0</v>
      </c>
      <c r="BM110" s="64">
        <v>284.0</v>
      </c>
      <c r="BN110" s="64">
        <v>90.0</v>
      </c>
      <c r="BO110" s="64">
        <v>34.0</v>
      </c>
      <c r="BP110" s="64" t="s">
        <v>680</v>
      </c>
      <c r="BQ110" s="64" t="s">
        <v>642</v>
      </c>
      <c r="BR110" s="65">
        <v>16.0</v>
      </c>
      <c r="BS110" s="63" t="s">
        <v>681</v>
      </c>
      <c r="BT110" s="63" t="s">
        <v>681</v>
      </c>
      <c r="BU110" s="65">
        <v>7.5</v>
      </c>
      <c r="BV110" s="47">
        <f>IFERROR(__xludf.DUMMYFUNCTION("IFERROR(INDEX(motors!E:E, MATCH(1, (motors!A:A=REGEXEXTRACT(A110,""^\S+""))*(motors!B:B=BU110), 0)), """")"),14.4)</f>
        <v>14.4</v>
      </c>
      <c r="BW110" s="47">
        <f>IFERROR(__xludf.DUMMYFUNCTION("IFERROR(INDEX(motors!F:F, MATCH(1, (motors!A:A=REGEXEXTRACT(A110,""^\S+""))*(motors!B:B=BU110), 0)), """")"),8.3)</f>
        <v>8.3</v>
      </c>
      <c r="BX110" s="64">
        <v>2.0</v>
      </c>
      <c r="BY110" s="65">
        <v>85.0</v>
      </c>
      <c r="BZ110" s="63" t="s">
        <v>720</v>
      </c>
      <c r="CA110" s="53" t="str">
        <f>IFERROR(__xludf.DUMMYFUNCTION("IFERROR(REGEXEXTRACT(BZ110, ""(?i)[A-Z]+-D-E-([^-]+)-E""), """")"),"HQQE")</f>
        <v>HQQE</v>
      </c>
    </row>
    <row r="111" ht="11.25" customHeight="1">
      <c r="A111" s="54" t="s">
        <v>721</v>
      </c>
      <c r="B111" s="55">
        <v>7.4119722E7</v>
      </c>
      <c r="C111" s="56">
        <v>0.0</v>
      </c>
      <c r="D111" s="56">
        <v>11.0</v>
      </c>
      <c r="E111" s="56">
        <v>14.0</v>
      </c>
      <c r="F111" s="56">
        <v>16.0</v>
      </c>
      <c r="G111" s="56">
        <v>18.0</v>
      </c>
      <c r="H111" s="56">
        <v>20.0</v>
      </c>
      <c r="I111" s="56">
        <v>24.0</v>
      </c>
      <c r="J111" s="56">
        <v>26.0</v>
      </c>
      <c r="K111" s="56">
        <v>28.0</v>
      </c>
      <c r="L111" s="56">
        <v>30.0</v>
      </c>
      <c r="M111" s="48">
        <v>114.0380541802</v>
      </c>
      <c r="N111" s="56">
        <v>106.11118560310001</v>
      </c>
      <c r="O111" s="56">
        <v>101.93161370680001</v>
      </c>
      <c r="P111" s="56">
        <v>98.51584838660001</v>
      </c>
      <c r="Q111" s="56">
        <v>94.43278606960001</v>
      </c>
      <c r="R111" s="56">
        <v>89.49418687420001</v>
      </c>
      <c r="S111" s="56">
        <v>76.08475758579999</v>
      </c>
      <c r="T111" s="56">
        <v>67.0247869936</v>
      </c>
      <c r="U111" s="56">
        <v>56.9</v>
      </c>
      <c r="V111" s="56">
        <v>45.6</v>
      </c>
      <c r="W111" s="49">
        <f>W104*8</f>
        <v>2.736</v>
      </c>
      <c r="X111" s="56">
        <v>5.304</v>
      </c>
      <c r="Y111" s="56">
        <v>5.928</v>
      </c>
      <c r="Z111" s="56">
        <v>6.288</v>
      </c>
      <c r="AA111" s="56">
        <v>6.608</v>
      </c>
      <c r="AB111" s="56">
        <v>6.888</v>
      </c>
      <c r="AC111" s="56">
        <v>7.328</v>
      </c>
      <c r="AD111" s="56">
        <v>7.48</v>
      </c>
      <c r="AE111" s="56">
        <v>7.6</v>
      </c>
      <c r="AF111" s="56">
        <v>7.68</v>
      </c>
      <c r="AG111" s="49">
        <v>0.564</v>
      </c>
      <c r="AH111" s="56">
        <v>0.849</v>
      </c>
      <c r="AI111" s="56">
        <v>1.033</v>
      </c>
      <c r="AJ111" s="56">
        <v>1.18</v>
      </c>
      <c r="AK111" s="56">
        <v>1.352</v>
      </c>
      <c r="AL111" s="56">
        <v>1.558</v>
      </c>
      <c r="AM111" s="56">
        <v>2.202</v>
      </c>
      <c r="AN111" s="56">
        <v>2.855</v>
      </c>
      <c r="AO111" s="56">
        <v>3.894</v>
      </c>
      <c r="AP111" s="56">
        <v>5.507</v>
      </c>
      <c r="AQ111" s="49">
        <v>0.0</v>
      </c>
      <c r="AR111" s="56">
        <v>59.5</v>
      </c>
      <c r="AS111" s="56">
        <v>66.77</v>
      </c>
      <c r="AT111" s="56">
        <v>69.53</v>
      </c>
      <c r="AU111" s="56">
        <v>71.43</v>
      </c>
      <c r="AV111" s="56">
        <v>72.42</v>
      </c>
      <c r="AW111" s="56">
        <v>71.25</v>
      </c>
      <c r="AX111" s="56">
        <v>68.73</v>
      </c>
      <c r="AY111" s="56">
        <v>64.52</v>
      </c>
      <c r="AZ111" s="56">
        <v>58.16</v>
      </c>
      <c r="BA111" s="50">
        <v>779.0</v>
      </c>
      <c r="BB111" s="57">
        <v>448.0</v>
      </c>
      <c r="BC111" s="57">
        <v>255.0</v>
      </c>
      <c r="BD111" s="57">
        <v>178.0</v>
      </c>
      <c r="BE111" s="57" t="s">
        <v>676</v>
      </c>
      <c r="BF111" s="57" t="s">
        <v>677</v>
      </c>
      <c r="BG111" s="57" t="s">
        <v>678</v>
      </c>
      <c r="BH111" s="57" t="s">
        <v>679</v>
      </c>
      <c r="BI111" s="57">
        <v>130.0</v>
      </c>
      <c r="BJ111" s="57">
        <v>196.0</v>
      </c>
      <c r="BK111" s="57">
        <v>300.0</v>
      </c>
      <c r="BL111" s="57">
        <v>215.0</v>
      </c>
      <c r="BM111" s="57">
        <v>284.0</v>
      </c>
      <c r="BN111" s="57">
        <v>90.0</v>
      </c>
      <c r="BO111" s="57">
        <v>34.0</v>
      </c>
      <c r="BP111" s="57" t="s">
        <v>680</v>
      </c>
      <c r="BQ111" s="57" t="s">
        <v>642</v>
      </c>
      <c r="BR111" s="58">
        <v>16.0</v>
      </c>
      <c r="BS111" s="59" t="s">
        <v>681</v>
      </c>
      <c r="BT111" s="59" t="s">
        <v>681</v>
      </c>
      <c r="BU111" s="58">
        <v>11.0</v>
      </c>
      <c r="BV111" s="47">
        <f>IFERROR(__xludf.DUMMYFUNCTION("IFERROR(INDEX(motors!E:E, MATCH(1, (motors!A:A=REGEXEXTRACT(A111,""^\S+""))*(motors!B:B=BU111), 0)), """")"),20.6)</f>
        <v>20.6</v>
      </c>
      <c r="BW111" s="47">
        <f>IFERROR(__xludf.DUMMYFUNCTION("IFERROR(INDEX(motors!F:F, MATCH(1, (motors!A:A=REGEXEXTRACT(A111,""^\S+""))*(motors!B:B=BU111), 0)), """")"),11.9)</f>
        <v>11.9</v>
      </c>
      <c r="BX111" s="57">
        <v>2.0</v>
      </c>
      <c r="BY111" s="58">
        <v>141.0</v>
      </c>
      <c r="BZ111" s="59" t="s">
        <v>722</v>
      </c>
      <c r="CA111" s="53" t="str">
        <f>IFERROR(__xludf.DUMMYFUNCTION("IFERROR(REGEXEXTRACT(BZ111, ""(?i)[A-Z]+-D-E-([^-]+)-E""), """")"),"HQQE")</f>
        <v>HQQE</v>
      </c>
    </row>
    <row r="112" ht="11.25" customHeight="1">
      <c r="A112" s="60" t="s">
        <v>723</v>
      </c>
      <c r="B112" s="61">
        <v>7.4119723E7</v>
      </c>
      <c r="C112" s="62">
        <v>0.0</v>
      </c>
      <c r="D112" s="62">
        <v>11.0</v>
      </c>
      <c r="E112" s="62">
        <v>14.0</v>
      </c>
      <c r="F112" s="62">
        <v>16.0</v>
      </c>
      <c r="G112" s="62">
        <v>18.0</v>
      </c>
      <c r="H112" s="62">
        <v>20.0</v>
      </c>
      <c r="I112" s="62">
        <v>24.0</v>
      </c>
      <c r="J112" s="62">
        <v>26.0</v>
      </c>
      <c r="K112" s="62">
        <v>28.0</v>
      </c>
      <c r="L112" s="62">
        <v>30.0</v>
      </c>
      <c r="M112" s="48">
        <v>141.9605981825</v>
      </c>
      <c r="N112" s="62">
        <v>133.0441035405</v>
      </c>
      <c r="O112" s="62">
        <v>127.58426165550001</v>
      </c>
      <c r="P112" s="62">
        <v>123.34076140650001</v>
      </c>
      <c r="Q112" s="62">
        <v>118.4437878791</v>
      </c>
      <c r="R112" s="62">
        <v>112.6564081485</v>
      </c>
      <c r="S112" s="62">
        <v>97.05952506650002</v>
      </c>
      <c r="T112" s="62">
        <v>86.37298255350002</v>
      </c>
      <c r="U112" s="62">
        <v>73.4</v>
      </c>
      <c r="V112" s="62">
        <v>59.0</v>
      </c>
      <c r="W112" s="62">
        <f>W104*10</f>
        <v>3.42</v>
      </c>
      <c r="X112" s="62">
        <v>6.630000000000001</v>
      </c>
      <c r="Y112" s="62">
        <v>7.41</v>
      </c>
      <c r="Z112" s="62">
        <v>7.86</v>
      </c>
      <c r="AA112" s="62">
        <v>8.26</v>
      </c>
      <c r="AB112" s="62">
        <v>8.61</v>
      </c>
      <c r="AC112" s="62">
        <v>9.16</v>
      </c>
      <c r="AD112" s="62">
        <v>9.350000000000001</v>
      </c>
      <c r="AE112" s="62">
        <v>9.5</v>
      </c>
      <c r="AF112" s="62">
        <v>9.6</v>
      </c>
      <c r="AG112" s="62">
        <v>0.564</v>
      </c>
      <c r="AH112" s="62">
        <v>0.849</v>
      </c>
      <c r="AI112" s="62">
        <v>1.033</v>
      </c>
      <c r="AJ112" s="62">
        <v>1.18</v>
      </c>
      <c r="AK112" s="62">
        <v>1.352</v>
      </c>
      <c r="AL112" s="62">
        <v>1.558</v>
      </c>
      <c r="AM112" s="62">
        <v>2.202</v>
      </c>
      <c r="AN112" s="62">
        <v>2.855</v>
      </c>
      <c r="AO112" s="62">
        <v>3.894</v>
      </c>
      <c r="AP112" s="62">
        <v>5.507</v>
      </c>
      <c r="AQ112" s="62">
        <v>0.0</v>
      </c>
      <c r="AR112" s="62">
        <v>59.5</v>
      </c>
      <c r="AS112" s="62">
        <v>66.77</v>
      </c>
      <c r="AT112" s="62">
        <v>69.53</v>
      </c>
      <c r="AU112" s="62">
        <v>71.43</v>
      </c>
      <c r="AV112" s="62">
        <v>72.42</v>
      </c>
      <c r="AW112" s="62">
        <v>71.25</v>
      </c>
      <c r="AX112" s="62">
        <v>68.73</v>
      </c>
      <c r="AY112" s="62">
        <v>64.52</v>
      </c>
      <c r="AZ112" s="62">
        <v>58.16</v>
      </c>
      <c r="BA112" s="63">
        <v>869.0</v>
      </c>
      <c r="BB112" s="64">
        <v>448.0</v>
      </c>
      <c r="BC112" s="64">
        <v>255.0</v>
      </c>
      <c r="BD112" s="64">
        <v>178.0</v>
      </c>
      <c r="BE112" s="64" t="s">
        <v>676</v>
      </c>
      <c r="BF112" s="64" t="s">
        <v>677</v>
      </c>
      <c r="BG112" s="64" t="s">
        <v>678</v>
      </c>
      <c r="BH112" s="64" t="s">
        <v>679</v>
      </c>
      <c r="BI112" s="64">
        <v>130.0</v>
      </c>
      <c r="BJ112" s="64">
        <v>196.0</v>
      </c>
      <c r="BK112" s="64">
        <v>300.0</v>
      </c>
      <c r="BL112" s="64">
        <v>215.0</v>
      </c>
      <c r="BM112" s="64">
        <v>284.0</v>
      </c>
      <c r="BN112" s="64">
        <v>90.0</v>
      </c>
      <c r="BO112" s="64">
        <v>34.0</v>
      </c>
      <c r="BP112" s="64" t="s">
        <v>680</v>
      </c>
      <c r="BQ112" s="64" t="s">
        <v>642</v>
      </c>
      <c r="BR112" s="65">
        <v>16.0</v>
      </c>
      <c r="BS112" s="63" t="s">
        <v>681</v>
      </c>
      <c r="BT112" s="63" t="s">
        <v>681</v>
      </c>
      <c r="BU112" s="65">
        <v>11.0</v>
      </c>
      <c r="BV112" s="47">
        <f>IFERROR(__xludf.DUMMYFUNCTION("IFERROR(INDEX(motors!E:E, MATCH(1, (motors!A:A=REGEXEXTRACT(A112,""^\S+""))*(motors!B:B=BU112), 0)), """")"),20.6)</f>
        <v>20.6</v>
      </c>
      <c r="BW112" s="47">
        <f>IFERROR(__xludf.DUMMYFUNCTION("IFERROR(INDEX(motors!F:F, MATCH(1, (motors!A:A=REGEXEXTRACT(A112,""^\S+""))*(motors!B:B=BU112), 0)), """")"),11.9)</f>
        <v>11.9</v>
      </c>
      <c r="BX112" s="64">
        <v>2.0</v>
      </c>
      <c r="BY112" s="65">
        <v>146.0</v>
      </c>
      <c r="BZ112" s="63" t="s">
        <v>724</v>
      </c>
      <c r="CA112" s="53" t="str">
        <f>IFERROR(__xludf.DUMMYFUNCTION("IFERROR(REGEXEXTRACT(BZ112, ""(?i)[A-Z]+-D-E-([^-]+)-E""), """")"),"HQQE")</f>
        <v>HQQE</v>
      </c>
    </row>
    <row r="113" ht="11.25" customHeight="1">
      <c r="A113" s="54" t="s">
        <v>725</v>
      </c>
      <c r="B113" s="55">
        <v>7.4119724E7</v>
      </c>
      <c r="C113" s="56">
        <v>0.0</v>
      </c>
      <c r="D113" s="56">
        <v>11.0</v>
      </c>
      <c r="E113" s="56">
        <v>14.0</v>
      </c>
      <c r="F113" s="56">
        <v>16.0</v>
      </c>
      <c r="G113" s="56">
        <v>18.0</v>
      </c>
      <c r="H113" s="56">
        <v>20.0</v>
      </c>
      <c r="I113" s="56">
        <v>24.0</v>
      </c>
      <c r="J113" s="56">
        <v>26.0</v>
      </c>
      <c r="K113" s="56">
        <v>28.0</v>
      </c>
      <c r="L113" s="56">
        <v>30.0</v>
      </c>
      <c r="M113" s="48">
        <v>169.9493776939</v>
      </c>
      <c r="N113" s="56">
        <v>159.7413184127</v>
      </c>
      <c r="O113" s="56">
        <v>153.60279980570002</v>
      </c>
      <c r="P113" s="56">
        <v>148.7021241307</v>
      </c>
      <c r="Q113" s="56">
        <v>142.9597541125</v>
      </c>
      <c r="R113" s="56">
        <v>136.1263822199</v>
      </c>
      <c r="S113" s="56">
        <v>117.82434214270002</v>
      </c>
      <c r="T113" s="56">
        <v>105.49199835170002</v>
      </c>
      <c r="U113" s="56">
        <v>90.5</v>
      </c>
      <c r="V113" s="56">
        <v>73.5</v>
      </c>
      <c r="W113" s="49">
        <f>W104*12</f>
        <v>4.104</v>
      </c>
      <c r="X113" s="56">
        <v>7.956</v>
      </c>
      <c r="Y113" s="56">
        <v>8.892</v>
      </c>
      <c r="Z113" s="56">
        <v>9.432</v>
      </c>
      <c r="AA113" s="56">
        <v>9.911999999999999</v>
      </c>
      <c r="AB113" s="56">
        <v>10.332</v>
      </c>
      <c r="AC113" s="56">
        <v>10.992</v>
      </c>
      <c r="AD113" s="56">
        <v>11.22</v>
      </c>
      <c r="AE113" s="56">
        <v>11.399999999999999</v>
      </c>
      <c r="AF113" s="56">
        <v>11.52</v>
      </c>
      <c r="AG113" s="49">
        <v>0.564</v>
      </c>
      <c r="AH113" s="56">
        <v>0.849</v>
      </c>
      <c r="AI113" s="56">
        <v>1.033</v>
      </c>
      <c r="AJ113" s="56">
        <v>1.18</v>
      </c>
      <c r="AK113" s="56">
        <v>1.352</v>
      </c>
      <c r="AL113" s="56">
        <v>1.558</v>
      </c>
      <c r="AM113" s="56">
        <v>2.202</v>
      </c>
      <c r="AN113" s="56">
        <v>2.855</v>
      </c>
      <c r="AO113" s="56">
        <v>3.894</v>
      </c>
      <c r="AP113" s="56">
        <v>5.507</v>
      </c>
      <c r="AQ113" s="49">
        <v>0.0</v>
      </c>
      <c r="AR113" s="56">
        <v>59.5</v>
      </c>
      <c r="AS113" s="56">
        <v>66.77</v>
      </c>
      <c r="AT113" s="56">
        <v>69.53</v>
      </c>
      <c r="AU113" s="56">
        <v>71.43</v>
      </c>
      <c r="AV113" s="56">
        <v>72.42</v>
      </c>
      <c r="AW113" s="56">
        <v>71.25</v>
      </c>
      <c r="AX113" s="56">
        <v>68.73</v>
      </c>
      <c r="AY113" s="56">
        <v>64.52</v>
      </c>
      <c r="AZ113" s="56">
        <v>58.16</v>
      </c>
      <c r="BA113" s="50">
        <v>959.0</v>
      </c>
      <c r="BB113" s="57">
        <v>489.0</v>
      </c>
      <c r="BC113" s="57">
        <v>255.0</v>
      </c>
      <c r="BD113" s="57">
        <v>178.0</v>
      </c>
      <c r="BE113" s="57" t="s">
        <v>676</v>
      </c>
      <c r="BF113" s="57" t="s">
        <v>677</v>
      </c>
      <c r="BG113" s="57" t="s">
        <v>678</v>
      </c>
      <c r="BH113" s="57" t="s">
        <v>679</v>
      </c>
      <c r="BI113" s="57">
        <v>130.0</v>
      </c>
      <c r="BJ113" s="57">
        <v>196.0</v>
      </c>
      <c r="BK113" s="57">
        <v>300.0</v>
      </c>
      <c r="BL113" s="57">
        <v>215.0</v>
      </c>
      <c r="BM113" s="57">
        <v>284.0</v>
      </c>
      <c r="BN113" s="57">
        <v>90.0</v>
      </c>
      <c r="BO113" s="57">
        <v>34.0</v>
      </c>
      <c r="BP113" s="57" t="s">
        <v>680</v>
      </c>
      <c r="BQ113" s="57" t="s">
        <v>642</v>
      </c>
      <c r="BR113" s="58">
        <v>25.0</v>
      </c>
      <c r="BS113" s="59" t="s">
        <v>681</v>
      </c>
      <c r="BT113" s="59" t="s">
        <v>681</v>
      </c>
      <c r="BU113" s="58">
        <v>15.0</v>
      </c>
      <c r="BV113" s="47">
        <f>IFERROR(__xludf.DUMMYFUNCTION("IFERROR(INDEX(motors!E:E, MATCH(1, (motors!A:A=REGEXEXTRACT(A113,""^\S+""))*(motors!B:B=BU113), 0)), """")"),27.9)</f>
        <v>27.9</v>
      </c>
      <c r="BW113" s="47">
        <f>IFERROR(__xludf.DUMMYFUNCTION("IFERROR(INDEX(motors!F:F, MATCH(1, (motors!A:A=REGEXEXTRACT(A113,""^\S+""))*(motors!B:B=BU113), 0)), """")"),16.0)</f>
        <v>16</v>
      </c>
      <c r="BX113" s="57">
        <v>2.0</v>
      </c>
      <c r="BY113" s="58">
        <v>161.0</v>
      </c>
      <c r="BZ113" s="59" t="s">
        <v>726</v>
      </c>
      <c r="CA113" s="53" t="str">
        <f>IFERROR(__xludf.DUMMYFUNCTION("IFERROR(REGEXEXTRACT(BZ113, ""(?i)[A-Z]+-D-E-([^-]+)-E""), """")"),"HQQE")</f>
        <v>HQQE</v>
      </c>
    </row>
    <row r="114" ht="11.25" customHeight="1">
      <c r="A114" s="45" t="s">
        <v>727</v>
      </c>
      <c r="B114" s="46">
        <v>7.4119725E7</v>
      </c>
      <c r="C114" s="47">
        <v>0.0</v>
      </c>
      <c r="D114" s="47">
        <v>11.0</v>
      </c>
      <c r="E114" s="47">
        <v>14.0</v>
      </c>
      <c r="F114" s="47">
        <v>16.0</v>
      </c>
      <c r="G114" s="47">
        <v>18.0</v>
      </c>
      <c r="H114" s="47">
        <v>20.0</v>
      </c>
      <c r="I114" s="47">
        <v>24.0</v>
      </c>
      <c r="J114" s="47">
        <v>26.0</v>
      </c>
      <c r="K114" s="47">
        <v>28.0</v>
      </c>
      <c r="L114" s="47">
        <v>30.0</v>
      </c>
      <c r="M114" s="48">
        <v>197.973310414</v>
      </c>
      <c r="N114" s="47">
        <v>187.2470994933</v>
      </c>
      <c r="O114" s="47">
        <v>181.24990400939998</v>
      </c>
      <c r="P114" s="47">
        <v>175.9051992028</v>
      </c>
      <c r="Q114" s="47">
        <v>169.2659732386</v>
      </c>
      <c r="R114" s="47">
        <v>161.145166512</v>
      </c>
      <c r="S114" s="47">
        <v>139.7068594564</v>
      </c>
      <c r="T114" s="47">
        <v>126.01152702179999</v>
      </c>
      <c r="U114" s="47">
        <v>110.0789496136</v>
      </c>
      <c r="V114" s="47">
        <v>90.4</v>
      </c>
      <c r="W114" s="49">
        <f>W104*14</f>
        <v>4.788</v>
      </c>
      <c r="X114" s="47">
        <v>9.282</v>
      </c>
      <c r="Y114" s="47">
        <v>10.374</v>
      </c>
      <c r="Z114" s="47">
        <v>11.004000000000001</v>
      </c>
      <c r="AA114" s="47">
        <v>11.564</v>
      </c>
      <c r="AB114" s="47">
        <v>12.054</v>
      </c>
      <c r="AC114" s="47">
        <v>12.824</v>
      </c>
      <c r="AD114" s="47">
        <v>13.09</v>
      </c>
      <c r="AE114" s="47">
        <v>13.299999999999999</v>
      </c>
      <c r="AF114" s="47">
        <v>13.44</v>
      </c>
      <c r="AG114" s="49">
        <v>0.564</v>
      </c>
      <c r="AH114" s="47">
        <v>0.849</v>
      </c>
      <c r="AI114" s="47">
        <v>1.033</v>
      </c>
      <c r="AJ114" s="47">
        <v>1.18</v>
      </c>
      <c r="AK114" s="47">
        <v>1.352</v>
      </c>
      <c r="AL114" s="47">
        <v>1.558</v>
      </c>
      <c r="AM114" s="47">
        <v>2.202</v>
      </c>
      <c r="AN114" s="47">
        <v>2.855</v>
      </c>
      <c r="AO114" s="47">
        <v>3.894</v>
      </c>
      <c r="AP114" s="47">
        <v>5.507</v>
      </c>
      <c r="AQ114" s="49">
        <v>0.0</v>
      </c>
      <c r="AR114" s="47">
        <v>59.5</v>
      </c>
      <c r="AS114" s="47">
        <v>66.77</v>
      </c>
      <c r="AT114" s="47">
        <v>69.53</v>
      </c>
      <c r="AU114" s="47">
        <v>71.43</v>
      </c>
      <c r="AV114" s="47">
        <v>72.42</v>
      </c>
      <c r="AW114" s="47">
        <v>71.25</v>
      </c>
      <c r="AX114" s="47">
        <v>68.73</v>
      </c>
      <c r="AY114" s="47">
        <v>64.52</v>
      </c>
      <c r="AZ114" s="47">
        <v>58.16</v>
      </c>
      <c r="BA114" s="50">
        <v>1049.0</v>
      </c>
      <c r="BB114" s="51">
        <v>489.0</v>
      </c>
      <c r="BC114" s="51">
        <v>255.0</v>
      </c>
      <c r="BD114" s="51">
        <v>178.0</v>
      </c>
      <c r="BE114" s="51" t="s">
        <v>676</v>
      </c>
      <c r="BF114" s="51" t="s">
        <v>677</v>
      </c>
      <c r="BG114" s="51" t="s">
        <v>678</v>
      </c>
      <c r="BH114" s="51" t="s">
        <v>679</v>
      </c>
      <c r="BI114" s="51">
        <v>130.0</v>
      </c>
      <c r="BJ114" s="51">
        <v>196.0</v>
      </c>
      <c r="BK114" s="51">
        <v>300.0</v>
      </c>
      <c r="BL114" s="51">
        <v>215.0</v>
      </c>
      <c r="BM114" s="51">
        <v>284.0</v>
      </c>
      <c r="BN114" s="51">
        <v>90.0</v>
      </c>
      <c r="BO114" s="51">
        <v>34.0</v>
      </c>
      <c r="BP114" s="51" t="s">
        <v>680</v>
      </c>
      <c r="BQ114" s="51" t="s">
        <v>642</v>
      </c>
      <c r="BR114" s="52">
        <v>25.0</v>
      </c>
      <c r="BS114" s="53" t="s">
        <v>681</v>
      </c>
      <c r="BT114" s="53" t="s">
        <v>681</v>
      </c>
      <c r="BU114" s="52">
        <v>15.0</v>
      </c>
      <c r="BV114" s="47">
        <f>IFERROR(__xludf.DUMMYFUNCTION("IFERROR(INDEX(motors!E:E, MATCH(1, (motors!A:A=REGEXEXTRACT(A114,""^\S+""))*(motors!B:B=BU114), 0)), """")"),27.9)</f>
        <v>27.9</v>
      </c>
      <c r="BW114" s="47">
        <f>IFERROR(__xludf.DUMMYFUNCTION("IFERROR(INDEX(motors!F:F, MATCH(1, (motors!A:A=REGEXEXTRACT(A114,""^\S+""))*(motors!B:B=BU114), 0)), """")"),16.0)</f>
        <v>16</v>
      </c>
      <c r="BX114" s="51">
        <v>2.0</v>
      </c>
      <c r="BY114" s="52">
        <v>166.0</v>
      </c>
      <c r="BZ114" s="53" t="s">
        <v>728</v>
      </c>
      <c r="CA114" s="53" t="str">
        <f>IFERROR(__xludf.DUMMYFUNCTION("IFERROR(REGEXEXTRACT(BZ114, ""(?i)[A-Z]+-D-E-([^-]+)-E""), """")"),"HQQE")</f>
        <v>HQQE</v>
      </c>
    </row>
    <row r="115" ht="11.25" customHeight="1">
      <c r="A115" s="54" t="s">
        <v>729</v>
      </c>
      <c r="B115" s="55">
        <v>7.4119726E7</v>
      </c>
      <c r="C115" s="56">
        <v>0.0</v>
      </c>
      <c r="D115" s="56">
        <v>11.0</v>
      </c>
      <c r="E115" s="56">
        <v>14.0</v>
      </c>
      <c r="F115" s="56">
        <v>16.0</v>
      </c>
      <c r="G115" s="56">
        <v>18.0</v>
      </c>
      <c r="H115" s="56">
        <v>20.0</v>
      </c>
      <c r="I115" s="56">
        <v>24.0</v>
      </c>
      <c r="J115" s="56">
        <v>26.0</v>
      </c>
      <c r="K115" s="56">
        <v>28.0</v>
      </c>
      <c r="L115" s="56">
        <v>30.0</v>
      </c>
      <c r="M115" s="48">
        <v>241.9777824013</v>
      </c>
      <c r="N115" s="56">
        <v>229.3564691165</v>
      </c>
      <c r="O115" s="56">
        <v>222.86989638170002</v>
      </c>
      <c r="P115" s="56">
        <v>217.2889856365</v>
      </c>
      <c r="Q115" s="56">
        <v>210.37693566250002</v>
      </c>
      <c r="R115" s="56">
        <v>201.7944623813</v>
      </c>
      <c r="S115" s="56">
        <v>177.9947654557</v>
      </c>
      <c r="T115" s="56">
        <v>161.8326295265</v>
      </c>
      <c r="U115" s="56">
        <v>142.11024572050002</v>
      </c>
      <c r="V115" s="56">
        <v>118.22198583129999</v>
      </c>
      <c r="W115" s="49">
        <f>W104*17</f>
        <v>5.814</v>
      </c>
      <c r="X115" s="56">
        <v>11.271</v>
      </c>
      <c r="Y115" s="56">
        <v>12.597</v>
      </c>
      <c r="Z115" s="56">
        <v>13.362</v>
      </c>
      <c r="AA115" s="56">
        <v>14.042</v>
      </c>
      <c r="AB115" s="56">
        <v>14.637</v>
      </c>
      <c r="AC115" s="56">
        <v>15.572000000000001</v>
      </c>
      <c r="AD115" s="56">
        <v>15.895000000000001</v>
      </c>
      <c r="AE115" s="56">
        <v>16.15</v>
      </c>
      <c r="AF115" s="56">
        <v>16.32</v>
      </c>
      <c r="AG115" s="49">
        <v>0.564</v>
      </c>
      <c r="AH115" s="56">
        <v>0.849</v>
      </c>
      <c r="AI115" s="56">
        <v>1.033</v>
      </c>
      <c r="AJ115" s="56">
        <v>1.18</v>
      </c>
      <c r="AK115" s="56">
        <v>1.352</v>
      </c>
      <c r="AL115" s="56">
        <v>1.558</v>
      </c>
      <c r="AM115" s="56">
        <v>2.202</v>
      </c>
      <c r="AN115" s="56">
        <v>2.855</v>
      </c>
      <c r="AO115" s="56">
        <v>3.894</v>
      </c>
      <c r="AP115" s="56">
        <v>5.507</v>
      </c>
      <c r="AQ115" s="49">
        <v>0.0</v>
      </c>
      <c r="AR115" s="56">
        <v>59.5</v>
      </c>
      <c r="AS115" s="56">
        <v>66.77</v>
      </c>
      <c r="AT115" s="56">
        <v>69.53</v>
      </c>
      <c r="AU115" s="56">
        <v>71.43</v>
      </c>
      <c r="AV115" s="56">
        <v>72.42</v>
      </c>
      <c r="AW115" s="56">
        <v>71.25</v>
      </c>
      <c r="AX115" s="56">
        <v>68.73</v>
      </c>
      <c r="AY115" s="56">
        <v>64.52</v>
      </c>
      <c r="AZ115" s="56">
        <v>58.16</v>
      </c>
      <c r="BA115" s="50">
        <v>1184.0</v>
      </c>
      <c r="BB115" s="57">
        <v>542.0</v>
      </c>
      <c r="BC115" s="57">
        <v>313.0</v>
      </c>
      <c r="BD115" s="57">
        <v>257.0</v>
      </c>
      <c r="BE115" s="57" t="s">
        <v>676</v>
      </c>
      <c r="BF115" s="57" t="s">
        <v>677</v>
      </c>
      <c r="BG115" s="57" t="s">
        <v>678</v>
      </c>
      <c r="BH115" s="57" t="s">
        <v>679</v>
      </c>
      <c r="BI115" s="57">
        <v>130.0</v>
      </c>
      <c r="BJ115" s="57">
        <v>196.0</v>
      </c>
      <c r="BK115" s="57">
        <v>300.0</v>
      </c>
      <c r="BL115" s="57">
        <v>215.0</v>
      </c>
      <c r="BM115" s="57">
        <v>284.0</v>
      </c>
      <c r="BN115" s="57">
        <v>90.0</v>
      </c>
      <c r="BO115" s="57">
        <v>34.0</v>
      </c>
      <c r="BP115" s="57" t="s">
        <v>680</v>
      </c>
      <c r="BQ115" s="57" t="s">
        <v>642</v>
      </c>
      <c r="BR115" s="58">
        <v>25.0</v>
      </c>
      <c r="BS115" s="59" t="s">
        <v>681</v>
      </c>
      <c r="BT115" s="59" t="s">
        <v>681</v>
      </c>
      <c r="BU115" s="58">
        <v>18.5</v>
      </c>
      <c r="BV115" s="47">
        <f>IFERROR(__xludf.DUMMYFUNCTION("IFERROR(INDEX(motors!E:E, MATCH(1, (motors!A:A=REGEXEXTRACT(A115,""^\S+""))*(motors!B:B=BU115), 0)), """")"),34.2)</f>
        <v>34.2</v>
      </c>
      <c r="BW115" s="47">
        <f>IFERROR(__xludf.DUMMYFUNCTION("IFERROR(INDEX(motors!F:F, MATCH(1, (motors!A:A=REGEXEXTRACT(A115,""^\S+""))*(motors!B:B=BU115), 0)), """")"),19.7)</f>
        <v>19.7</v>
      </c>
      <c r="BX115" s="57">
        <v>2.0</v>
      </c>
      <c r="BY115" s="58">
        <v>191.0</v>
      </c>
      <c r="BZ115" s="59" t="s">
        <v>730</v>
      </c>
      <c r="CA115" s="53" t="str">
        <f>IFERROR(__xludf.DUMMYFUNCTION("IFERROR(REGEXEXTRACT(BZ115, ""(?i)[A-Z]+-D-E-([^-]+)-E""), """")"),"HQQE")</f>
        <v>HQQE</v>
      </c>
    </row>
    <row r="116" ht="11.25" customHeight="1">
      <c r="A116" s="46"/>
      <c r="B116" s="46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8"/>
      <c r="N116" s="47"/>
      <c r="O116" s="47"/>
      <c r="P116" s="47"/>
      <c r="Q116" s="47"/>
      <c r="R116" s="47"/>
      <c r="S116" s="47"/>
      <c r="T116" s="47"/>
      <c r="U116" s="47"/>
      <c r="V116" s="47"/>
      <c r="W116" s="49"/>
      <c r="X116" s="47"/>
      <c r="Y116" s="47"/>
      <c r="Z116" s="47"/>
      <c r="AA116" s="47"/>
      <c r="AB116" s="47"/>
      <c r="AC116" s="47"/>
      <c r="AD116" s="47"/>
      <c r="AE116" s="47"/>
      <c r="AF116" s="47"/>
      <c r="AG116" s="49"/>
      <c r="AH116" s="47"/>
      <c r="AI116" s="47"/>
      <c r="AJ116" s="47"/>
      <c r="AK116" s="47"/>
      <c r="AL116" s="47"/>
      <c r="AM116" s="47"/>
      <c r="AN116" s="47"/>
      <c r="AO116" s="47"/>
      <c r="AP116" s="47"/>
      <c r="AQ116" s="49"/>
      <c r="AR116" s="47"/>
      <c r="AS116" s="47"/>
      <c r="AT116" s="47"/>
      <c r="AU116" s="47"/>
      <c r="AV116" s="47"/>
      <c r="AW116" s="47"/>
      <c r="AX116" s="47"/>
      <c r="AY116" s="47"/>
      <c r="AZ116" s="47"/>
      <c r="BA116" s="50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3"/>
      <c r="BS116" s="53"/>
      <c r="BT116" s="53"/>
      <c r="BU116" s="53"/>
      <c r="BV116" s="47" t="str">
        <f>IFERROR(__xludf.DUMMYFUNCTION("IFERROR(INDEX(motors!E:E, MATCH(1, (motors!A:A=REGEXEXTRACT(A116,""^\S+""))*(motors!B:B=BU116), 0)), """")"),"")</f>
        <v/>
      </c>
      <c r="BW116" s="47" t="str">
        <f>IFERROR(__xludf.DUMMYFUNCTION("IFERROR(INDEX(motors!F:F, MATCH(1, (motors!A:A=REGEXEXTRACT(A116,""^\S+""))*(motors!B:B=BU116), 0)), """")"),"")</f>
        <v/>
      </c>
      <c r="BX116" s="51"/>
      <c r="BY116" s="53"/>
      <c r="BZ116" s="53"/>
      <c r="CA116" s="53" t="str">
        <f>IFERROR(__xludf.DUMMYFUNCTION("IFERROR(REGEXEXTRACT(BZ116, ""(?i)[A-Z]+-D-E-([^-]+)-E""), """")"),"")</f>
        <v/>
      </c>
    </row>
    <row r="117" ht="11.25" customHeight="1">
      <c r="A117" s="61" t="s">
        <v>731</v>
      </c>
      <c r="B117" s="61">
        <v>7.4121726E7</v>
      </c>
      <c r="C117" s="62">
        <v>0.0</v>
      </c>
      <c r="D117" s="62">
        <v>15.0</v>
      </c>
      <c r="E117" s="62">
        <v>16.0</v>
      </c>
      <c r="F117" s="62">
        <v>20.0</v>
      </c>
      <c r="G117" s="62">
        <v>24.0</v>
      </c>
      <c r="H117" s="62">
        <v>28.0</v>
      </c>
      <c r="I117" s="62">
        <v>30.0</v>
      </c>
      <c r="J117" s="62">
        <v>32.0</v>
      </c>
      <c r="K117" s="62">
        <v>36.0</v>
      </c>
      <c r="L117" s="62">
        <v>40.0</v>
      </c>
      <c r="M117" s="48">
        <v>16.9</v>
      </c>
      <c r="N117" s="62">
        <v>14.1</v>
      </c>
      <c r="O117" s="62">
        <v>13.9</v>
      </c>
      <c r="P117" s="62">
        <v>13.1</v>
      </c>
      <c r="Q117" s="62">
        <v>12.15</v>
      </c>
      <c r="R117" s="62">
        <v>11.15</v>
      </c>
      <c r="S117" s="62">
        <v>10.597022169800002</v>
      </c>
      <c r="T117" s="62">
        <v>10.0433961648</v>
      </c>
      <c r="U117" s="62">
        <v>8.7393804404</v>
      </c>
      <c r="V117" s="62">
        <v>6.9</v>
      </c>
      <c r="W117" s="62">
        <v>0.425</v>
      </c>
      <c r="X117" s="62">
        <v>0.954</v>
      </c>
      <c r="Y117" s="62">
        <v>0.986</v>
      </c>
      <c r="Z117" s="62">
        <v>1.101</v>
      </c>
      <c r="AA117" s="62">
        <v>1.2</v>
      </c>
      <c r="AB117" s="62">
        <v>1.276</v>
      </c>
      <c r="AC117" s="62">
        <v>1.309</v>
      </c>
      <c r="AD117" s="62">
        <v>1.331</v>
      </c>
      <c r="AE117" s="62">
        <v>1.352</v>
      </c>
      <c r="AF117" s="62">
        <v>1.324</v>
      </c>
      <c r="AG117" s="62">
        <v>1.321</v>
      </c>
      <c r="AH117" s="62">
        <v>1.312</v>
      </c>
      <c r="AI117" s="62">
        <v>1.308</v>
      </c>
      <c r="AJ117" s="62">
        <v>1.327</v>
      </c>
      <c r="AK117" s="62">
        <v>1.445</v>
      </c>
      <c r="AL117" s="62">
        <v>1.773</v>
      </c>
      <c r="AM117" s="62">
        <v>2.076</v>
      </c>
      <c r="AN117" s="62">
        <v>2.52</v>
      </c>
      <c r="AO117" s="62">
        <v>3.969</v>
      </c>
      <c r="AP117" s="62">
        <v>6.177</v>
      </c>
      <c r="AQ117" s="62">
        <v>0.0</v>
      </c>
      <c r="AR117" s="62">
        <v>60.2</v>
      </c>
      <c r="AS117" s="62">
        <v>63.5</v>
      </c>
      <c r="AT117" s="62">
        <v>71.16</v>
      </c>
      <c r="AU117" s="62">
        <v>74.88</v>
      </c>
      <c r="AV117" s="62">
        <v>76.29</v>
      </c>
      <c r="AW117" s="62">
        <v>76.07</v>
      </c>
      <c r="AX117" s="62">
        <v>75.18</v>
      </c>
      <c r="AY117" s="62">
        <v>71.16</v>
      </c>
      <c r="AZ117" s="62">
        <v>63.61</v>
      </c>
      <c r="BA117" s="63">
        <v>427.0</v>
      </c>
      <c r="BB117" s="64">
        <v>280.0</v>
      </c>
      <c r="BC117" s="64">
        <v>168.0</v>
      </c>
      <c r="BD117" s="64">
        <v>127.0</v>
      </c>
      <c r="BE117" s="64" t="s">
        <v>732</v>
      </c>
      <c r="BF117" s="64" t="s">
        <v>733</v>
      </c>
      <c r="BG117" s="64" t="s">
        <v>734</v>
      </c>
      <c r="BH117" s="64"/>
      <c r="BI117" s="64">
        <v>170.0</v>
      </c>
      <c r="BJ117" s="64">
        <v>224.0</v>
      </c>
      <c r="BK117" s="64">
        <v>320.0</v>
      </c>
      <c r="BL117" s="64">
        <v>240.0</v>
      </c>
      <c r="BM117" s="64">
        <v>334.0</v>
      </c>
      <c r="BN117" s="64">
        <v>105.0</v>
      </c>
      <c r="BO117" s="64">
        <v>53.0</v>
      </c>
      <c r="BP117" s="64" t="s">
        <v>735</v>
      </c>
      <c r="BQ117" s="64" t="s">
        <v>642</v>
      </c>
      <c r="BR117" s="65">
        <v>16.0</v>
      </c>
      <c r="BS117" s="63" t="s">
        <v>736</v>
      </c>
      <c r="BT117" s="63" t="s">
        <v>736</v>
      </c>
      <c r="BU117" s="65">
        <v>1.5</v>
      </c>
      <c r="BV117" s="47">
        <f>IFERROR(__xludf.DUMMYFUNCTION("IFERROR(INDEX(motors!E:E, MATCH(1, (motors!A:A=REGEXEXTRACT(A117,""^\S+""))*(motors!B:B=BU117), 0)), """")"),5.6)</f>
        <v>5.6</v>
      </c>
      <c r="BW117" s="47">
        <f>IFERROR(__xludf.DUMMYFUNCTION("IFERROR(INDEX(motors!F:F, MATCH(1, (motors!A:A=REGEXEXTRACT(A117,""^\S+""))*(motors!B:B=BU117), 0)), """")"),3.2)</f>
        <v>3.2</v>
      </c>
      <c r="BX117" s="64">
        <v>2.0</v>
      </c>
      <c r="BY117" s="65">
        <v>67.0</v>
      </c>
      <c r="BZ117" s="63" t="s">
        <v>737</v>
      </c>
      <c r="CA117" s="53" t="str">
        <f>IFERROR(__xludf.DUMMYFUNCTION("IFERROR(REGEXEXTRACT(BZ117, ""(?i)[A-Z]+-D-E-([^-]+)-E""), """")"),"HQQE")</f>
        <v>HQQE</v>
      </c>
    </row>
    <row r="118" ht="11.25" customHeight="1">
      <c r="A118" s="61" t="s">
        <v>738</v>
      </c>
      <c r="B118" s="61">
        <v>7.4121727E7</v>
      </c>
      <c r="C118" s="62">
        <v>0.0</v>
      </c>
      <c r="D118" s="62">
        <v>15.0</v>
      </c>
      <c r="E118" s="62">
        <v>16.0</v>
      </c>
      <c r="F118" s="62">
        <v>20.0</v>
      </c>
      <c r="G118" s="62">
        <v>24.0</v>
      </c>
      <c r="H118" s="62">
        <v>28.0</v>
      </c>
      <c r="I118" s="62">
        <v>30.0</v>
      </c>
      <c r="J118" s="62">
        <v>32.0</v>
      </c>
      <c r="K118" s="62">
        <v>36.0</v>
      </c>
      <c r="L118" s="62">
        <v>40.0</v>
      </c>
      <c r="M118" s="48">
        <v>22.7</v>
      </c>
      <c r="N118" s="62">
        <v>18.5</v>
      </c>
      <c r="O118" s="62">
        <v>18.25</v>
      </c>
      <c r="P118" s="62">
        <v>17.05</v>
      </c>
      <c r="Q118" s="62">
        <v>15.8</v>
      </c>
      <c r="R118" s="62">
        <v>14.57</v>
      </c>
      <c r="S118" s="62">
        <v>13.9</v>
      </c>
      <c r="T118" s="62">
        <v>13.2</v>
      </c>
      <c r="U118" s="62">
        <v>11.553306311299998</v>
      </c>
      <c r="V118" s="62">
        <v>9.4865115613</v>
      </c>
      <c r="W118" s="62">
        <v>0.714</v>
      </c>
      <c r="X118" s="62">
        <v>1.175</v>
      </c>
      <c r="Y118" s="62">
        <v>1.208</v>
      </c>
      <c r="Z118" s="62">
        <v>1.333</v>
      </c>
      <c r="AA118" s="62">
        <v>1.45</v>
      </c>
      <c r="AB118" s="62">
        <v>1.557</v>
      </c>
      <c r="AC118" s="62">
        <v>1.608</v>
      </c>
      <c r="AD118" s="62">
        <v>1.651</v>
      </c>
      <c r="AE118" s="62">
        <v>1.722</v>
      </c>
      <c r="AF118" s="62">
        <v>1.73</v>
      </c>
      <c r="AG118" s="62">
        <v>1.321</v>
      </c>
      <c r="AH118" s="62">
        <v>1.312</v>
      </c>
      <c r="AI118" s="62">
        <v>1.308</v>
      </c>
      <c r="AJ118" s="62">
        <v>1.327</v>
      </c>
      <c r="AK118" s="62">
        <v>1.445</v>
      </c>
      <c r="AL118" s="62">
        <v>1.773</v>
      </c>
      <c r="AM118" s="62">
        <v>2.076</v>
      </c>
      <c r="AN118" s="62">
        <v>2.52</v>
      </c>
      <c r="AO118" s="62">
        <v>3.969</v>
      </c>
      <c r="AP118" s="62">
        <v>6.177</v>
      </c>
      <c r="AQ118" s="62">
        <v>0.0</v>
      </c>
      <c r="AR118" s="62">
        <v>60.2</v>
      </c>
      <c r="AS118" s="62">
        <v>63.5</v>
      </c>
      <c r="AT118" s="62">
        <v>71.16</v>
      </c>
      <c r="AU118" s="62">
        <v>74.88</v>
      </c>
      <c r="AV118" s="62">
        <v>76.29</v>
      </c>
      <c r="AW118" s="62">
        <v>76.07</v>
      </c>
      <c r="AX118" s="62">
        <v>75.18</v>
      </c>
      <c r="AY118" s="62">
        <v>71.16</v>
      </c>
      <c r="AZ118" s="62">
        <v>63.61</v>
      </c>
      <c r="BA118" s="63">
        <v>427.0</v>
      </c>
      <c r="BB118" s="64">
        <v>280.0</v>
      </c>
      <c r="BC118" s="64">
        <v>168.0</v>
      </c>
      <c r="BD118" s="64">
        <v>127.0</v>
      </c>
      <c r="BE118" s="64" t="s">
        <v>732</v>
      </c>
      <c r="BF118" s="64" t="s">
        <v>733</v>
      </c>
      <c r="BG118" s="64" t="s">
        <v>734</v>
      </c>
      <c r="BH118" s="64"/>
      <c r="BI118" s="64">
        <v>170.0</v>
      </c>
      <c r="BJ118" s="64">
        <v>224.0</v>
      </c>
      <c r="BK118" s="64">
        <v>320.0</v>
      </c>
      <c r="BL118" s="64">
        <v>240.0</v>
      </c>
      <c r="BM118" s="64">
        <v>334.0</v>
      </c>
      <c r="BN118" s="64">
        <v>105.0</v>
      </c>
      <c r="BO118" s="64">
        <v>53.0</v>
      </c>
      <c r="BP118" s="64" t="s">
        <v>735</v>
      </c>
      <c r="BQ118" s="64" t="s">
        <v>642</v>
      </c>
      <c r="BR118" s="65">
        <v>16.0</v>
      </c>
      <c r="BS118" s="63" t="s">
        <v>736</v>
      </c>
      <c r="BT118" s="63" t="s">
        <v>736</v>
      </c>
      <c r="BU118" s="65">
        <v>2.2</v>
      </c>
      <c r="BV118" s="47">
        <f>IFERROR(__xludf.DUMMYFUNCTION("IFERROR(INDEX(motors!E:E, MATCH(1, (motors!A:A=REGEXEXTRACT(A118,""^\S+""))*(motors!B:B=BU118), 0)), """")"),7.9)</f>
        <v>7.9</v>
      </c>
      <c r="BW118" s="47">
        <f>IFERROR(__xludf.DUMMYFUNCTION("IFERROR(INDEX(motors!F:F, MATCH(1, (motors!A:A=REGEXEXTRACT(A118,""^\S+""))*(motors!B:B=BU118), 0)), """")"),4.6)</f>
        <v>4.6</v>
      </c>
      <c r="BX118" s="64">
        <v>2.0</v>
      </c>
      <c r="BY118" s="65">
        <v>70.0</v>
      </c>
      <c r="BZ118" s="63" t="s">
        <v>739</v>
      </c>
      <c r="CA118" s="53" t="str">
        <f>IFERROR(__xludf.DUMMYFUNCTION("IFERROR(REGEXEXTRACT(BZ118, ""(?i)[A-Z]+-D-E-([^-]+)-E""), """")"),"HQQE")</f>
        <v>HQQE</v>
      </c>
    </row>
    <row r="119" ht="11.25" customHeight="1">
      <c r="A119" s="61" t="s">
        <v>740</v>
      </c>
      <c r="B119" s="61">
        <v>7.4121728E7</v>
      </c>
      <c r="C119" s="62">
        <v>0.0</v>
      </c>
      <c r="D119" s="62">
        <v>15.0</v>
      </c>
      <c r="E119" s="62">
        <v>16.0</v>
      </c>
      <c r="F119" s="62">
        <v>20.0</v>
      </c>
      <c r="G119" s="62">
        <v>24.0</v>
      </c>
      <c r="H119" s="62">
        <v>28.0</v>
      </c>
      <c r="I119" s="62">
        <v>30.0</v>
      </c>
      <c r="J119" s="62">
        <v>32.0</v>
      </c>
      <c r="K119" s="62">
        <v>36.0</v>
      </c>
      <c r="L119" s="62">
        <v>40.0</v>
      </c>
      <c r="M119" s="48">
        <v>35.0620588732</v>
      </c>
      <c r="N119" s="62">
        <v>28.75</v>
      </c>
      <c r="O119" s="62">
        <v>28.3</v>
      </c>
      <c r="P119" s="62">
        <v>26.3</v>
      </c>
      <c r="Q119" s="62">
        <v>24.2</v>
      </c>
      <c r="R119" s="62">
        <v>21.9</v>
      </c>
      <c r="S119" s="62">
        <v>20.65</v>
      </c>
      <c r="T119" s="62">
        <v>19.37</v>
      </c>
      <c r="U119" s="62">
        <v>16.35</v>
      </c>
      <c r="V119" s="62">
        <v>13.0</v>
      </c>
      <c r="W119" s="62">
        <f t="shared" ref="W119:W120" si="1">W117*2</f>
        <v>0.85</v>
      </c>
      <c r="X119" s="62">
        <v>1.908</v>
      </c>
      <c r="Y119" s="62">
        <v>1.972</v>
      </c>
      <c r="Z119" s="62">
        <v>2.202</v>
      </c>
      <c r="AA119" s="62">
        <v>2.4</v>
      </c>
      <c r="AB119" s="62">
        <v>2.552</v>
      </c>
      <c r="AC119" s="62">
        <v>2.618</v>
      </c>
      <c r="AD119" s="62">
        <v>2.662</v>
      </c>
      <c r="AE119" s="62">
        <v>2.704</v>
      </c>
      <c r="AF119" s="62">
        <v>2.648</v>
      </c>
      <c r="AG119" s="62">
        <v>1.321</v>
      </c>
      <c r="AH119" s="62">
        <v>1.312</v>
      </c>
      <c r="AI119" s="62">
        <v>1.308</v>
      </c>
      <c r="AJ119" s="62">
        <v>1.327</v>
      </c>
      <c r="AK119" s="62">
        <v>1.445</v>
      </c>
      <c r="AL119" s="62">
        <v>1.773</v>
      </c>
      <c r="AM119" s="62">
        <v>2.076</v>
      </c>
      <c r="AN119" s="62">
        <v>2.52</v>
      </c>
      <c r="AO119" s="62">
        <v>3.969</v>
      </c>
      <c r="AP119" s="62">
        <v>6.177</v>
      </c>
      <c r="AQ119" s="62">
        <v>0.0</v>
      </c>
      <c r="AR119" s="62">
        <v>60.2</v>
      </c>
      <c r="AS119" s="62">
        <v>63.5</v>
      </c>
      <c r="AT119" s="62">
        <v>71.16</v>
      </c>
      <c r="AU119" s="62">
        <v>74.88</v>
      </c>
      <c r="AV119" s="62">
        <v>76.29</v>
      </c>
      <c r="AW119" s="62">
        <v>76.07</v>
      </c>
      <c r="AX119" s="62">
        <v>75.18</v>
      </c>
      <c r="AY119" s="62">
        <v>71.16</v>
      </c>
      <c r="AZ119" s="62">
        <v>63.61</v>
      </c>
      <c r="BA119" s="63">
        <v>497.0</v>
      </c>
      <c r="BB119" s="64">
        <v>300.0</v>
      </c>
      <c r="BC119" s="64">
        <v>168.0</v>
      </c>
      <c r="BD119" s="64">
        <v>127.0</v>
      </c>
      <c r="BE119" s="64" t="s">
        <v>732</v>
      </c>
      <c r="BF119" s="64" t="s">
        <v>733</v>
      </c>
      <c r="BG119" s="64" t="s">
        <v>734</v>
      </c>
      <c r="BH119" s="64"/>
      <c r="BI119" s="64">
        <v>170.0</v>
      </c>
      <c r="BJ119" s="64">
        <v>224.0</v>
      </c>
      <c r="BK119" s="64">
        <v>320.0</v>
      </c>
      <c r="BL119" s="64">
        <v>240.0</v>
      </c>
      <c r="BM119" s="64">
        <v>334.0</v>
      </c>
      <c r="BN119" s="64">
        <v>105.0</v>
      </c>
      <c r="BO119" s="64">
        <v>53.0</v>
      </c>
      <c r="BP119" s="64" t="s">
        <v>735</v>
      </c>
      <c r="BQ119" s="64" t="s">
        <v>642</v>
      </c>
      <c r="BR119" s="65">
        <v>16.0</v>
      </c>
      <c r="BS119" s="63" t="s">
        <v>736</v>
      </c>
      <c r="BT119" s="63" t="s">
        <v>736</v>
      </c>
      <c r="BU119" s="65">
        <v>3.0</v>
      </c>
      <c r="BV119" s="47">
        <f>IFERROR(__xludf.DUMMYFUNCTION("IFERROR(INDEX(motors!E:E, MATCH(1, (motors!A:A=REGEXEXTRACT(A119,""^\S+""))*(motors!B:B=BU119), 0)), """")"),10.4)</f>
        <v>10.4</v>
      </c>
      <c r="BW119" s="47">
        <f>IFERROR(__xludf.DUMMYFUNCTION("IFERROR(INDEX(motors!F:F, MATCH(1, (motors!A:A=REGEXEXTRACT(A119,""^\S+""))*(motors!B:B=BU119), 0)), """")"),6.0)</f>
        <v>6</v>
      </c>
      <c r="BX119" s="64">
        <v>2.0</v>
      </c>
      <c r="BY119" s="65">
        <v>77.0</v>
      </c>
      <c r="BZ119" s="63" t="s">
        <v>741</v>
      </c>
      <c r="CA119" s="53" t="str">
        <f>IFERROR(__xludf.DUMMYFUNCTION("IFERROR(REGEXEXTRACT(BZ119, ""(?i)[A-Z]+-D-E-([^-]+)-E""), """")"),"HQQE")</f>
        <v>HQQE</v>
      </c>
    </row>
    <row r="120" ht="11.25" customHeight="1">
      <c r="A120" s="61" t="s">
        <v>742</v>
      </c>
      <c r="B120" s="61">
        <v>7.4121729E7</v>
      </c>
      <c r="C120" s="62">
        <v>0.0</v>
      </c>
      <c r="D120" s="62">
        <v>15.0</v>
      </c>
      <c r="E120" s="62">
        <v>16.0</v>
      </c>
      <c r="F120" s="62">
        <v>20.0</v>
      </c>
      <c r="G120" s="62">
        <v>24.0</v>
      </c>
      <c r="H120" s="62">
        <v>28.0</v>
      </c>
      <c r="I120" s="62">
        <v>30.0</v>
      </c>
      <c r="J120" s="62">
        <v>32.0</v>
      </c>
      <c r="K120" s="62">
        <v>36.0</v>
      </c>
      <c r="L120" s="62">
        <v>40.0</v>
      </c>
      <c r="M120" s="48">
        <v>41.1208937755</v>
      </c>
      <c r="N120" s="62">
        <v>34.569675649000004</v>
      </c>
      <c r="O120" s="62">
        <v>34.0902042315</v>
      </c>
      <c r="P120" s="62">
        <v>32.0527622135</v>
      </c>
      <c r="Q120" s="62">
        <v>29.7764006563</v>
      </c>
      <c r="R120" s="62">
        <v>27.1976137167</v>
      </c>
      <c r="S120" s="62">
        <v>25.774965152500002</v>
      </c>
      <c r="T120" s="62">
        <v>24.2528955515</v>
      </c>
      <c r="U120" s="62">
        <v>20.878740317500004</v>
      </c>
      <c r="V120" s="62">
        <v>16.9</v>
      </c>
      <c r="W120" s="62">
        <f t="shared" si="1"/>
        <v>1.428</v>
      </c>
      <c r="X120" s="62">
        <v>2.35</v>
      </c>
      <c r="Y120" s="62">
        <v>2.416</v>
      </c>
      <c r="Z120" s="62">
        <v>2.666</v>
      </c>
      <c r="AA120" s="62">
        <v>2.9</v>
      </c>
      <c r="AB120" s="62">
        <v>3.114</v>
      </c>
      <c r="AC120" s="62">
        <v>3.216</v>
      </c>
      <c r="AD120" s="62">
        <v>3.302</v>
      </c>
      <c r="AE120" s="62">
        <v>3.444</v>
      </c>
      <c r="AF120" s="62">
        <v>3.46</v>
      </c>
      <c r="AG120" s="62">
        <v>1.321</v>
      </c>
      <c r="AH120" s="62">
        <v>1.312</v>
      </c>
      <c r="AI120" s="62">
        <v>1.308</v>
      </c>
      <c r="AJ120" s="62">
        <v>1.327</v>
      </c>
      <c r="AK120" s="62">
        <v>1.445</v>
      </c>
      <c r="AL120" s="62">
        <v>1.773</v>
      </c>
      <c r="AM120" s="62">
        <v>2.076</v>
      </c>
      <c r="AN120" s="62">
        <v>2.52</v>
      </c>
      <c r="AO120" s="62">
        <v>3.969</v>
      </c>
      <c r="AP120" s="62">
        <v>6.177</v>
      </c>
      <c r="AQ120" s="62">
        <v>0.0</v>
      </c>
      <c r="AR120" s="62">
        <v>60.2</v>
      </c>
      <c r="AS120" s="62">
        <v>63.5</v>
      </c>
      <c r="AT120" s="62">
        <v>71.16</v>
      </c>
      <c r="AU120" s="62">
        <v>74.88</v>
      </c>
      <c r="AV120" s="62">
        <v>76.29</v>
      </c>
      <c r="AW120" s="62">
        <v>76.07</v>
      </c>
      <c r="AX120" s="62">
        <v>75.18</v>
      </c>
      <c r="AY120" s="62">
        <v>71.16</v>
      </c>
      <c r="AZ120" s="62">
        <v>63.61</v>
      </c>
      <c r="BA120" s="63">
        <v>497.0</v>
      </c>
      <c r="BB120" s="64">
        <v>323.0</v>
      </c>
      <c r="BC120" s="64">
        <v>200.0</v>
      </c>
      <c r="BD120" s="64">
        <v>146.0</v>
      </c>
      <c r="BE120" s="64" t="s">
        <v>732</v>
      </c>
      <c r="BF120" s="64" t="s">
        <v>733</v>
      </c>
      <c r="BG120" s="64" t="s">
        <v>734</v>
      </c>
      <c r="BH120" s="64"/>
      <c r="BI120" s="64">
        <v>170.0</v>
      </c>
      <c r="BJ120" s="64">
        <v>224.0</v>
      </c>
      <c r="BK120" s="64">
        <v>320.0</v>
      </c>
      <c r="BL120" s="64">
        <v>240.0</v>
      </c>
      <c r="BM120" s="64">
        <v>334.0</v>
      </c>
      <c r="BN120" s="64">
        <v>105.0</v>
      </c>
      <c r="BO120" s="64">
        <v>53.0</v>
      </c>
      <c r="BP120" s="64" t="s">
        <v>735</v>
      </c>
      <c r="BQ120" s="64" t="s">
        <v>642</v>
      </c>
      <c r="BR120" s="65">
        <v>16.0</v>
      </c>
      <c r="BS120" s="63" t="s">
        <v>736</v>
      </c>
      <c r="BT120" s="63" t="s">
        <v>736</v>
      </c>
      <c r="BU120" s="65">
        <v>4.0</v>
      </c>
      <c r="BV120" s="47">
        <f>IFERROR(__xludf.DUMMYFUNCTION("IFERROR(INDEX(motors!E:E, MATCH(1, (motors!A:A=REGEXEXTRACT(A120,""^\S+""))*(motors!B:B=BU120), 0)), """")"),7.8)</f>
        <v>7.8</v>
      </c>
      <c r="BW120" s="47">
        <f>IFERROR(__xludf.DUMMYFUNCTION("IFERROR(INDEX(motors!F:F, MATCH(1, (motors!A:A=REGEXEXTRACT(A120,""^\S+""))*(motors!B:B=BU120), 0)), """")"),4.5)</f>
        <v>4.5</v>
      </c>
      <c r="BX120" s="64">
        <v>2.0</v>
      </c>
      <c r="BY120" s="65">
        <v>83.0</v>
      </c>
      <c r="BZ120" s="63" t="s">
        <v>743</v>
      </c>
      <c r="CA120" s="53" t="str">
        <f>IFERROR(__xludf.DUMMYFUNCTION("IFERROR(REGEXEXTRACT(BZ120, ""(?i)[A-Z]+-D-E-([^-]+)-E""), """")"),"HQQE")</f>
        <v>HQQE</v>
      </c>
    </row>
    <row r="121" ht="11.25" customHeight="1">
      <c r="A121" s="55" t="s">
        <v>744</v>
      </c>
      <c r="B121" s="55">
        <v>7.412173E7</v>
      </c>
      <c r="C121" s="56">
        <v>0.0</v>
      </c>
      <c r="D121" s="56">
        <v>15.0</v>
      </c>
      <c r="E121" s="56">
        <v>16.0</v>
      </c>
      <c r="F121" s="56">
        <v>20.0</v>
      </c>
      <c r="G121" s="56">
        <v>24.0</v>
      </c>
      <c r="H121" s="56">
        <v>28.0</v>
      </c>
      <c r="I121" s="56">
        <v>30.0</v>
      </c>
      <c r="J121" s="56">
        <v>32.0</v>
      </c>
      <c r="K121" s="56">
        <v>36.0</v>
      </c>
      <c r="L121" s="56">
        <v>40.0</v>
      </c>
      <c r="M121" s="48">
        <v>53.2674745864</v>
      </c>
      <c r="N121" s="56">
        <v>45.6998965759</v>
      </c>
      <c r="O121" s="56">
        <v>45.0990384632</v>
      </c>
      <c r="P121" s="56">
        <v>42.4761959124</v>
      </c>
      <c r="Q121" s="56">
        <v>39.4310395504</v>
      </c>
      <c r="R121" s="56">
        <v>35.8685591756</v>
      </c>
      <c r="S121" s="56">
        <v>33.863631795399996</v>
      </c>
      <c r="T121" s="56">
        <v>31.6937445864</v>
      </c>
      <c r="U121" s="56">
        <v>26.8115855812</v>
      </c>
      <c r="V121" s="56">
        <v>20.9270719584</v>
      </c>
      <c r="W121" s="49">
        <f>W117*2+W118</f>
        <v>1.564</v>
      </c>
      <c r="X121" s="56">
        <v>3.083</v>
      </c>
      <c r="Y121" s="56">
        <v>3.1799999999999997</v>
      </c>
      <c r="Z121" s="56">
        <v>3.535</v>
      </c>
      <c r="AA121" s="56">
        <v>3.8499999999999996</v>
      </c>
      <c r="AB121" s="56">
        <v>4.109</v>
      </c>
      <c r="AC121" s="56">
        <v>4.226</v>
      </c>
      <c r="AD121" s="56">
        <v>4.313</v>
      </c>
      <c r="AE121" s="56">
        <v>4.426</v>
      </c>
      <c r="AF121" s="56">
        <v>4.378</v>
      </c>
      <c r="AG121" s="49">
        <v>1.321</v>
      </c>
      <c r="AH121" s="56">
        <v>1.312</v>
      </c>
      <c r="AI121" s="56">
        <v>1.308</v>
      </c>
      <c r="AJ121" s="56">
        <v>1.327</v>
      </c>
      <c r="AK121" s="56">
        <v>1.445</v>
      </c>
      <c r="AL121" s="56">
        <v>1.773</v>
      </c>
      <c r="AM121" s="56">
        <v>2.076</v>
      </c>
      <c r="AN121" s="56">
        <v>2.52</v>
      </c>
      <c r="AO121" s="56">
        <v>3.969</v>
      </c>
      <c r="AP121" s="56">
        <v>6.177</v>
      </c>
      <c r="AQ121" s="49">
        <v>0.0</v>
      </c>
      <c r="AR121" s="56">
        <v>60.2</v>
      </c>
      <c r="AS121" s="56">
        <v>63.5</v>
      </c>
      <c r="AT121" s="56">
        <v>71.16</v>
      </c>
      <c r="AU121" s="56">
        <v>74.88</v>
      </c>
      <c r="AV121" s="56">
        <v>76.29</v>
      </c>
      <c r="AW121" s="56">
        <v>76.07</v>
      </c>
      <c r="AX121" s="56">
        <v>75.18</v>
      </c>
      <c r="AY121" s="56">
        <v>71.16</v>
      </c>
      <c r="AZ121" s="56">
        <v>63.61</v>
      </c>
      <c r="BA121" s="50">
        <v>567.0</v>
      </c>
      <c r="BB121" s="57">
        <v>323.0</v>
      </c>
      <c r="BC121" s="57">
        <v>200.0</v>
      </c>
      <c r="BD121" s="57">
        <v>146.0</v>
      </c>
      <c r="BE121" s="57" t="s">
        <v>732</v>
      </c>
      <c r="BF121" s="57" t="s">
        <v>733</v>
      </c>
      <c r="BG121" s="57" t="s">
        <v>734</v>
      </c>
      <c r="BH121" s="57"/>
      <c r="BI121" s="57">
        <v>170.0</v>
      </c>
      <c r="BJ121" s="57">
        <v>224.0</v>
      </c>
      <c r="BK121" s="57">
        <v>320.0</v>
      </c>
      <c r="BL121" s="57">
        <v>240.0</v>
      </c>
      <c r="BM121" s="57">
        <v>334.0</v>
      </c>
      <c r="BN121" s="57">
        <v>105.0</v>
      </c>
      <c r="BO121" s="57">
        <v>53.0</v>
      </c>
      <c r="BP121" s="57" t="s">
        <v>735</v>
      </c>
      <c r="BQ121" s="57" t="s">
        <v>642</v>
      </c>
      <c r="BR121" s="58">
        <v>16.0</v>
      </c>
      <c r="BS121" s="59" t="s">
        <v>736</v>
      </c>
      <c r="BT121" s="59" t="s">
        <v>736</v>
      </c>
      <c r="BU121" s="58">
        <v>5.5</v>
      </c>
      <c r="BV121" s="47">
        <f>IFERROR(__xludf.DUMMYFUNCTION("IFERROR(INDEX(motors!E:E, MATCH(1, (motors!A:A=REGEXEXTRACT(A121,""^\S+""))*(motors!B:B=BU121), 0)), """")"),10.6)</f>
        <v>10.6</v>
      </c>
      <c r="BW121" s="47">
        <f>IFERROR(__xludf.DUMMYFUNCTION("IFERROR(INDEX(motors!F:F, MATCH(1, (motors!A:A=REGEXEXTRACT(A121,""^\S+""))*(motors!B:B=BU121), 0)), """")"),6.1)</f>
        <v>6.1</v>
      </c>
      <c r="BX121" s="57">
        <v>2.0</v>
      </c>
      <c r="BY121" s="58">
        <v>92.0</v>
      </c>
      <c r="BZ121" s="59" t="s">
        <v>745</v>
      </c>
      <c r="CA121" s="53" t="str">
        <f>IFERROR(__xludf.DUMMYFUNCTION("IFERROR(REGEXEXTRACT(BZ121, ""(?i)[A-Z]+-D-E-([^-]+)-E""), """")"),"HQQE")</f>
        <v>HQQE</v>
      </c>
    </row>
    <row r="122" ht="11.25" customHeight="1">
      <c r="A122" s="61" t="s">
        <v>746</v>
      </c>
      <c r="B122" s="61">
        <v>7.4121731E7</v>
      </c>
      <c r="C122" s="62">
        <v>0.0</v>
      </c>
      <c r="D122" s="62">
        <v>15.0</v>
      </c>
      <c r="E122" s="62">
        <v>16.0</v>
      </c>
      <c r="F122" s="62">
        <v>20.0</v>
      </c>
      <c r="G122" s="62">
        <v>24.0</v>
      </c>
      <c r="H122" s="62">
        <v>28.0</v>
      </c>
      <c r="I122" s="62">
        <v>30.0</v>
      </c>
      <c r="J122" s="62">
        <v>32.0</v>
      </c>
      <c r="K122" s="62">
        <v>36.0</v>
      </c>
      <c r="L122" s="62">
        <v>40.0</v>
      </c>
      <c r="M122" s="48">
        <v>59.1155887757</v>
      </c>
      <c r="N122" s="62">
        <v>52.522018431199996</v>
      </c>
      <c r="O122" s="62">
        <v>51.89789113569999</v>
      </c>
      <c r="P122" s="62">
        <v>49.085545149699996</v>
      </c>
      <c r="Q122" s="62">
        <v>45.7065581237</v>
      </c>
      <c r="R122" s="62">
        <v>41.6791938529</v>
      </c>
      <c r="S122" s="62">
        <v>39.39682768669999</v>
      </c>
      <c r="T122" s="62">
        <v>36.921716132499995</v>
      </c>
      <c r="U122" s="62">
        <v>31.352388757699998</v>
      </c>
      <c r="V122" s="62">
        <v>25.0</v>
      </c>
      <c r="W122" s="62">
        <f>W118*3</f>
        <v>2.142</v>
      </c>
      <c r="X122" s="62">
        <v>3.5250000000000004</v>
      </c>
      <c r="Y122" s="62">
        <v>3.6239999999999997</v>
      </c>
      <c r="Z122" s="62">
        <v>3.9989999999999997</v>
      </c>
      <c r="AA122" s="62">
        <v>4.35</v>
      </c>
      <c r="AB122" s="62">
        <v>4.670999999999999</v>
      </c>
      <c r="AC122" s="62">
        <v>4.824</v>
      </c>
      <c r="AD122" s="62">
        <v>4.953</v>
      </c>
      <c r="AE122" s="62">
        <v>5.166</v>
      </c>
      <c r="AF122" s="62">
        <v>5.1899999999999995</v>
      </c>
      <c r="AG122" s="62">
        <v>1.321</v>
      </c>
      <c r="AH122" s="62">
        <v>1.312</v>
      </c>
      <c r="AI122" s="62">
        <v>1.308</v>
      </c>
      <c r="AJ122" s="62">
        <v>1.327</v>
      </c>
      <c r="AK122" s="62">
        <v>1.445</v>
      </c>
      <c r="AL122" s="62">
        <v>1.773</v>
      </c>
      <c r="AM122" s="62">
        <v>2.076</v>
      </c>
      <c r="AN122" s="62">
        <v>2.52</v>
      </c>
      <c r="AO122" s="62">
        <v>3.969</v>
      </c>
      <c r="AP122" s="62">
        <v>6.177</v>
      </c>
      <c r="AQ122" s="62">
        <v>0.0</v>
      </c>
      <c r="AR122" s="62">
        <v>60.2</v>
      </c>
      <c r="AS122" s="62">
        <v>63.5</v>
      </c>
      <c r="AT122" s="62">
        <v>71.16</v>
      </c>
      <c r="AU122" s="62">
        <v>74.88</v>
      </c>
      <c r="AV122" s="62">
        <v>76.29</v>
      </c>
      <c r="AW122" s="62">
        <v>76.07</v>
      </c>
      <c r="AX122" s="62">
        <v>75.18</v>
      </c>
      <c r="AY122" s="62">
        <v>71.16</v>
      </c>
      <c r="AZ122" s="62">
        <v>63.61</v>
      </c>
      <c r="BA122" s="63">
        <v>639.0</v>
      </c>
      <c r="BB122" s="64">
        <v>379.0</v>
      </c>
      <c r="BC122" s="64">
        <v>212.0</v>
      </c>
      <c r="BD122" s="64">
        <v>160.0</v>
      </c>
      <c r="BE122" s="64" t="s">
        <v>732</v>
      </c>
      <c r="BF122" s="64" t="s">
        <v>733</v>
      </c>
      <c r="BG122" s="64" t="s">
        <v>734</v>
      </c>
      <c r="BH122" s="64"/>
      <c r="BI122" s="64">
        <v>170.0</v>
      </c>
      <c r="BJ122" s="64">
        <v>224.0</v>
      </c>
      <c r="BK122" s="64">
        <v>320.0</v>
      </c>
      <c r="BL122" s="64">
        <v>240.0</v>
      </c>
      <c r="BM122" s="64">
        <v>334.0</v>
      </c>
      <c r="BN122" s="64">
        <v>105.0</v>
      </c>
      <c r="BO122" s="64">
        <v>53.0</v>
      </c>
      <c r="BP122" s="64" t="s">
        <v>735</v>
      </c>
      <c r="BQ122" s="64" t="s">
        <v>642</v>
      </c>
      <c r="BR122" s="65">
        <v>16.0</v>
      </c>
      <c r="BS122" s="63" t="s">
        <v>736</v>
      </c>
      <c r="BT122" s="63" t="s">
        <v>736</v>
      </c>
      <c r="BU122" s="65">
        <v>5.5</v>
      </c>
      <c r="BV122" s="47">
        <f>IFERROR(__xludf.DUMMYFUNCTION("IFERROR(INDEX(motors!E:E, MATCH(1, (motors!A:A=REGEXEXTRACT(A122,""^\S+""))*(motors!B:B=BU122), 0)), """")"),10.6)</f>
        <v>10.6</v>
      </c>
      <c r="BW122" s="47">
        <f>IFERROR(__xludf.DUMMYFUNCTION("IFERROR(INDEX(motors!F:F, MATCH(1, (motors!A:A=REGEXEXTRACT(A122,""^\S+""))*(motors!B:B=BU122), 0)), """")"),6.1)</f>
        <v>6.1</v>
      </c>
      <c r="BX122" s="64">
        <v>2.0</v>
      </c>
      <c r="BY122" s="65">
        <v>92.0</v>
      </c>
      <c r="BZ122" s="63" t="s">
        <v>747</v>
      </c>
      <c r="CA122" s="53" t="str">
        <f>IFERROR(__xludf.DUMMYFUNCTION("IFERROR(REGEXEXTRACT(BZ122, ""(?i)[A-Z]+-D-E-([^-]+)-E""), """")"),"HQQE")</f>
        <v>HQQE</v>
      </c>
    </row>
    <row r="123" ht="11.25" customHeight="1">
      <c r="A123" s="55" t="s">
        <v>748</v>
      </c>
      <c r="B123" s="55">
        <v>7.4121732E7</v>
      </c>
      <c r="C123" s="56">
        <v>0.0</v>
      </c>
      <c r="D123" s="56">
        <v>15.0</v>
      </c>
      <c r="E123" s="56">
        <v>16.0</v>
      </c>
      <c r="F123" s="56">
        <v>20.0</v>
      </c>
      <c r="G123" s="56">
        <v>24.0</v>
      </c>
      <c r="H123" s="56">
        <v>28.0</v>
      </c>
      <c r="I123" s="56">
        <v>30.0</v>
      </c>
      <c r="J123" s="56">
        <v>32.0</v>
      </c>
      <c r="K123" s="56">
        <v>36.0</v>
      </c>
      <c r="L123" s="56">
        <v>40.0</v>
      </c>
      <c r="M123" s="48">
        <v>71.1786480801</v>
      </c>
      <c r="N123" s="56">
        <v>63.71406706410001</v>
      </c>
      <c r="O123" s="56">
        <v>62.84254075850001</v>
      </c>
      <c r="P123" s="56">
        <v>59.062129312100005</v>
      </c>
      <c r="Q123" s="56">
        <v>54.802826432100005</v>
      </c>
      <c r="R123" s="56">
        <v>49.958196956900004</v>
      </c>
      <c r="S123" s="56">
        <v>47.2508946381</v>
      </c>
      <c r="T123" s="56">
        <v>44.303939228900006</v>
      </c>
      <c r="U123" s="56">
        <v>37.49788509450001</v>
      </c>
      <c r="V123" s="56">
        <v>29.079999904099992</v>
      </c>
      <c r="W123" s="49">
        <f>W117*2+W118*2</f>
        <v>2.278</v>
      </c>
      <c r="X123" s="56">
        <v>4.258</v>
      </c>
      <c r="Y123" s="56">
        <v>4.388</v>
      </c>
      <c r="Z123" s="56">
        <v>4.868</v>
      </c>
      <c r="AA123" s="56">
        <v>5.3</v>
      </c>
      <c r="AB123" s="56">
        <v>5.666</v>
      </c>
      <c r="AC123" s="56">
        <v>5.834</v>
      </c>
      <c r="AD123" s="56">
        <v>5.964</v>
      </c>
      <c r="AE123" s="56">
        <v>6.148</v>
      </c>
      <c r="AF123" s="56">
        <v>6.1080000000000005</v>
      </c>
      <c r="AG123" s="49">
        <v>1.321</v>
      </c>
      <c r="AH123" s="56">
        <v>1.312</v>
      </c>
      <c r="AI123" s="56">
        <v>1.308</v>
      </c>
      <c r="AJ123" s="56">
        <v>1.327</v>
      </c>
      <c r="AK123" s="56">
        <v>1.445</v>
      </c>
      <c r="AL123" s="56">
        <v>1.773</v>
      </c>
      <c r="AM123" s="56">
        <v>2.076</v>
      </c>
      <c r="AN123" s="56">
        <v>2.52</v>
      </c>
      <c r="AO123" s="56">
        <v>3.969</v>
      </c>
      <c r="AP123" s="56">
        <v>6.177</v>
      </c>
      <c r="AQ123" s="49">
        <v>0.0</v>
      </c>
      <c r="AR123" s="56">
        <v>60.2</v>
      </c>
      <c r="AS123" s="56">
        <v>63.5</v>
      </c>
      <c r="AT123" s="56">
        <v>71.16</v>
      </c>
      <c r="AU123" s="56">
        <v>74.88</v>
      </c>
      <c r="AV123" s="56">
        <v>76.29</v>
      </c>
      <c r="AW123" s="56">
        <v>76.07</v>
      </c>
      <c r="AX123" s="56">
        <v>75.18</v>
      </c>
      <c r="AY123" s="56">
        <v>71.16</v>
      </c>
      <c r="AZ123" s="56">
        <v>63.61</v>
      </c>
      <c r="BA123" s="50">
        <v>709.0</v>
      </c>
      <c r="BB123" s="57">
        <v>417.0</v>
      </c>
      <c r="BC123" s="57">
        <v>212.0</v>
      </c>
      <c r="BD123" s="57">
        <v>160.0</v>
      </c>
      <c r="BE123" s="57" t="s">
        <v>732</v>
      </c>
      <c r="BF123" s="57" t="s">
        <v>733</v>
      </c>
      <c r="BG123" s="57" t="s">
        <v>734</v>
      </c>
      <c r="BH123" s="57"/>
      <c r="BI123" s="57">
        <v>170.0</v>
      </c>
      <c r="BJ123" s="57">
        <v>224.0</v>
      </c>
      <c r="BK123" s="57">
        <v>320.0</v>
      </c>
      <c r="BL123" s="57">
        <v>240.0</v>
      </c>
      <c r="BM123" s="57">
        <v>334.0</v>
      </c>
      <c r="BN123" s="57">
        <v>105.0</v>
      </c>
      <c r="BO123" s="57">
        <v>53.0</v>
      </c>
      <c r="BP123" s="57" t="s">
        <v>735</v>
      </c>
      <c r="BQ123" s="57" t="s">
        <v>642</v>
      </c>
      <c r="BR123" s="58">
        <v>16.0</v>
      </c>
      <c r="BS123" s="59" t="s">
        <v>736</v>
      </c>
      <c r="BT123" s="59" t="s">
        <v>736</v>
      </c>
      <c r="BU123" s="58">
        <v>7.5</v>
      </c>
      <c r="BV123" s="47">
        <f>IFERROR(__xludf.DUMMYFUNCTION("IFERROR(INDEX(motors!E:E, MATCH(1, (motors!A:A=REGEXEXTRACT(A123,""^\S+""))*(motors!B:B=BU123), 0)), """")"),14.4)</f>
        <v>14.4</v>
      </c>
      <c r="BW123" s="47">
        <f>IFERROR(__xludf.DUMMYFUNCTION("IFERROR(INDEX(motors!F:F, MATCH(1, (motors!A:A=REGEXEXTRACT(A123,""^\S+""))*(motors!B:B=BU123), 0)), """")"),8.3)</f>
        <v>8.3</v>
      </c>
      <c r="BX123" s="57">
        <v>2.0</v>
      </c>
      <c r="BY123" s="58">
        <v>101.0</v>
      </c>
      <c r="BZ123" s="59" t="s">
        <v>749</v>
      </c>
      <c r="CA123" s="53" t="str">
        <f>IFERROR(__xludf.DUMMYFUNCTION("IFERROR(REGEXEXTRACT(BZ123, ""(?i)[A-Z]+-D-E-([^-]+)-E""), """")"),"HQQE")</f>
        <v>HQQE</v>
      </c>
    </row>
    <row r="124" ht="11.25" customHeight="1">
      <c r="A124" s="61" t="s">
        <v>750</v>
      </c>
      <c r="B124" s="61">
        <v>7.4121733E7</v>
      </c>
      <c r="C124" s="62">
        <v>0.0</v>
      </c>
      <c r="D124" s="62">
        <v>15.0</v>
      </c>
      <c r="E124" s="62">
        <v>16.0</v>
      </c>
      <c r="F124" s="62">
        <v>20.0</v>
      </c>
      <c r="G124" s="62">
        <v>24.0</v>
      </c>
      <c r="H124" s="62">
        <v>28.0</v>
      </c>
      <c r="I124" s="62">
        <v>30.0</v>
      </c>
      <c r="J124" s="62">
        <v>32.0</v>
      </c>
      <c r="K124" s="62">
        <v>36.0</v>
      </c>
      <c r="L124" s="62">
        <v>40.0</v>
      </c>
      <c r="M124" s="48">
        <v>77.1389138788</v>
      </c>
      <c r="N124" s="62">
        <v>70.0781994028</v>
      </c>
      <c r="O124" s="62">
        <v>69.3138464916</v>
      </c>
      <c r="P124" s="62">
        <v>65.7877145408</v>
      </c>
      <c r="Q124" s="62">
        <v>61.4384262316</v>
      </c>
      <c r="R124" s="62">
        <v>56.1683764056</v>
      </c>
      <c r="S124" s="62">
        <v>53.1575643118</v>
      </c>
      <c r="T124" s="62">
        <v>49.879959904399996</v>
      </c>
      <c r="U124" s="62">
        <v>42.4755715696</v>
      </c>
      <c r="V124" s="62">
        <v>34.0</v>
      </c>
      <c r="W124" s="62">
        <f>W118*4</f>
        <v>2.856</v>
      </c>
      <c r="X124" s="62">
        <v>4.7</v>
      </c>
      <c r="Y124" s="62">
        <v>4.832</v>
      </c>
      <c r="Z124" s="62">
        <v>5.332</v>
      </c>
      <c r="AA124" s="62">
        <v>5.8</v>
      </c>
      <c r="AB124" s="62">
        <v>6.228</v>
      </c>
      <c r="AC124" s="62">
        <v>6.432</v>
      </c>
      <c r="AD124" s="62">
        <v>6.604</v>
      </c>
      <c r="AE124" s="62">
        <v>6.888</v>
      </c>
      <c r="AF124" s="62">
        <v>6.92</v>
      </c>
      <c r="AG124" s="62">
        <v>1.321</v>
      </c>
      <c r="AH124" s="62">
        <v>1.312</v>
      </c>
      <c r="AI124" s="62">
        <v>1.308</v>
      </c>
      <c r="AJ124" s="62">
        <v>1.327</v>
      </c>
      <c r="AK124" s="62">
        <v>1.445</v>
      </c>
      <c r="AL124" s="62">
        <v>1.773</v>
      </c>
      <c r="AM124" s="62">
        <v>2.076</v>
      </c>
      <c r="AN124" s="62">
        <v>2.52</v>
      </c>
      <c r="AO124" s="62">
        <v>3.969</v>
      </c>
      <c r="AP124" s="62">
        <v>6.177</v>
      </c>
      <c r="AQ124" s="62">
        <v>0.0</v>
      </c>
      <c r="AR124" s="62">
        <v>60.2</v>
      </c>
      <c r="AS124" s="62">
        <v>63.5</v>
      </c>
      <c r="AT124" s="62">
        <v>71.16</v>
      </c>
      <c r="AU124" s="62">
        <v>74.88</v>
      </c>
      <c r="AV124" s="62">
        <v>76.29</v>
      </c>
      <c r="AW124" s="62">
        <v>76.07</v>
      </c>
      <c r="AX124" s="62">
        <v>75.18</v>
      </c>
      <c r="AY124" s="62">
        <v>71.16</v>
      </c>
      <c r="AZ124" s="62">
        <v>63.61</v>
      </c>
      <c r="BA124" s="63">
        <v>709.0</v>
      </c>
      <c r="BB124" s="64">
        <v>417.0</v>
      </c>
      <c r="BC124" s="64">
        <v>212.0</v>
      </c>
      <c r="BD124" s="64">
        <v>160.0</v>
      </c>
      <c r="BE124" s="64" t="s">
        <v>732</v>
      </c>
      <c r="BF124" s="64" t="s">
        <v>733</v>
      </c>
      <c r="BG124" s="64" t="s">
        <v>734</v>
      </c>
      <c r="BH124" s="64"/>
      <c r="BI124" s="64">
        <v>170.0</v>
      </c>
      <c r="BJ124" s="64">
        <v>224.0</v>
      </c>
      <c r="BK124" s="64">
        <v>320.0</v>
      </c>
      <c r="BL124" s="64">
        <v>240.0</v>
      </c>
      <c r="BM124" s="64">
        <v>334.0</v>
      </c>
      <c r="BN124" s="64">
        <v>105.0</v>
      </c>
      <c r="BO124" s="64">
        <v>53.0</v>
      </c>
      <c r="BP124" s="64" t="s">
        <v>735</v>
      </c>
      <c r="BQ124" s="64" t="s">
        <v>642</v>
      </c>
      <c r="BR124" s="65">
        <v>16.0</v>
      </c>
      <c r="BS124" s="63" t="s">
        <v>736</v>
      </c>
      <c r="BT124" s="63" t="s">
        <v>736</v>
      </c>
      <c r="BU124" s="65">
        <v>7.5</v>
      </c>
      <c r="BV124" s="47">
        <f>IFERROR(__xludf.DUMMYFUNCTION("IFERROR(INDEX(motors!E:E, MATCH(1, (motors!A:A=REGEXEXTRACT(A124,""^\S+""))*(motors!B:B=BU124), 0)), """")"),14.4)</f>
        <v>14.4</v>
      </c>
      <c r="BW124" s="47">
        <f>IFERROR(__xludf.DUMMYFUNCTION("IFERROR(INDEX(motors!F:F, MATCH(1, (motors!A:A=REGEXEXTRACT(A124,""^\S+""))*(motors!B:B=BU124), 0)), """")"),8.3)</f>
        <v>8.3</v>
      </c>
      <c r="BX124" s="64">
        <v>2.0</v>
      </c>
      <c r="BY124" s="65">
        <v>101.0</v>
      </c>
      <c r="BZ124" s="63" t="s">
        <v>751</v>
      </c>
      <c r="CA124" s="53" t="str">
        <f>IFERROR(__xludf.DUMMYFUNCTION("IFERROR(REGEXEXTRACT(BZ124, ""(?i)[A-Z]+-D-E-([^-]+)-E""), """")"),"HQQE")</f>
        <v>HQQE</v>
      </c>
    </row>
    <row r="125" ht="11.25" customHeight="1">
      <c r="A125" s="55" t="s">
        <v>752</v>
      </c>
      <c r="B125" s="55">
        <v>7.4121734E7</v>
      </c>
      <c r="C125" s="56">
        <v>0.0</v>
      </c>
      <c r="D125" s="56">
        <v>15.0</v>
      </c>
      <c r="E125" s="56">
        <v>16.0</v>
      </c>
      <c r="F125" s="56">
        <v>20.0</v>
      </c>
      <c r="G125" s="56">
        <v>24.0</v>
      </c>
      <c r="H125" s="56">
        <v>28.0</v>
      </c>
      <c r="I125" s="56">
        <v>30.0</v>
      </c>
      <c r="J125" s="56">
        <v>32.0</v>
      </c>
      <c r="K125" s="56">
        <v>36.0</v>
      </c>
      <c r="L125" s="56">
        <v>40.0</v>
      </c>
      <c r="M125" s="48">
        <v>89.2342431654</v>
      </c>
      <c r="N125" s="56">
        <v>81.2577823869</v>
      </c>
      <c r="O125" s="56">
        <v>80.2873464278</v>
      </c>
      <c r="P125" s="56">
        <v>75.90739842740001</v>
      </c>
      <c r="Q125" s="56">
        <v>70.6721500974</v>
      </c>
      <c r="R125" s="56">
        <v>64.4359516586</v>
      </c>
      <c r="S125" s="56">
        <v>60.8740674084</v>
      </c>
      <c r="T125" s="56">
        <v>56.969356544600004</v>
      </c>
      <c r="U125" s="56">
        <v>47.95912140179999</v>
      </c>
      <c r="V125" s="56">
        <v>37.008206089400005</v>
      </c>
      <c r="W125" s="49">
        <f>W117*2+W118*3</f>
        <v>2.992</v>
      </c>
      <c r="X125" s="56">
        <v>5.433</v>
      </c>
      <c r="Y125" s="56">
        <v>5.596</v>
      </c>
      <c r="Z125" s="56">
        <v>6.201</v>
      </c>
      <c r="AA125" s="56">
        <v>6.75</v>
      </c>
      <c r="AB125" s="56">
        <v>7.222999999999999</v>
      </c>
      <c r="AC125" s="56">
        <v>7.442</v>
      </c>
      <c r="AD125" s="56">
        <v>7.615</v>
      </c>
      <c r="AE125" s="56">
        <v>7.870000000000001</v>
      </c>
      <c r="AF125" s="56">
        <v>7.837999999999999</v>
      </c>
      <c r="AG125" s="49">
        <v>1.321</v>
      </c>
      <c r="AH125" s="56">
        <v>1.312</v>
      </c>
      <c r="AI125" s="56">
        <v>1.308</v>
      </c>
      <c r="AJ125" s="56">
        <v>1.327</v>
      </c>
      <c r="AK125" s="56">
        <v>1.445</v>
      </c>
      <c r="AL125" s="56">
        <v>1.773</v>
      </c>
      <c r="AM125" s="56">
        <v>2.076</v>
      </c>
      <c r="AN125" s="56">
        <v>2.52</v>
      </c>
      <c r="AO125" s="56">
        <v>3.969</v>
      </c>
      <c r="AP125" s="56">
        <v>6.177</v>
      </c>
      <c r="AQ125" s="49">
        <v>0.0</v>
      </c>
      <c r="AR125" s="56">
        <v>60.2</v>
      </c>
      <c r="AS125" s="56">
        <v>63.5</v>
      </c>
      <c r="AT125" s="56">
        <v>71.16</v>
      </c>
      <c r="AU125" s="56">
        <v>74.88</v>
      </c>
      <c r="AV125" s="56">
        <v>76.29</v>
      </c>
      <c r="AW125" s="56">
        <v>76.07</v>
      </c>
      <c r="AX125" s="56">
        <v>75.18</v>
      </c>
      <c r="AY125" s="56">
        <v>71.16</v>
      </c>
      <c r="AZ125" s="56">
        <v>63.61</v>
      </c>
      <c r="BA125" s="50">
        <v>872.0</v>
      </c>
      <c r="BB125" s="57">
        <v>448.0</v>
      </c>
      <c r="BC125" s="57">
        <v>255.0</v>
      </c>
      <c r="BD125" s="57">
        <v>178.0</v>
      </c>
      <c r="BE125" s="57" t="s">
        <v>732</v>
      </c>
      <c r="BF125" s="57" t="s">
        <v>733</v>
      </c>
      <c r="BG125" s="57" t="s">
        <v>734</v>
      </c>
      <c r="BH125" s="57"/>
      <c r="BI125" s="57">
        <v>170.0</v>
      </c>
      <c r="BJ125" s="57">
        <v>224.0</v>
      </c>
      <c r="BK125" s="57">
        <v>320.0</v>
      </c>
      <c r="BL125" s="57">
        <v>240.0</v>
      </c>
      <c r="BM125" s="57">
        <v>334.0</v>
      </c>
      <c r="BN125" s="57">
        <v>105.0</v>
      </c>
      <c r="BO125" s="57">
        <v>53.0</v>
      </c>
      <c r="BP125" s="57" t="s">
        <v>735</v>
      </c>
      <c r="BQ125" s="57" t="s">
        <v>642</v>
      </c>
      <c r="BR125" s="58">
        <v>16.0</v>
      </c>
      <c r="BS125" s="59" t="s">
        <v>736</v>
      </c>
      <c r="BT125" s="59" t="s">
        <v>736</v>
      </c>
      <c r="BU125" s="58">
        <v>11.0</v>
      </c>
      <c r="BV125" s="47">
        <f>IFERROR(__xludf.DUMMYFUNCTION("IFERROR(INDEX(motors!E:E, MATCH(1, (motors!A:A=REGEXEXTRACT(A125,""^\S+""))*(motors!B:B=BU125), 0)), """")"),20.6)</f>
        <v>20.6</v>
      </c>
      <c r="BW125" s="47">
        <f>IFERROR(__xludf.DUMMYFUNCTION("IFERROR(INDEX(motors!F:F, MATCH(1, (motors!A:A=REGEXEXTRACT(A125,""^\S+""))*(motors!B:B=BU125), 0)), """")"),11.9)</f>
        <v>11.9</v>
      </c>
      <c r="BX125" s="57">
        <v>2.0</v>
      </c>
      <c r="BY125" s="58">
        <v>175.0</v>
      </c>
      <c r="BZ125" s="59" t="s">
        <v>753</v>
      </c>
      <c r="CA125" s="53" t="str">
        <f>IFERROR(__xludf.DUMMYFUNCTION("IFERROR(REGEXEXTRACT(BZ125, ""(?i)[A-Z]+-D-E-([^-]+)-E""), """")"),"HQQE")</f>
        <v>HQQE</v>
      </c>
    </row>
    <row r="126" ht="11.25" customHeight="1">
      <c r="A126" s="61" t="s">
        <v>754</v>
      </c>
      <c r="B126" s="61">
        <v>7.4121725E7</v>
      </c>
      <c r="C126" s="62">
        <v>0.0</v>
      </c>
      <c r="D126" s="62">
        <v>15.0</v>
      </c>
      <c r="E126" s="62">
        <v>16.0</v>
      </c>
      <c r="F126" s="62">
        <v>20.0</v>
      </c>
      <c r="G126" s="62">
        <v>24.0</v>
      </c>
      <c r="H126" s="62">
        <v>28.0</v>
      </c>
      <c r="I126" s="62">
        <v>30.0</v>
      </c>
      <c r="J126" s="62">
        <v>32.0</v>
      </c>
      <c r="K126" s="62">
        <v>36.0</v>
      </c>
      <c r="L126" s="62">
        <v>40.0</v>
      </c>
      <c r="M126" s="48">
        <v>98.0631551302</v>
      </c>
      <c r="N126" s="62">
        <v>88.41555067120001</v>
      </c>
      <c r="O126" s="62">
        <v>87.420404847</v>
      </c>
      <c r="P126" s="62">
        <v>82.8594189082</v>
      </c>
      <c r="Q126" s="62">
        <v>77.2686738142</v>
      </c>
      <c r="R126" s="62">
        <v>70.513349661</v>
      </c>
      <c r="S126" s="62">
        <v>66.6568392172</v>
      </c>
      <c r="T126" s="62">
        <v>62.4586265446</v>
      </c>
      <c r="U126" s="62">
        <v>52.96968456100001</v>
      </c>
      <c r="V126" s="62">
        <v>41.91170380620001</v>
      </c>
      <c r="W126" s="62">
        <f>W118*5</f>
        <v>3.57</v>
      </c>
      <c r="X126" s="62">
        <v>5.875</v>
      </c>
      <c r="Y126" s="62">
        <v>6.04</v>
      </c>
      <c r="Z126" s="62">
        <v>6.665</v>
      </c>
      <c r="AA126" s="62">
        <v>7.25</v>
      </c>
      <c r="AB126" s="62">
        <v>7.785</v>
      </c>
      <c r="AC126" s="62">
        <v>8.040000000000001</v>
      </c>
      <c r="AD126" s="62">
        <v>8.255</v>
      </c>
      <c r="AE126" s="62">
        <v>8.61</v>
      </c>
      <c r="AF126" s="62">
        <v>8.65</v>
      </c>
      <c r="AG126" s="62">
        <v>1.321</v>
      </c>
      <c r="AH126" s="62">
        <v>1.312</v>
      </c>
      <c r="AI126" s="62">
        <v>1.308</v>
      </c>
      <c r="AJ126" s="62">
        <v>1.327</v>
      </c>
      <c r="AK126" s="62">
        <v>1.445</v>
      </c>
      <c r="AL126" s="62">
        <v>1.773</v>
      </c>
      <c r="AM126" s="62">
        <v>2.076</v>
      </c>
      <c r="AN126" s="62">
        <v>2.52</v>
      </c>
      <c r="AO126" s="62">
        <v>3.969</v>
      </c>
      <c r="AP126" s="62">
        <v>6.177</v>
      </c>
      <c r="AQ126" s="62">
        <v>0.0</v>
      </c>
      <c r="AR126" s="62">
        <v>60.2</v>
      </c>
      <c r="AS126" s="62">
        <v>63.5</v>
      </c>
      <c r="AT126" s="62">
        <v>71.16</v>
      </c>
      <c r="AU126" s="62">
        <v>74.88</v>
      </c>
      <c r="AV126" s="62">
        <v>76.29</v>
      </c>
      <c r="AW126" s="62">
        <v>76.07</v>
      </c>
      <c r="AX126" s="62">
        <v>75.18</v>
      </c>
      <c r="AY126" s="62">
        <v>71.16</v>
      </c>
      <c r="AZ126" s="62">
        <v>63.61</v>
      </c>
      <c r="BA126" s="63">
        <v>872.0</v>
      </c>
      <c r="BB126" s="64">
        <v>448.0</v>
      </c>
      <c r="BC126" s="64">
        <v>255.0</v>
      </c>
      <c r="BD126" s="64">
        <v>178.0</v>
      </c>
      <c r="BE126" s="64" t="s">
        <v>732</v>
      </c>
      <c r="BF126" s="64" t="s">
        <v>733</v>
      </c>
      <c r="BG126" s="64" t="s">
        <v>734</v>
      </c>
      <c r="BH126" s="64"/>
      <c r="BI126" s="64">
        <v>170.0</v>
      </c>
      <c r="BJ126" s="64">
        <v>224.0</v>
      </c>
      <c r="BK126" s="64">
        <v>320.0</v>
      </c>
      <c r="BL126" s="64">
        <v>240.0</v>
      </c>
      <c r="BM126" s="64">
        <v>334.0</v>
      </c>
      <c r="BN126" s="64">
        <v>105.0</v>
      </c>
      <c r="BO126" s="64">
        <v>53.0</v>
      </c>
      <c r="BP126" s="64" t="s">
        <v>735</v>
      </c>
      <c r="BQ126" s="64" t="s">
        <v>642</v>
      </c>
      <c r="BR126" s="65">
        <v>16.0</v>
      </c>
      <c r="BS126" s="63" t="s">
        <v>736</v>
      </c>
      <c r="BT126" s="63" t="s">
        <v>736</v>
      </c>
      <c r="BU126" s="65">
        <v>11.0</v>
      </c>
      <c r="BV126" s="47">
        <f>IFERROR(__xludf.DUMMYFUNCTION("IFERROR(INDEX(motors!E:E, MATCH(1, (motors!A:A=REGEXEXTRACT(A126,""^\S+""))*(motors!B:B=BU126), 0)), """")"),20.6)</f>
        <v>20.6</v>
      </c>
      <c r="BW126" s="47">
        <f>IFERROR(__xludf.DUMMYFUNCTION("IFERROR(INDEX(motors!F:F, MATCH(1, (motors!A:A=REGEXEXTRACT(A126,""^\S+""))*(motors!B:B=BU126), 0)), """")"),11.9)</f>
        <v>11.9</v>
      </c>
      <c r="BX126" s="64">
        <v>2.0</v>
      </c>
      <c r="BY126" s="65">
        <v>175.0</v>
      </c>
      <c r="BZ126" s="63" t="s">
        <v>755</v>
      </c>
      <c r="CA126" s="53" t="str">
        <f>IFERROR(__xludf.DUMMYFUNCTION("IFERROR(REGEXEXTRACT(BZ126, ""(?i)[A-Z]+-D-E-([^-]+)-E""), """")"),"HQQE")</f>
        <v>HQQE</v>
      </c>
    </row>
    <row r="127" ht="11.25" customHeight="1">
      <c r="A127" s="55" t="s">
        <v>756</v>
      </c>
      <c r="B127" s="55">
        <v>7.4121735E7</v>
      </c>
      <c r="C127" s="56">
        <v>0.0</v>
      </c>
      <c r="D127" s="56">
        <v>15.0</v>
      </c>
      <c r="E127" s="56">
        <v>16.0</v>
      </c>
      <c r="F127" s="56">
        <v>20.0</v>
      </c>
      <c r="G127" s="56">
        <v>24.0</v>
      </c>
      <c r="H127" s="56">
        <v>28.0</v>
      </c>
      <c r="I127" s="56">
        <v>30.0</v>
      </c>
      <c r="J127" s="56">
        <v>32.0</v>
      </c>
      <c r="K127" s="56">
        <v>36.0</v>
      </c>
      <c r="L127" s="56">
        <v>40.0</v>
      </c>
      <c r="M127" s="48">
        <v>107.2561797488</v>
      </c>
      <c r="N127" s="56">
        <v>98.18596562779999</v>
      </c>
      <c r="O127" s="56">
        <v>97.1683901296</v>
      </c>
      <c r="P127" s="56">
        <v>92.40900686079999</v>
      </c>
      <c r="Q127" s="56">
        <v>86.42256013279999</v>
      </c>
      <c r="R127" s="56">
        <v>79.0430053888</v>
      </c>
      <c r="S127" s="56">
        <v>74.77892358679999</v>
      </c>
      <c r="T127" s="56">
        <v>70.10429807199999</v>
      </c>
      <c r="U127" s="56">
        <v>59.440393625599995</v>
      </c>
      <c r="V127" s="56">
        <v>47.0</v>
      </c>
      <c r="W127" s="49">
        <f>W117*2+W118*4</f>
        <v>3.706</v>
      </c>
      <c r="X127" s="56">
        <v>6.6080000000000005</v>
      </c>
      <c r="Y127" s="56">
        <v>6.804</v>
      </c>
      <c r="Z127" s="56">
        <v>7.534</v>
      </c>
      <c r="AA127" s="56">
        <v>8.2</v>
      </c>
      <c r="AB127" s="56">
        <v>8.78</v>
      </c>
      <c r="AC127" s="56">
        <v>9.05</v>
      </c>
      <c r="AD127" s="56">
        <v>9.266</v>
      </c>
      <c r="AE127" s="56">
        <v>9.592</v>
      </c>
      <c r="AF127" s="56">
        <v>9.568</v>
      </c>
      <c r="AG127" s="49">
        <v>1.321</v>
      </c>
      <c r="AH127" s="56">
        <v>1.312</v>
      </c>
      <c r="AI127" s="56">
        <v>1.308</v>
      </c>
      <c r="AJ127" s="56">
        <v>1.327</v>
      </c>
      <c r="AK127" s="56">
        <v>1.445</v>
      </c>
      <c r="AL127" s="56">
        <v>1.773</v>
      </c>
      <c r="AM127" s="56">
        <v>2.076</v>
      </c>
      <c r="AN127" s="56">
        <v>2.52</v>
      </c>
      <c r="AO127" s="56">
        <v>3.969</v>
      </c>
      <c r="AP127" s="56">
        <v>6.177</v>
      </c>
      <c r="AQ127" s="49">
        <v>0.0</v>
      </c>
      <c r="AR127" s="56">
        <v>60.2</v>
      </c>
      <c r="AS127" s="56">
        <v>63.5</v>
      </c>
      <c r="AT127" s="56">
        <v>71.16</v>
      </c>
      <c r="AU127" s="56">
        <v>74.88</v>
      </c>
      <c r="AV127" s="56">
        <v>76.29</v>
      </c>
      <c r="AW127" s="56">
        <v>76.07</v>
      </c>
      <c r="AX127" s="56">
        <v>75.18</v>
      </c>
      <c r="AY127" s="56">
        <v>71.16</v>
      </c>
      <c r="AZ127" s="56">
        <v>63.61</v>
      </c>
      <c r="BA127" s="50">
        <v>942.0</v>
      </c>
      <c r="BB127" s="57">
        <v>448.0</v>
      </c>
      <c r="BC127" s="57">
        <v>255.0</v>
      </c>
      <c r="BD127" s="57">
        <v>178.0</v>
      </c>
      <c r="BE127" s="57" t="s">
        <v>732</v>
      </c>
      <c r="BF127" s="57" t="s">
        <v>733</v>
      </c>
      <c r="BG127" s="57" t="s">
        <v>734</v>
      </c>
      <c r="BH127" s="57"/>
      <c r="BI127" s="57">
        <v>170.0</v>
      </c>
      <c r="BJ127" s="57">
        <v>224.0</v>
      </c>
      <c r="BK127" s="57">
        <v>320.0</v>
      </c>
      <c r="BL127" s="57">
        <v>240.0</v>
      </c>
      <c r="BM127" s="57">
        <v>334.0</v>
      </c>
      <c r="BN127" s="57">
        <v>105.0</v>
      </c>
      <c r="BO127" s="57">
        <v>53.0</v>
      </c>
      <c r="BP127" s="57" t="s">
        <v>735</v>
      </c>
      <c r="BQ127" s="57" t="s">
        <v>642</v>
      </c>
      <c r="BR127" s="58">
        <v>16.0</v>
      </c>
      <c r="BS127" s="59" t="s">
        <v>736</v>
      </c>
      <c r="BT127" s="59" t="s">
        <v>736</v>
      </c>
      <c r="BU127" s="58">
        <v>11.0</v>
      </c>
      <c r="BV127" s="47">
        <f>IFERROR(__xludf.DUMMYFUNCTION("IFERROR(INDEX(motors!E:E, MATCH(1, (motors!A:A=REGEXEXTRACT(A127,""^\S+""))*(motors!B:B=BU127), 0)), """")"),20.6)</f>
        <v>20.6</v>
      </c>
      <c r="BW127" s="47">
        <f>IFERROR(__xludf.DUMMYFUNCTION("IFERROR(INDEX(motors!F:F, MATCH(1, (motors!A:A=REGEXEXTRACT(A127,""^\S+""))*(motors!B:B=BU127), 0)), """")"),11.9)</f>
        <v>11.9</v>
      </c>
      <c r="BX127" s="57">
        <v>2.0</v>
      </c>
      <c r="BY127" s="58">
        <v>177.0</v>
      </c>
      <c r="BZ127" s="59" t="s">
        <v>757</v>
      </c>
      <c r="CA127" s="53" t="str">
        <f>IFERROR(__xludf.DUMMYFUNCTION("IFERROR(REGEXEXTRACT(BZ127, ""(?i)[A-Z]+-D-E-([^-]+)-E""), """")"),"HQQE")</f>
        <v>HQQE</v>
      </c>
    </row>
    <row r="128" ht="11.25" customHeight="1">
      <c r="A128" s="46" t="s">
        <v>758</v>
      </c>
      <c r="B128" s="46">
        <v>7.4121736E7</v>
      </c>
      <c r="C128" s="47">
        <v>0.0</v>
      </c>
      <c r="D128" s="47">
        <v>15.0</v>
      </c>
      <c r="E128" s="47">
        <v>16.0</v>
      </c>
      <c r="F128" s="47">
        <v>20.0</v>
      </c>
      <c r="G128" s="47">
        <v>24.0</v>
      </c>
      <c r="H128" s="47">
        <v>28.0</v>
      </c>
      <c r="I128" s="47">
        <v>30.0</v>
      </c>
      <c r="J128" s="47">
        <v>32.0</v>
      </c>
      <c r="K128" s="47">
        <v>36.0</v>
      </c>
      <c r="L128" s="47">
        <v>40.0</v>
      </c>
      <c r="M128" s="48">
        <v>114.340692607</v>
      </c>
      <c r="N128" s="47">
        <v>106.453594678</v>
      </c>
      <c r="O128" s="47">
        <v>105.4803707494</v>
      </c>
      <c r="P128" s="47">
        <v>100.80228672499999</v>
      </c>
      <c r="Q128" s="47">
        <v>94.7052414814</v>
      </c>
      <c r="R128" s="47">
        <v>86.97235512099999</v>
      </c>
      <c r="S128" s="47">
        <v>82.424696554</v>
      </c>
      <c r="T128" s="47">
        <v>77.3867477462</v>
      </c>
      <c r="U128" s="47">
        <v>65.7315394594</v>
      </c>
      <c r="V128" s="47">
        <v>52.0</v>
      </c>
      <c r="W128" s="49">
        <f>W118*6</f>
        <v>4.284</v>
      </c>
      <c r="X128" s="47">
        <v>7.050000000000001</v>
      </c>
      <c r="Y128" s="47">
        <v>7.247999999999999</v>
      </c>
      <c r="Z128" s="47">
        <v>7.997999999999999</v>
      </c>
      <c r="AA128" s="47">
        <v>8.7</v>
      </c>
      <c r="AB128" s="47">
        <v>9.341999999999999</v>
      </c>
      <c r="AC128" s="47">
        <v>9.648</v>
      </c>
      <c r="AD128" s="47">
        <v>9.906</v>
      </c>
      <c r="AE128" s="47">
        <v>10.332</v>
      </c>
      <c r="AF128" s="47">
        <v>10.379999999999999</v>
      </c>
      <c r="AG128" s="49">
        <v>1.321</v>
      </c>
      <c r="AH128" s="47">
        <v>1.312</v>
      </c>
      <c r="AI128" s="47">
        <v>1.308</v>
      </c>
      <c r="AJ128" s="47">
        <v>1.327</v>
      </c>
      <c r="AK128" s="47">
        <v>1.445</v>
      </c>
      <c r="AL128" s="47">
        <v>1.773</v>
      </c>
      <c r="AM128" s="47">
        <v>2.076</v>
      </c>
      <c r="AN128" s="47">
        <v>2.52</v>
      </c>
      <c r="AO128" s="47">
        <v>3.969</v>
      </c>
      <c r="AP128" s="47">
        <v>6.177</v>
      </c>
      <c r="AQ128" s="49">
        <v>0.0</v>
      </c>
      <c r="AR128" s="47">
        <v>60.2</v>
      </c>
      <c r="AS128" s="47">
        <v>63.5</v>
      </c>
      <c r="AT128" s="47">
        <v>71.16</v>
      </c>
      <c r="AU128" s="47">
        <v>74.88</v>
      </c>
      <c r="AV128" s="47">
        <v>76.29</v>
      </c>
      <c r="AW128" s="47">
        <v>76.07</v>
      </c>
      <c r="AX128" s="47">
        <v>75.18</v>
      </c>
      <c r="AY128" s="47">
        <v>71.16</v>
      </c>
      <c r="AZ128" s="47">
        <v>63.61</v>
      </c>
      <c r="BA128" s="50">
        <v>942.0</v>
      </c>
      <c r="BB128" s="51">
        <v>448.0</v>
      </c>
      <c r="BC128" s="51">
        <v>255.0</v>
      </c>
      <c r="BD128" s="51">
        <v>178.0</v>
      </c>
      <c r="BE128" s="51" t="s">
        <v>732</v>
      </c>
      <c r="BF128" s="51" t="s">
        <v>733</v>
      </c>
      <c r="BG128" s="51" t="s">
        <v>734</v>
      </c>
      <c r="BH128" s="51"/>
      <c r="BI128" s="51">
        <v>170.0</v>
      </c>
      <c r="BJ128" s="51">
        <v>224.0</v>
      </c>
      <c r="BK128" s="51">
        <v>320.0</v>
      </c>
      <c r="BL128" s="51">
        <v>240.0</v>
      </c>
      <c r="BM128" s="51">
        <v>334.0</v>
      </c>
      <c r="BN128" s="51">
        <v>105.0</v>
      </c>
      <c r="BO128" s="51">
        <v>53.0</v>
      </c>
      <c r="BP128" s="51" t="s">
        <v>735</v>
      </c>
      <c r="BQ128" s="51" t="s">
        <v>642</v>
      </c>
      <c r="BR128" s="52">
        <v>16.0</v>
      </c>
      <c r="BS128" s="53" t="s">
        <v>736</v>
      </c>
      <c r="BT128" s="53" t="s">
        <v>736</v>
      </c>
      <c r="BU128" s="52">
        <v>11.0</v>
      </c>
      <c r="BV128" s="47">
        <f>IFERROR(__xludf.DUMMYFUNCTION("IFERROR(INDEX(motors!E:E, MATCH(1, (motors!A:A=REGEXEXTRACT(A128,""^\S+""))*(motors!B:B=BU128), 0)), """")"),20.6)</f>
        <v>20.6</v>
      </c>
      <c r="BW128" s="47">
        <f>IFERROR(__xludf.DUMMYFUNCTION("IFERROR(INDEX(motors!F:F, MATCH(1, (motors!A:A=REGEXEXTRACT(A128,""^\S+""))*(motors!B:B=BU128), 0)), """")"),11.9)</f>
        <v>11.9</v>
      </c>
      <c r="BX128" s="51">
        <v>2.0</v>
      </c>
      <c r="BY128" s="52">
        <v>177.0</v>
      </c>
      <c r="BZ128" s="53" t="s">
        <v>759</v>
      </c>
      <c r="CA128" s="53" t="str">
        <f>IFERROR(__xludf.DUMMYFUNCTION("IFERROR(REGEXEXTRACT(BZ128, ""(?i)[A-Z]+-D-E-([^-]+)-E""), """")"),"HQQE")</f>
        <v>HQQE</v>
      </c>
    </row>
    <row r="129" ht="11.25" customHeight="1">
      <c r="A129" s="55" t="s">
        <v>760</v>
      </c>
      <c r="B129" s="55">
        <v>7.4121737E7</v>
      </c>
      <c r="C129" s="56">
        <v>0.0</v>
      </c>
      <c r="D129" s="56">
        <v>15.0</v>
      </c>
      <c r="E129" s="56">
        <v>16.0</v>
      </c>
      <c r="F129" s="56">
        <v>20.0</v>
      </c>
      <c r="G129" s="56">
        <v>24.0</v>
      </c>
      <c r="H129" s="56">
        <v>28.0</v>
      </c>
      <c r="I129" s="56">
        <v>30.0</v>
      </c>
      <c r="J129" s="56">
        <v>32.0</v>
      </c>
      <c r="K129" s="56">
        <v>36.0</v>
      </c>
      <c r="L129" s="56">
        <v>40.0</v>
      </c>
      <c r="M129" s="48">
        <v>125.1838409257</v>
      </c>
      <c r="N129" s="56">
        <v>116.4767029957</v>
      </c>
      <c r="O129" s="56">
        <v>115.4172625609</v>
      </c>
      <c r="P129" s="56">
        <v>110.3243402657</v>
      </c>
      <c r="Q129" s="56">
        <v>103.6785135961</v>
      </c>
      <c r="R129" s="56">
        <v>95.2335859057</v>
      </c>
      <c r="S129" s="56">
        <v>90.2595227257</v>
      </c>
      <c r="T129" s="56">
        <v>84.7433605481</v>
      </c>
      <c r="U129" s="56">
        <v>71.96164087689999</v>
      </c>
      <c r="V129" s="56">
        <v>57.0</v>
      </c>
      <c r="W129" s="49">
        <f>W117*2+W118*5</f>
        <v>4.42</v>
      </c>
      <c r="X129" s="56">
        <v>7.7829999999999995</v>
      </c>
      <c r="Y129" s="56">
        <v>8.012</v>
      </c>
      <c r="Z129" s="56">
        <v>8.867</v>
      </c>
      <c r="AA129" s="56">
        <v>9.65</v>
      </c>
      <c r="AB129" s="56">
        <v>10.337</v>
      </c>
      <c r="AC129" s="56">
        <v>10.658000000000001</v>
      </c>
      <c r="AD129" s="56">
        <v>10.917000000000002</v>
      </c>
      <c r="AE129" s="56">
        <v>11.314</v>
      </c>
      <c r="AF129" s="56">
        <v>11.298</v>
      </c>
      <c r="AG129" s="49">
        <v>1.321</v>
      </c>
      <c r="AH129" s="56">
        <v>1.312</v>
      </c>
      <c r="AI129" s="56">
        <v>1.308</v>
      </c>
      <c r="AJ129" s="56">
        <v>1.327</v>
      </c>
      <c r="AK129" s="56">
        <v>1.445</v>
      </c>
      <c r="AL129" s="56">
        <v>1.773</v>
      </c>
      <c r="AM129" s="56">
        <v>2.076</v>
      </c>
      <c r="AN129" s="56">
        <v>2.52</v>
      </c>
      <c r="AO129" s="56">
        <v>3.969</v>
      </c>
      <c r="AP129" s="56">
        <v>6.177</v>
      </c>
      <c r="AQ129" s="49">
        <v>0.0</v>
      </c>
      <c r="AR129" s="56">
        <v>60.2</v>
      </c>
      <c r="AS129" s="56">
        <v>63.5</v>
      </c>
      <c r="AT129" s="56">
        <v>71.16</v>
      </c>
      <c r="AU129" s="56">
        <v>74.88</v>
      </c>
      <c r="AV129" s="56">
        <v>76.29</v>
      </c>
      <c r="AW129" s="56">
        <v>76.07</v>
      </c>
      <c r="AX129" s="56">
        <v>75.18</v>
      </c>
      <c r="AY129" s="56">
        <v>71.16</v>
      </c>
      <c r="AZ129" s="56">
        <v>63.61</v>
      </c>
      <c r="BA129" s="50">
        <v>1012.0</v>
      </c>
      <c r="BB129" s="57">
        <v>489.0</v>
      </c>
      <c r="BC129" s="57">
        <v>255.0</v>
      </c>
      <c r="BD129" s="57">
        <v>178.0</v>
      </c>
      <c r="BE129" s="57" t="s">
        <v>732</v>
      </c>
      <c r="BF129" s="57" t="s">
        <v>733</v>
      </c>
      <c r="BG129" s="57" t="s">
        <v>734</v>
      </c>
      <c r="BH129" s="57"/>
      <c r="BI129" s="57">
        <v>170.0</v>
      </c>
      <c r="BJ129" s="57">
        <v>224.0</v>
      </c>
      <c r="BK129" s="57">
        <v>320.0</v>
      </c>
      <c r="BL129" s="57">
        <v>240.0</v>
      </c>
      <c r="BM129" s="57">
        <v>334.0</v>
      </c>
      <c r="BN129" s="57">
        <v>105.0</v>
      </c>
      <c r="BO129" s="57">
        <v>53.0</v>
      </c>
      <c r="BP129" s="57" t="s">
        <v>735</v>
      </c>
      <c r="BQ129" s="57" t="s">
        <v>642</v>
      </c>
      <c r="BR129" s="58">
        <v>16.0</v>
      </c>
      <c r="BS129" s="59" t="s">
        <v>736</v>
      </c>
      <c r="BT129" s="59" t="s">
        <v>736</v>
      </c>
      <c r="BU129" s="58">
        <v>15.0</v>
      </c>
      <c r="BV129" s="47">
        <f>IFERROR(__xludf.DUMMYFUNCTION("IFERROR(INDEX(motors!E:E, MATCH(1, (motors!A:A=REGEXEXTRACT(A129,""^\S+""))*(motors!B:B=BU129), 0)), """")"),27.9)</f>
        <v>27.9</v>
      </c>
      <c r="BW129" s="47">
        <f>IFERROR(__xludf.DUMMYFUNCTION("IFERROR(INDEX(motors!F:F, MATCH(1, (motors!A:A=REGEXEXTRACT(A129,""^\S+""))*(motors!B:B=BU129), 0)), """")"),16.0)</f>
        <v>16</v>
      </c>
      <c r="BX129" s="57">
        <v>2.0</v>
      </c>
      <c r="BY129" s="58">
        <v>187.0</v>
      </c>
      <c r="BZ129" s="59" t="s">
        <v>761</v>
      </c>
      <c r="CA129" s="53" t="str">
        <f>IFERROR(__xludf.DUMMYFUNCTION("IFERROR(REGEXEXTRACT(BZ129, ""(?i)[A-Z]+-D-E-([^-]+)-E""), """")"),"HQQE")</f>
        <v>HQQE</v>
      </c>
    </row>
    <row r="130" ht="11.25" customHeight="1">
      <c r="A130" s="61" t="s">
        <v>762</v>
      </c>
      <c r="B130" s="61">
        <v>7.4121738E7</v>
      </c>
      <c r="C130" s="62">
        <v>0.0</v>
      </c>
      <c r="D130" s="62">
        <v>15.0</v>
      </c>
      <c r="E130" s="62">
        <v>16.0</v>
      </c>
      <c r="F130" s="62">
        <v>20.0</v>
      </c>
      <c r="G130" s="62">
        <v>24.0</v>
      </c>
      <c r="H130" s="62">
        <v>28.0</v>
      </c>
      <c r="I130" s="62">
        <v>30.0</v>
      </c>
      <c r="J130" s="62">
        <v>32.0</v>
      </c>
      <c r="K130" s="62">
        <v>36.0</v>
      </c>
      <c r="L130" s="62">
        <v>40.0</v>
      </c>
      <c r="M130" s="48">
        <v>133.2308766518</v>
      </c>
      <c r="N130" s="62">
        <v>124.2834928043</v>
      </c>
      <c r="O130" s="62">
        <v>123.23906655100001</v>
      </c>
      <c r="P130" s="62">
        <v>118.1616630418</v>
      </c>
      <c r="Q130" s="62">
        <v>111.400099619</v>
      </c>
      <c r="R130" s="62">
        <v>102.6281865226</v>
      </c>
      <c r="S130" s="62">
        <v>97.3864145468</v>
      </c>
      <c r="T130" s="62">
        <v>91.51973399260001</v>
      </c>
      <c r="U130" s="62">
        <v>77.748552269</v>
      </c>
      <c r="V130" s="62">
        <v>60.9884515918</v>
      </c>
      <c r="W130" s="62">
        <f>W118*7</f>
        <v>4.998</v>
      </c>
      <c r="X130" s="62">
        <v>8.225</v>
      </c>
      <c r="Y130" s="62">
        <v>8.456</v>
      </c>
      <c r="Z130" s="62">
        <v>9.331</v>
      </c>
      <c r="AA130" s="62">
        <v>10.15</v>
      </c>
      <c r="AB130" s="62">
        <v>10.899</v>
      </c>
      <c r="AC130" s="62">
        <v>11.256</v>
      </c>
      <c r="AD130" s="62">
        <v>11.557</v>
      </c>
      <c r="AE130" s="62">
        <v>12.054</v>
      </c>
      <c r="AF130" s="62">
        <v>12.11</v>
      </c>
      <c r="AG130" s="62">
        <v>1.321</v>
      </c>
      <c r="AH130" s="62">
        <v>1.312</v>
      </c>
      <c r="AI130" s="62">
        <v>1.308</v>
      </c>
      <c r="AJ130" s="62">
        <v>1.327</v>
      </c>
      <c r="AK130" s="62">
        <v>1.445</v>
      </c>
      <c r="AL130" s="62">
        <v>1.773</v>
      </c>
      <c r="AM130" s="62">
        <v>2.076</v>
      </c>
      <c r="AN130" s="62">
        <v>2.52</v>
      </c>
      <c r="AO130" s="62">
        <v>3.969</v>
      </c>
      <c r="AP130" s="62">
        <v>6.177</v>
      </c>
      <c r="AQ130" s="62">
        <v>0.0</v>
      </c>
      <c r="AR130" s="62">
        <v>60.2</v>
      </c>
      <c r="AS130" s="62">
        <v>63.5</v>
      </c>
      <c r="AT130" s="62">
        <v>71.16</v>
      </c>
      <c r="AU130" s="62">
        <v>74.88</v>
      </c>
      <c r="AV130" s="62">
        <v>76.29</v>
      </c>
      <c r="AW130" s="62">
        <v>76.07</v>
      </c>
      <c r="AX130" s="62">
        <v>75.18</v>
      </c>
      <c r="AY130" s="62">
        <v>71.16</v>
      </c>
      <c r="AZ130" s="62">
        <v>63.61</v>
      </c>
      <c r="BA130" s="63">
        <v>1012.0</v>
      </c>
      <c r="BB130" s="64">
        <v>489.0</v>
      </c>
      <c r="BC130" s="64">
        <v>255.0</v>
      </c>
      <c r="BD130" s="64">
        <v>178.0</v>
      </c>
      <c r="BE130" s="64" t="s">
        <v>732</v>
      </c>
      <c r="BF130" s="64" t="s">
        <v>733</v>
      </c>
      <c r="BG130" s="64" t="s">
        <v>734</v>
      </c>
      <c r="BH130" s="64"/>
      <c r="BI130" s="64">
        <v>170.0</v>
      </c>
      <c r="BJ130" s="64">
        <v>224.0</v>
      </c>
      <c r="BK130" s="64">
        <v>320.0</v>
      </c>
      <c r="BL130" s="64">
        <v>240.0</v>
      </c>
      <c r="BM130" s="64">
        <v>334.0</v>
      </c>
      <c r="BN130" s="64">
        <v>105.0</v>
      </c>
      <c r="BO130" s="64">
        <v>53.0</v>
      </c>
      <c r="BP130" s="64" t="s">
        <v>735</v>
      </c>
      <c r="BQ130" s="64" t="s">
        <v>642</v>
      </c>
      <c r="BR130" s="65">
        <v>16.0</v>
      </c>
      <c r="BS130" s="63" t="s">
        <v>736</v>
      </c>
      <c r="BT130" s="63" t="s">
        <v>736</v>
      </c>
      <c r="BU130" s="65">
        <v>15.0</v>
      </c>
      <c r="BV130" s="47">
        <f>IFERROR(__xludf.DUMMYFUNCTION("IFERROR(INDEX(motors!E:E, MATCH(1, (motors!A:A=REGEXEXTRACT(A130,""^\S+""))*(motors!B:B=BU130), 0)), """")"),27.9)</f>
        <v>27.9</v>
      </c>
      <c r="BW130" s="47">
        <f>IFERROR(__xludf.DUMMYFUNCTION("IFERROR(INDEX(motors!F:F, MATCH(1, (motors!A:A=REGEXEXTRACT(A130,""^\S+""))*(motors!B:B=BU130), 0)), """")"),16.0)</f>
        <v>16</v>
      </c>
      <c r="BX130" s="64">
        <v>2.0</v>
      </c>
      <c r="BY130" s="65">
        <v>187.0</v>
      </c>
      <c r="BZ130" s="63" t="s">
        <v>763</v>
      </c>
      <c r="CA130" s="53" t="str">
        <f>IFERROR(__xludf.DUMMYFUNCTION("IFERROR(REGEXEXTRACT(BZ130, ""(?i)[A-Z]+-D-E-([^-]+)-E""), """")"),"HQQE")</f>
        <v>HQQE</v>
      </c>
    </row>
    <row r="131" ht="11.25" customHeight="1">
      <c r="A131" s="55" t="s">
        <v>764</v>
      </c>
      <c r="B131" s="55">
        <v>7.4121739E7</v>
      </c>
      <c r="C131" s="56">
        <v>0.0</v>
      </c>
      <c r="D131" s="56">
        <v>15.0</v>
      </c>
      <c r="E131" s="56">
        <v>16.0</v>
      </c>
      <c r="F131" s="56">
        <v>20.0</v>
      </c>
      <c r="G131" s="56">
        <v>24.0</v>
      </c>
      <c r="H131" s="56">
        <v>28.0</v>
      </c>
      <c r="I131" s="56">
        <v>30.0</v>
      </c>
      <c r="J131" s="56">
        <v>32.0</v>
      </c>
      <c r="K131" s="56">
        <v>36.0</v>
      </c>
      <c r="L131" s="56">
        <v>40.0</v>
      </c>
      <c r="M131" s="48">
        <v>143.169348097</v>
      </c>
      <c r="N131" s="56">
        <v>133.5120300655</v>
      </c>
      <c r="O131" s="56">
        <v>132.32922797540002</v>
      </c>
      <c r="P131" s="56">
        <v>126.62225998500001</v>
      </c>
      <c r="Q131" s="56">
        <v>119.13661245220001</v>
      </c>
      <c r="R131" s="56">
        <v>109.58233319780001</v>
      </c>
      <c r="S131" s="56">
        <v>103.93884661900002</v>
      </c>
      <c r="T131" s="56">
        <v>97.66947004260001</v>
      </c>
      <c r="U131" s="56">
        <v>83.10807080740001</v>
      </c>
      <c r="V131" s="56">
        <v>66.0</v>
      </c>
      <c r="W131" s="49">
        <f>W117*2+W118*6</f>
        <v>5.134</v>
      </c>
      <c r="X131" s="56">
        <v>8.958</v>
      </c>
      <c r="Y131" s="56">
        <v>9.219999999999999</v>
      </c>
      <c r="Z131" s="56">
        <v>10.2</v>
      </c>
      <c r="AA131" s="56">
        <v>11.1</v>
      </c>
      <c r="AB131" s="56">
        <v>11.893999999999998</v>
      </c>
      <c r="AC131" s="56">
        <v>12.266</v>
      </c>
      <c r="AD131" s="56">
        <v>12.568000000000001</v>
      </c>
      <c r="AE131" s="56">
        <v>13.036000000000001</v>
      </c>
      <c r="AF131" s="56">
        <v>13.027999999999999</v>
      </c>
      <c r="AG131" s="49">
        <v>1.321</v>
      </c>
      <c r="AH131" s="56">
        <v>1.312</v>
      </c>
      <c r="AI131" s="56">
        <v>1.308</v>
      </c>
      <c r="AJ131" s="56">
        <v>1.327</v>
      </c>
      <c r="AK131" s="56">
        <v>1.445</v>
      </c>
      <c r="AL131" s="56">
        <v>1.773</v>
      </c>
      <c r="AM131" s="56">
        <v>2.076</v>
      </c>
      <c r="AN131" s="56">
        <v>2.52</v>
      </c>
      <c r="AO131" s="56">
        <v>3.969</v>
      </c>
      <c r="AP131" s="56">
        <v>6.177</v>
      </c>
      <c r="AQ131" s="49">
        <v>0.0</v>
      </c>
      <c r="AR131" s="56">
        <v>60.2</v>
      </c>
      <c r="AS131" s="56">
        <v>63.5</v>
      </c>
      <c r="AT131" s="56">
        <v>71.16</v>
      </c>
      <c r="AU131" s="56">
        <v>74.88</v>
      </c>
      <c r="AV131" s="56">
        <v>76.29</v>
      </c>
      <c r="AW131" s="56">
        <v>76.07</v>
      </c>
      <c r="AX131" s="56">
        <v>75.18</v>
      </c>
      <c r="AY131" s="56">
        <v>71.16</v>
      </c>
      <c r="AZ131" s="56">
        <v>63.61</v>
      </c>
      <c r="BA131" s="50">
        <v>1082.0</v>
      </c>
      <c r="BB131" s="57">
        <v>489.0</v>
      </c>
      <c r="BC131" s="57">
        <v>255.0</v>
      </c>
      <c r="BD131" s="57">
        <v>178.0</v>
      </c>
      <c r="BE131" s="57" t="s">
        <v>732</v>
      </c>
      <c r="BF131" s="57" t="s">
        <v>733</v>
      </c>
      <c r="BG131" s="57" t="s">
        <v>734</v>
      </c>
      <c r="BH131" s="57"/>
      <c r="BI131" s="57">
        <v>170.0</v>
      </c>
      <c r="BJ131" s="57">
        <v>224.0</v>
      </c>
      <c r="BK131" s="57">
        <v>320.0</v>
      </c>
      <c r="BL131" s="57">
        <v>240.0</v>
      </c>
      <c r="BM131" s="57">
        <v>334.0</v>
      </c>
      <c r="BN131" s="57">
        <v>105.0</v>
      </c>
      <c r="BO131" s="57">
        <v>53.0</v>
      </c>
      <c r="BP131" s="57" t="s">
        <v>735</v>
      </c>
      <c r="BQ131" s="57" t="s">
        <v>642</v>
      </c>
      <c r="BR131" s="58">
        <v>25.0</v>
      </c>
      <c r="BS131" s="59" t="s">
        <v>736</v>
      </c>
      <c r="BT131" s="59" t="s">
        <v>736</v>
      </c>
      <c r="BU131" s="58">
        <v>15.0</v>
      </c>
      <c r="BV131" s="47">
        <f>IFERROR(__xludf.DUMMYFUNCTION("IFERROR(INDEX(motors!E:E, MATCH(1, (motors!A:A=REGEXEXTRACT(A131,""^\S+""))*(motors!B:B=BU131), 0)), """")"),27.9)</f>
        <v>27.9</v>
      </c>
      <c r="BW131" s="47">
        <f>IFERROR(__xludf.DUMMYFUNCTION("IFERROR(INDEX(motors!F:F, MATCH(1, (motors!A:A=REGEXEXTRACT(A131,""^\S+""))*(motors!B:B=BU131), 0)), """")"),16.0)</f>
        <v>16</v>
      </c>
      <c r="BX131" s="57">
        <v>2.0</v>
      </c>
      <c r="BY131" s="58">
        <v>191.0</v>
      </c>
      <c r="BZ131" s="59" t="s">
        <v>765</v>
      </c>
      <c r="CA131" s="53" t="str">
        <f>IFERROR(__xludf.DUMMYFUNCTION("IFERROR(REGEXEXTRACT(BZ131, ""(?i)[A-Z]+-D-E-([^-]+)-E""), """")"),"HQQE")</f>
        <v>HQQE</v>
      </c>
    </row>
    <row r="132" ht="11.25" customHeight="1">
      <c r="A132" s="46" t="s">
        <v>766</v>
      </c>
      <c r="B132" s="46">
        <v>7.412174E7</v>
      </c>
      <c r="C132" s="47">
        <v>0.0</v>
      </c>
      <c r="D132" s="47">
        <v>15.0</v>
      </c>
      <c r="E132" s="47">
        <v>16.0</v>
      </c>
      <c r="F132" s="47">
        <v>20.0</v>
      </c>
      <c r="G132" s="47">
        <v>24.0</v>
      </c>
      <c r="H132" s="47">
        <v>28.0</v>
      </c>
      <c r="I132" s="47">
        <v>30.0</v>
      </c>
      <c r="J132" s="47">
        <v>32.0</v>
      </c>
      <c r="K132" s="47">
        <v>36.0</v>
      </c>
      <c r="L132" s="47">
        <v>40.0</v>
      </c>
      <c r="M132" s="48">
        <v>149.2816513325</v>
      </c>
      <c r="N132" s="47">
        <v>140.28865281199998</v>
      </c>
      <c r="O132" s="47">
        <v>139.1762240445</v>
      </c>
      <c r="P132" s="47">
        <v>133.6949355985</v>
      </c>
      <c r="Q132" s="47">
        <v>126.28200289969999</v>
      </c>
      <c r="R132" s="47">
        <v>116.56259014649999</v>
      </c>
      <c r="S132" s="47">
        <v>110.72081756149998</v>
      </c>
      <c r="T132" s="47">
        <v>104.16186153729998</v>
      </c>
      <c r="U132" s="47">
        <v>88.70498127049999</v>
      </c>
      <c r="V132" s="47">
        <v>70.0</v>
      </c>
      <c r="W132" s="49">
        <f>W118*8</f>
        <v>5.712</v>
      </c>
      <c r="X132" s="47">
        <v>9.4</v>
      </c>
      <c r="Y132" s="47">
        <v>9.664</v>
      </c>
      <c r="Z132" s="47">
        <v>10.664</v>
      </c>
      <c r="AA132" s="47">
        <v>11.6</v>
      </c>
      <c r="AB132" s="47">
        <v>12.456</v>
      </c>
      <c r="AC132" s="47">
        <v>12.864</v>
      </c>
      <c r="AD132" s="47">
        <v>13.208</v>
      </c>
      <c r="AE132" s="47">
        <v>13.776</v>
      </c>
      <c r="AF132" s="47">
        <v>13.84</v>
      </c>
      <c r="AG132" s="49">
        <v>1.321</v>
      </c>
      <c r="AH132" s="47">
        <v>1.312</v>
      </c>
      <c r="AI132" s="47">
        <v>1.308</v>
      </c>
      <c r="AJ132" s="47">
        <v>1.327</v>
      </c>
      <c r="AK132" s="47">
        <v>1.445</v>
      </c>
      <c r="AL132" s="47">
        <v>1.773</v>
      </c>
      <c r="AM132" s="47">
        <v>2.076</v>
      </c>
      <c r="AN132" s="47">
        <v>2.52</v>
      </c>
      <c r="AO132" s="47">
        <v>3.969</v>
      </c>
      <c r="AP132" s="47">
        <v>6.177</v>
      </c>
      <c r="AQ132" s="49">
        <v>0.0</v>
      </c>
      <c r="AR132" s="47">
        <v>60.2</v>
      </c>
      <c r="AS132" s="47">
        <v>63.5</v>
      </c>
      <c r="AT132" s="47">
        <v>71.16</v>
      </c>
      <c r="AU132" s="47">
        <v>74.88</v>
      </c>
      <c r="AV132" s="47">
        <v>76.29</v>
      </c>
      <c r="AW132" s="47">
        <v>76.07</v>
      </c>
      <c r="AX132" s="47">
        <v>75.18</v>
      </c>
      <c r="AY132" s="47">
        <v>71.16</v>
      </c>
      <c r="AZ132" s="47">
        <v>63.61</v>
      </c>
      <c r="BA132" s="50">
        <v>1082.0</v>
      </c>
      <c r="BB132" s="51">
        <v>489.0</v>
      </c>
      <c r="BC132" s="51">
        <v>255.0</v>
      </c>
      <c r="BD132" s="51">
        <v>178.0</v>
      </c>
      <c r="BE132" s="51" t="s">
        <v>732</v>
      </c>
      <c r="BF132" s="51" t="s">
        <v>733</v>
      </c>
      <c r="BG132" s="51" t="s">
        <v>734</v>
      </c>
      <c r="BH132" s="51"/>
      <c r="BI132" s="51">
        <v>170.0</v>
      </c>
      <c r="BJ132" s="51">
        <v>224.0</v>
      </c>
      <c r="BK132" s="51">
        <v>320.0</v>
      </c>
      <c r="BL132" s="51">
        <v>240.0</v>
      </c>
      <c r="BM132" s="51">
        <v>334.0</v>
      </c>
      <c r="BN132" s="51">
        <v>105.0</v>
      </c>
      <c r="BO132" s="51">
        <v>53.0</v>
      </c>
      <c r="BP132" s="51" t="s">
        <v>735</v>
      </c>
      <c r="BQ132" s="51" t="s">
        <v>642</v>
      </c>
      <c r="BR132" s="52">
        <v>25.0</v>
      </c>
      <c r="BS132" s="53" t="s">
        <v>736</v>
      </c>
      <c r="BT132" s="53" t="s">
        <v>736</v>
      </c>
      <c r="BU132" s="52">
        <v>15.0</v>
      </c>
      <c r="BV132" s="47">
        <f>IFERROR(__xludf.DUMMYFUNCTION("IFERROR(INDEX(motors!E:E, MATCH(1, (motors!A:A=REGEXEXTRACT(A132,""^\S+""))*(motors!B:B=BU132), 0)), """")"),27.9)</f>
        <v>27.9</v>
      </c>
      <c r="BW132" s="47">
        <f>IFERROR(__xludf.DUMMYFUNCTION("IFERROR(INDEX(motors!F:F, MATCH(1, (motors!A:A=REGEXEXTRACT(A132,""^\S+""))*(motors!B:B=BU132), 0)), """")"),16.0)</f>
        <v>16</v>
      </c>
      <c r="BX132" s="51">
        <v>2.0</v>
      </c>
      <c r="BY132" s="52">
        <v>191.0</v>
      </c>
      <c r="BZ132" s="53" t="s">
        <v>767</v>
      </c>
      <c r="CA132" s="53" t="str">
        <f>IFERROR(__xludf.DUMMYFUNCTION("IFERROR(REGEXEXTRACT(BZ132, ""(?i)[A-Z]+-D-E-([^-]+)-E""), """")"),"HQQE")</f>
        <v>HQQE</v>
      </c>
    </row>
    <row r="133" ht="11.25" customHeight="1">
      <c r="A133" s="55" t="s">
        <v>768</v>
      </c>
      <c r="B133" s="55">
        <v>7.4121741E7</v>
      </c>
      <c r="C133" s="56">
        <v>0.0</v>
      </c>
      <c r="D133" s="56">
        <v>15.0</v>
      </c>
      <c r="E133" s="56">
        <v>16.0</v>
      </c>
      <c r="F133" s="56">
        <v>20.0</v>
      </c>
      <c r="G133" s="56">
        <v>24.0</v>
      </c>
      <c r="H133" s="56">
        <v>28.0</v>
      </c>
      <c r="I133" s="56">
        <v>30.0</v>
      </c>
      <c r="J133" s="56">
        <v>32.0</v>
      </c>
      <c r="K133" s="56">
        <v>36.0</v>
      </c>
      <c r="L133" s="56">
        <v>40.0</v>
      </c>
      <c r="M133" s="48">
        <v>161.1859796952</v>
      </c>
      <c r="N133" s="56">
        <v>150.4975845612</v>
      </c>
      <c r="O133" s="56">
        <v>149.3476701384</v>
      </c>
      <c r="P133" s="56">
        <v>143.6912049332</v>
      </c>
      <c r="Q133" s="56">
        <v>135.97656556799998</v>
      </c>
      <c r="R133" s="56">
        <v>125.71404252599999</v>
      </c>
      <c r="S133" s="56">
        <v>119.47429040219998</v>
      </c>
      <c r="T133" s="56">
        <v>112.41392629039998</v>
      </c>
      <c r="U133" s="56">
        <v>95.58650734439999</v>
      </c>
      <c r="V133" s="56">
        <v>75.0</v>
      </c>
      <c r="W133" s="49">
        <f>W117*2+W118*7</f>
        <v>5.848</v>
      </c>
      <c r="X133" s="56">
        <v>10.133</v>
      </c>
      <c r="Y133" s="56">
        <v>10.427999999999999</v>
      </c>
      <c r="Z133" s="56">
        <v>11.533</v>
      </c>
      <c r="AA133" s="56">
        <v>12.55</v>
      </c>
      <c r="AB133" s="56">
        <v>13.450999999999999</v>
      </c>
      <c r="AC133" s="56">
        <v>13.874</v>
      </c>
      <c r="AD133" s="56">
        <v>14.219000000000001</v>
      </c>
      <c r="AE133" s="56">
        <v>14.758000000000001</v>
      </c>
      <c r="AF133" s="56">
        <v>14.758</v>
      </c>
      <c r="AG133" s="49">
        <v>1.321</v>
      </c>
      <c r="AH133" s="56">
        <v>1.312</v>
      </c>
      <c r="AI133" s="56">
        <v>1.308</v>
      </c>
      <c r="AJ133" s="56">
        <v>1.327</v>
      </c>
      <c r="AK133" s="56">
        <v>1.445</v>
      </c>
      <c r="AL133" s="56">
        <v>1.773</v>
      </c>
      <c r="AM133" s="56">
        <v>2.076</v>
      </c>
      <c r="AN133" s="56">
        <v>2.52</v>
      </c>
      <c r="AO133" s="56">
        <v>3.969</v>
      </c>
      <c r="AP133" s="56">
        <v>6.177</v>
      </c>
      <c r="AQ133" s="49">
        <v>0.0</v>
      </c>
      <c r="AR133" s="56">
        <v>60.2</v>
      </c>
      <c r="AS133" s="56">
        <v>63.5</v>
      </c>
      <c r="AT133" s="56">
        <v>71.16</v>
      </c>
      <c r="AU133" s="56">
        <v>74.88</v>
      </c>
      <c r="AV133" s="56">
        <v>76.29</v>
      </c>
      <c r="AW133" s="56">
        <v>76.07</v>
      </c>
      <c r="AX133" s="56">
        <v>75.18</v>
      </c>
      <c r="AY133" s="56">
        <v>71.16</v>
      </c>
      <c r="AZ133" s="56">
        <v>63.61</v>
      </c>
      <c r="BA133" s="50">
        <v>1152.0</v>
      </c>
      <c r="BB133" s="57">
        <v>542.0</v>
      </c>
      <c r="BC133" s="57">
        <v>313.0</v>
      </c>
      <c r="BD133" s="57">
        <v>257.0</v>
      </c>
      <c r="BE133" s="57" t="s">
        <v>732</v>
      </c>
      <c r="BF133" s="57" t="s">
        <v>733</v>
      </c>
      <c r="BG133" s="57" t="s">
        <v>734</v>
      </c>
      <c r="BH133" s="57"/>
      <c r="BI133" s="57">
        <v>170.0</v>
      </c>
      <c r="BJ133" s="57">
        <v>224.0</v>
      </c>
      <c r="BK133" s="57">
        <v>320.0</v>
      </c>
      <c r="BL133" s="57">
        <v>240.0</v>
      </c>
      <c r="BM133" s="57">
        <v>334.0</v>
      </c>
      <c r="BN133" s="57">
        <v>105.0</v>
      </c>
      <c r="BO133" s="57">
        <v>53.0</v>
      </c>
      <c r="BP133" s="57" t="s">
        <v>735</v>
      </c>
      <c r="BQ133" s="57" t="s">
        <v>642</v>
      </c>
      <c r="BR133" s="58">
        <v>25.0</v>
      </c>
      <c r="BS133" s="59" t="s">
        <v>736</v>
      </c>
      <c r="BT133" s="59" t="s">
        <v>736</v>
      </c>
      <c r="BU133" s="58">
        <v>18.5</v>
      </c>
      <c r="BV133" s="47">
        <f>IFERROR(__xludf.DUMMYFUNCTION("IFERROR(INDEX(motors!E:E, MATCH(1, (motors!A:A=REGEXEXTRACT(A133,""^\S+""))*(motors!B:B=BU133), 0)), """")"),34.2)</f>
        <v>34.2</v>
      </c>
      <c r="BW133" s="47">
        <f>IFERROR(__xludf.DUMMYFUNCTION("IFERROR(INDEX(motors!F:F, MATCH(1, (motors!A:A=REGEXEXTRACT(A133,""^\S+""))*(motors!B:B=BU133), 0)), """")"),19.7)</f>
        <v>19.7</v>
      </c>
      <c r="BX133" s="57">
        <v>2.0</v>
      </c>
      <c r="BY133" s="58">
        <v>220.0</v>
      </c>
      <c r="BZ133" s="59" t="s">
        <v>769</v>
      </c>
      <c r="CA133" s="53" t="str">
        <f>IFERROR(__xludf.DUMMYFUNCTION("IFERROR(REGEXEXTRACT(BZ133, ""(?i)[A-Z]+-D-E-([^-]+)-E""), """")"),"HQQE")</f>
        <v>HQQE</v>
      </c>
    </row>
    <row r="134" ht="11.25" customHeight="1">
      <c r="A134" s="46" t="s">
        <v>770</v>
      </c>
      <c r="B134" s="46">
        <v>7.4121742E7</v>
      </c>
      <c r="C134" s="47">
        <v>0.0</v>
      </c>
      <c r="D134" s="47">
        <v>15.0</v>
      </c>
      <c r="E134" s="47">
        <v>16.0</v>
      </c>
      <c r="F134" s="47">
        <v>20.0</v>
      </c>
      <c r="G134" s="47">
        <v>24.0</v>
      </c>
      <c r="H134" s="47">
        <v>28.0</v>
      </c>
      <c r="I134" s="47">
        <v>30.0</v>
      </c>
      <c r="J134" s="47">
        <v>32.0</v>
      </c>
      <c r="K134" s="47">
        <v>36.0</v>
      </c>
      <c r="L134" s="47">
        <v>40.0</v>
      </c>
      <c r="M134" s="48">
        <v>167.2689737036</v>
      </c>
      <c r="N134" s="47">
        <v>158.4987042731</v>
      </c>
      <c r="O134" s="47">
        <v>157.40199739000002</v>
      </c>
      <c r="P134" s="47">
        <v>151.8421787196</v>
      </c>
      <c r="Q134" s="47">
        <v>144.02184063800001</v>
      </c>
      <c r="R134" s="47">
        <v>133.429338358</v>
      </c>
      <c r="S134" s="47">
        <v>126.93363664760001</v>
      </c>
      <c r="T134" s="47">
        <v>119.55302709240001</v>
      </c>
      <c r="U134" s="47">
        <v>101.881262054</v>
      </c>
      <c r="V134" s="47">
        <v>80.0</v>
      </c>
      <c r="W134" s="49">
        <f>W118*9</f>
        <v>6.426</v>
      </c>
      <c r="X134" s="47">
        <v>10.575000000000001</v>
      </c>
      <c r="Y134" s="47">
        <v>10.872</v>
      </c>
      <c r="Z134" s="47">
        <v>11.997</v>
      </c>
      <c r="AA134" s="47">
        <v>13.049999999999999</v>
      </c>
      <c r="AB134" s="47">
        <v>14.013</v>
      </c>
      <c r="AC134" s="47">
        <v>14.472000000000001</v>
      </c>
      <c r="AD134" s="47">
        <v>14.859</v>
      </c>
      <c r="AE134" s="47">
        <v>15.498</v>
      </c>
      <c r="AF134" s="47">
        <v>15.57</v>
      </c>
      <c r="AG134" s="49">
        <v>1.321</v>
      </c>
      <c r="AH134" s="47">
        <v>1.312</v>
      </c>
      <c r="AI134" s="47">
        <v>1.308</v>
      </c>
      <c r="AJ134" s="47">
        <v>1.327</v>
      </c>
      <c r="AK134" s="47">
        <v>1.445</v>
      </c>
      <c r="AL134" s="47">
        <v>1.773</v>
      </c>
      <c r="AM134" s="47">
        <v>2.076</v>
      </c>
      <c r="AN134" s="47">
        <v>2.52</v>
      </c>
      <c r="AO134" s="47">
        <v>3.969</v>
      </c>
      <c r="AP134" s="47">
        <v>6.177</v>
      </c>
      <c r="AQ134" s="49">
        <v>0.0</v>
      </c>
      <c r="AR134" s="47">
        <v>60.2</v>
      </c>
      <c r="AS134" s="47">
        <v>63.5</v>
      </c>
      <c r="AT134" s="47">
        <v>71.16</v>
      </c>
      <c r="AU134" s="47">
        <v>74.88</v>
      </c>
      <c r="AV134" s="47">
        <v>76.29</v>
      </c>
      <c r="AW134" s="47">
        <v>76.07</v>
      </c>
      <c r="AX134" s="47">
        <v>75.18</v>
      </c>
      <c r="AY134" s="47">
        <v>71.16</v>
      </c>
      <c r="AZ134" s="47">
        <v>63.61</v>
      </c>
      <c r="BA134" s="50">
        <v>1152.0</v>
      </c>
      <c r="BB134" s="51">
        <v>542.0</v>
      </c>
      <c r="BC134" s="51">
        <v>313.0</v>
      </c>
      <c r="BD134" s="51">
        <v>257.0</v>
      </c>
      <c r="BE134" s="51" t="s">
        <v>732</v>
      </c>
      <c r="BF134" s="51" t="s">
        <v>733</v>
      </c>
      <c r="BG134" s="51" t="s">
        <v>734</v>
      </c>
      <c r="BH134" s="51"/>
      <c r="BI134" s="51">
        <v>170.0</v>
      </c>
      <c r="BJ134" s="51">
        <v>224.0</v>
      </c>
      <c r="BK134" s="51">
        <v>320.0</v>
      </c>
      <c r="BL134" s="51">
        <v>240.0</v>
      </c>
      <c r="BM134" s="51">
        <v>334.0</v>
      </c>
      <c r="BN134" s="51">
        <v>105.0</v>
      </c>
      <c r="BO134" s="51">
        <v>53.0</v>
      </c>
      <c r="BP134" s="51" t="s">
        <v>735</v>
      </c>
      <c r="BQ134" s="51" t="s">
        <v>642</v>
      </c>
      <c r="BR134" s="52">
        <v>25.0</v>
      </c>
      <c r="BS134" s="53" t="s">
        <v>736</v>
      </c>
      <c r="BT134" s="53" t="s">
        <v>736</v>
      </c>
      <c r="BU134" s="52">
        <v>18.5</v>
      </c>
      <c r="BV134" s="47">
        <f>IFERROR(__xludf.DUMMYFUNCTION("IFERROR(INDEX(motors!E:E, MATCH(1, (motors!A:A=REGEXEXTRACT(A134,""^\S+""))*(motors!B:B=BU134), 0)), """")"),34.2)</f>
        <v>34.2</v>
      </c>
      <c r="BW134" s="47">
        <f>IFERROR(__xludf.DUMMYFUNCTION("IFERROR(INDEX(motors!F:F, MATCH(1, (motors!A:A=REGEXEXTRACT(A134,""^\S+""))*(motors!B:B=BU134), 0)), """")"),19.7)</f>
        <v>19.7</v>
      </c>
      <c r="BX134" s="51">
        <v>2.0</v>
      </c>
      <c r="BY134" s="52">
        <v>220.0</v>
      </c>
      <c r="BZ134" s="53" t="s">
        <v>771</v>
      </c>
      <c r="CA134" s="53" t="str">
        <f>IFERROR(__xludf.DUMMYFUNCTION("IFERROR(REGEXEXTRACT(BZ134, ""(?i)[A-Z]+-D-E-([^-]+)-E""), """")"),"HQQE")</f>
        <v>HQQE</v>
      </c>
    </row>
    <row r="135" ht="11.25" customHeight="1">
      <c r="A135" s="55" t="s">
        <v>772</v>
      </c>
      <c r="B135" s="55">
        <v>7.4121743E7</v>
      </c>
      <c r="C135" s="56">
        <v>0.0</v>
      </c>
      <c r="D135" s="56">
        <v>15.0</v>
      </c>
      <c r="E135" s="56">
        <v>16.0</v>
      </c>
      <c r="F135" s="56">
        <v>20.0</v>
      </c>
      <c r="G135" s="56">
        <v>24.0</v>
      </c>
      <c r="H135" s="56">
        <v>28.0</v>
      </c>
      <c r="I135" s="56">
        <v>30.0</v>
      </c>
      <c r="J135" s="56">
        <v>32.0</v>
      </c>
      <c r="K135" s="56">
        <v>36.0</v>
      </c>
      <c r="L135" s="56">
        <v>40.0</v>
      </c>
      <c r="M135" s="48">
        <v>179.3103472285</v>
      </c>
      <c r="N135" s="56">
        <v>169.190743375</v>
      </c>
      <c r="O135" s="56">
        <v>168.0246792573</v>
      </c>
      <c r="P135" s="56">
        <v>162.1181635205</v>
      </c>
      <c r="Q135" s="56">
        <v>153.7718877613</v>
      </c>
      <c r="R135" s="56">
        <v>142.3829917173</v>
      </c>
      <c r="S135" s="56">
        <v>135.3591672565</v>
      </c>
      <c r="T135" s="56">
        <v>127.3486151261</v>
      </c>
      <c r="U135" s="56">
        <v>108.06589772529999</v>
      </c>
      <c r="V135" s="56">
        <v>84.0</v>
      </c>
      <c r="W135" s="49">
        <f>W117*2+W118*8</f>
        <v>6.562</v>
      </c>
      <c r="X135" s="56">
        <v>11.308</v>
      </c>
      <c r="Y135" s="56">
        <v>11.636</v>
      </c>
      <c r="Z135" s="56">
        <v>12.866</v>
      </c>
      <c r="AA135" s="56">
        <v>14.0</v>
      </c>
      <c r="AB135" s="56">
        <v>15.008</v>
      </c>
      <c r="AC135" s="56">
        <v>15.482000000000001</v>
      </c>
      <c r="AD135" s="56">
        <v>15.870000000000001</v>
      </c>
      <c r="AE135" s="56">
        <v>16.48</v>
      </c>
      <c r="AF135" s="56">
        <v>16.488</v>
      </c>
      <c r="AG135" s="49">
        <v>1.321</v>
      </c>
      <c r="AH135" s="56">
        <v>1.312</v>
      </c>
      <c r="AI135" s="56">
        <v>1.308</v>
      </c>
      <c r="AJ135" s="56">
        <v>1.327</v>
      </c>
      <c r="AK135" s="56">
        <v>1.445</v>
      </c>
      <c r="AL135" s="56">
        <v>1.773</v>
      </c>
      <c r="AM135" s="56">
        <v>2.076</v>
      </c>
      <c r="AN135" s="56">
        <v>2.52</v>
      </c>
      <c r="AO135" s="56">
        <v>3.969</v>
      </c>
      <c r="AP135" s="56">
        <v>6.177</v>
      </c>
      <c r="AQ135" s="49">
        <v>0.0</v>
      </c>
      <c r="AR135" s="56">
        <v>60.2</v>
      </c>
      <c r="AS135" s="56">
        <v>63.5</v>
      </c>
      <c r="AT135" s="56">
        <v>71.16</v>
      </c>
      <c r="AU135" s="56">
        <v>74.88</v>
      </c>
      <c r="AV135" s="56">
        <v>76.29</v>
      </c>
      <c r="AW135" s="56">
        <v>76.07</v>
      </c>
      <c r="AX135" s="56">
        <v>75.18</v>
      </c>
      <c r="AY135" s="56">
        <v>71.16</v>
      </c>
      <c r="AZ135" s="56">
        <v>63.61</v>
      </c>
      <c r="BA135" s="50">
        <v>1222.0</v>
      </c>
      <c r="BB135" s="57">
        <v>542.0</v>
      </c>
      <c r="BC135" s="57">
        <v>313.0</v>
      </c>
      <c r="BD135" s="57">
        <v>257.0</v>
      </c>
      <c r="BE135" s="57" t="s">
        <v>732</v>
      </c>
      <c r="BF135" s="57" t="s">
        <v>733</v>
      </c>
      <c r="BG135" s="57" t="s">
        <v>734</v>
      </c>
      <c r="BH135" s="57"/>
      <c r="BI135" s="57">
        <v>170.0</v>
      </c>
      <c r="BJ135" s="57">
        <v>224.0</v>
      </c>
      <c r="BK135" s="57">
        <v>320.0</v>
      </c>
      <c r="BL135" s="57">
        <v>240.0</v>
      </c>
      <c r="BM135" s="57">
        <v>334.0</v>
      </c>
      <c r="BN135" s="57">
        <v>105.0</v>
      </c>
      <c r="BO135" s="57">
        <v>53.0</v>
      </c>
      <c r="BP135" s="57" t="s">
        <v>735</v>
      </c>
      <c r="BQ135" s="57" t="s">
        <v>642</v>
      </c>
      <c r="BR135" s="58">
        <v>25.0</v>
      </c>
      <c r="BS135" s="59" t="s">
        <v>736</v>
      </c>
      <c r="BT135" s="59" t="s">
        <v>736</v>
      </c>
      <c r="BU135" s="58">
        <v>18.5</v>
      </c>
      <c r="BV135" s="47">
        <f>IFERROR(__xludf.DUMMYFUNCTION("IFERROR(INDEX(motors!E:E, MATCH(1, (motors!A:A=REGEXEXTRACT(A135,""^\S+""))*(motors!B:B=BU135), 0)), """")"),34.2)</f>
        <v>34.2</v>
      </c>
      <c r="BW135" s="47">
        <f>IFERROR(__xludf.DUMMYFUNCTION("IFERROR(INDEX(motors!F:F, MATCH(1, (motors!A:A=REGEXEXTRACT(A135,""^\S+""))*(motors!B:B=BU135), 0)), """")"),19.7)</f>
        <v>19.7</v>
      </c>
      <c r="BX135" s="57">
        <v>2.0</v>
      </c>
      <c r="BY135" s="58">
        <v>223.0</v>
      </c>
      <c r="BZ135" s="59" t="s">
        <v>773</v>
      </c>
      <c r="CA135" s="53" t="str">
        <f>IFERROR(__xludf.DUMMYFUNCTION("IFERROR(REGEXEXTRACT(BZ135, ""(?i)[A-Z]+-D-E-([^-]+)-E""), """")"),"HQQE")</f>
        <v>HQQE</v>
      </c>
    </row>
    <row r="136" ht="11.25" customHeight="1">
      <c r="A136" s="46" t="s">
        <v>774</v>
      </c>
      <c r="B136" s="46">
        <v>7.4121744E7</v>
      </c>
      <c r="C136" s="47">
        <v>0.0</v>
      </c>
      <c r="D136" s="47">
        <v>15.0</v>
      </c>
      <c r="E136" s="47">
        <v>16.0</v>
      </c>
      <c r="F136" s="47">
        <v>20.0</v>
      </c>
      <c r="G136" s="47">
        <v>24.0</v>
      </c>
      <c r="H136" s="47">
        <v>28.0</v>
      </c>
      <c r="I136" s="47">
        <v>30.0</v>
      </c>
      <c r="J136" s="47">
        <v>32.0</v>
      </c>
      <c r="K136" s="47">
        <v>36.0</v>
      </c>
      <c r="L136" s="47">
        <v>40.0</v>
      </c>
      <c r="M136" s="48">
        <v>185.4149205758</v>
      </c>
      <c r="N136" s="47">
        <v>175.85179052630002</v>
      </c>
      <c r="O136" s="47">
        <v>174.774479611</v>
      </c>
      <c r="P136" s="47">
        <v>169.17588936980002</v>
      </c>
      <c r="Q136" s="47">
        <v>160.98180708380002</v>
      </c>
      <c r="R136" s="47">
        <v>149.48218273060002</v>
      </c>
      <c r="S136" s="47">
        <v>142.2709016468</v>
      </c>
      <c r="T136" s="47">
        <v>133.9669662878</v>
      </c>
      <c r="U136" s="47">
        <v>113.72610773300002</v>
      </c>
      <c r="V136" s="47">
        <v>88.04955704380001</v>
      </c>
      <c r="W136" s="49">
        <f>W118*10</f>
        <v>7.14</v>
      </c>
      <c r="X136" s="47">
        <v>11.75</v>
      </c>
      <c r="Y136" s="47">
        <v>12.08</v>
      </c>
      <c r="Z136" s="47">
        <v>13.33</v>
      </c>
      <c r="AA136" s="47">
        <v>14.5</v>
      </c>
      <c r="AB136" s="47">
        <v>15.57</v>
      </c>
      <c r="AC136" s="47">
        <v>16.080000000000002</v>
      </c>
      <c r="AD136" s="47">
        <v>16.51</v>
      </c>
      <c r="AE136" s="47">
        <v>17.22</v>
      </c>
      <c r="AF136" s="47">
        <v>17.3</v>
      </c>
      <c r="AG136" s="49">
        <v>1.321</v>
      </c>
      <c r="AH136" s="47">
        <v>1.312</v>
      </c>
      <c r="AI136" s="47">
        <v>1.308</v>
      </c>
      <c r="AJ136" s="47">
        <v>1.327</v>
      </c>
      <c r="AK136" s="47">
        <v>1.445</v>
      </c>
      <c r="AL136" s="47">
        <v>1.773</v>
      </c>
      <c r="AM136" s="47">
        <v>2.076</v>
      </c>
      <c r="AN136" s="47">
        <v>2.52</v>
      </c>
      <c r="AO136" s="47">
        <v>3.969</v>
      </c>
      <c r="AP136" s="47">
        <v>6.177</v>
      </c>
      <c r="AQ136" s="49">
        <v>0.0</v>
      </c>
      <c r="AR136" s="47">
        <v>60.2</v>
      </c>
      <c r="AS136" s="47">
        <v>63.5</v>
      </c>
      <c r="AT136" s="47">
        <v>71.16</v>
      </c>
      <c r="AU136" s="47">
        <v>74.88</v>
      </c>
      <c r="AV136" s="47">
        <v>76.29</v>
      </c>
      <c r="AW136" s="47">
        <v>76.07</v>
      </c>
      <c r="AX136" s="47">
        <v>75.18</v>
      </c>
      <c r="AY136" s="47">
        <v>71.16</v>
      </c>
      <c r="AZ136" s="47">
        <v>63.61</v>
      </c>
      <c r="BA136" s="50">
        <v>1222.0</v>
      </c>
      <c r="BB136" s="51">
        <v>542.0</v>
      </c>
      <c r="BC136" s="51">
        <v>313.0</v>
      </c>
      <c r="BD136" s="51">
        <v>257.0</v>
      </c>
      <c r="BE136" s="51" t="s">
        <v>732</v>
      </c>
      <c r="BF136" s="51" t="s">
        <v>733</v>
      </c>
      <c r="BG136" s="51" t="s">
        <v>734</v>
      </c>
      <c r="BH136" s="51"/>
      <c r="BI136" s="51">
        <v>170.0</v>
      </c>
      <c r="BJ136" s="51">
        <v>224.0</v>
      </c>
      <c r="BK136" s="51">
        <v>320.0</v>
      </c>
      <c r="BL136" s="51">
        <v>240.0</v>
      </c>
      <c r="BM136" s="51">
        <v>334.0</v>
      </c>
      <c r="BN136" s="51">
        <v>105.0</v>
      </c>
      <c r="BO136" s="51">
        <v>53.0</v>
      </c>
      <c r="BP136" s="51" t="s">
        <v>735</v>
      </c>
      <c r="BQ136" s="51" t="s">
        <v>642</v>
      </c>
      <c r="BR136" s="52">
        <v>25.0</v>
      </c>
      <c r="BS136" s="53" t="s">
        <v>736</v>
      </c>
      <c r="BT136" s="53" t="s">
        <v>736</v>
      </c>
      <c r="BU136" s="52">
        <v>18.5</v>
      </c>
      <c r="BV136" s="47">
        <f>IFERROR(__xludf.DUMMYFUNCTION("IFERROR(INDEX(motors!E:E, MATCH(1, (motors!A:A=REGEXEXTRACT(A136,""^\S+""))*(motors!B:B=BU136), 0)), """")"),34.2)</f>
        <v>34.2</v>
      </c>
      <c r="BW136" s="47">
        <f>IFERROR(__xludf.DUMMYFUNCTION("IFERROR(INDEX(motors!F:F, MATCH(1, (motors!A:A=REGEXEXTRACT(A136,""^\S+""))*(motors!B:B=BU136), 0)), """")"),19.7)</f>
        <v>19.7</v>
      </c>
      <c r="BX136" s="51">
        <v>2.0</v>
      </c>
      <c r="BY136" s="52">
        <v>223.0</v>
      </c>
      <c r="BZ136" s="53" t="s">
        <v>775</v>
      </c>
      <c r="CA136" s="53" t="str">
        <f>IFERROR(__xludf.DUMMYFUNCTION("IFERROR(REGEXEXTRACT(BZ136, ""(?i)[A-Z]+-D-E-([^-]+)-E""), """")"),"HQQE")</f>
        <v>HQQE</v>
      </c>
    </row>
    <row r="137" ht="11.25" customHeight="1">
      <c r="A137" s="55" t="s">
        <v>776</v>
      </c>
      <c r="B137" s="55">
        <v>7.4121745E7</v>
      </c>
      <c r="C137" s="56">
        <v>0.0</v>
      </c>
      <c r="D137" s="56">
        <v>15.0</v>
      </c>
      <c r="E137" s="56">
        <v>16.0</v>
      </c>
      <c r="F137" s="56">
        <v>20.0</v>
      </c>
      <c r="G137" s="56">
        <v>24.0</v>
      </c>
      <c r="H137" s="56">
        <v>28.0</v>
      </c>
      <c r="I137" s="56">
        <v>30.0</v>
      </c>
      <c r="J137" s="56">
        <v>32.0</v>
      </c>
      <c r="K137" s="56">
        <v>36.0</v>
      </c>
      <c r="L137" s="56">
        <v>40.0</v>
      </c>
      <c r="M137" s="48">
        <v>198.3226142907</v>
      </c>
      <c r="N137" s="56">
        <v>185.62734479219998</v>
      </c>
      <c r="O137" s="56">
        <v>184.4072110571</v>
      </c>
      <c r="P137" s="56">
        <v>178.2575542727</v>
      </c>
      <c r="Q137" s="56">
        <v>169.49993900189997</v>
      </c>
      <c r="R137" s="56">
        <v>157.3645471967</v>
      </c>
      <c r="S137" s="56">
        <v>149.78961695369998</v>
      </c>
      <c r="T137" s="56">
        <v>141.08156080909998</v>
      </c>
      <c r="U137" s="56">
        <v>119.88116179109997</v>
      </c>
      <c r="V137" s="56">
        <v>92.99353209469999</v>
      </c>
      <c r="W137" s="49">
        <f>W117*2+W118*9</f>
        <v>7.276</v>
      </c>
      <c r="X137" s="56">
        <v>12.483</v>
      </c>
      <c r="Y137" s="56">
        <v>12.844</v>
      </c>
      <c r="Z137" s="56">
        <v>14.199</v>
      </c>
      <c r="AA137" s="56">
        <v>15.45</v>
      </c>
      <c r="AB137" s="56">
        <v>16.565</v>
      </c>
      <c r="AC137" s="56">
        <v>17.09</v>
      </c>
      <c r="AD137" s="56">
        <v>17.521</v>
      </c>
      <c r="AE137" s="56">
        <v>18.201999999999998</v>
      </c>
      <c r="AF137" s="56">
        <v>18.218</v>
      </c>
      <c r="AG137" s="49">
        <v>1.321</v>
      </c>
      <c r="AH137" s="56">
        <v>1.312</v>
      </c>
      <c r="AI137" s="56">
        <v>1.308</v>
      </c>
      <c r="AJ137" s="56">
        <v>1.327</v>
      </c>
      <c r="AK137" s="56">
        <v>1.445</v>
      </c>
      <c r="AL137" s="56">
        <v>1.773</v>
      </c>
      <c r="AM137" s="56">
        <v>2.076</v>
      </c>
      <c r="AN137" s="56">
        <v>2.52</v>
      </c>
      <c r="AO137" s="56">
        <v>3.969</v>
      </c>
      <c r="AP137" s="56">
        <v>6.177</v>
      </c>
      <c r="AQ137" s="49">
        <v>0.0</v>
      </c>
      <c r="AR137" s="56">
        <v>60.2</v>
      </c>
      <c r="AS137" s="56">
        <v>63.5</v>
      </c>
      <c r="AT137" s="56">
        <v>71.16</v>
      </c>
      <c r="AU137" s="56">
        <v>74.88</v>
      </c>
      <c r="AV137" s="56">
        <v>76.29</v>
      </c>
      <c r="AW137" s="56">
        <v>76.07</v>
      </c>
      <c r="AX137" s="56">
        <v>75.18</v>
      </c>
      <c r="AY137" s="56">
        <v>71.16</v>
      </c>
      <c r="AZ137" s="56">
        <v>63.61</v>
      </c>
      <c r="BA137" s="50">
        <v>1292.0</v>
      </c>
      <c r="BB137" s="57">
        <v>580.0</v>
      </c>
      <c r="BC137" s="57">
        <v>356.0</v>
      </c>
      <c r="BD137" s="57">
        <v>270.0</v>
      </c>
      <c r="BE137" s="57" t="s">
        <v>732</v>
      </c>
      <c r="BF137" s="57" t="s">
        <v>733</v>
      </c>
      <c r="BG137" s="57" t="s">
        <v>734</v>
      </c>
      <c r="BH137" s="57"/>
      <c r="BI137" s="57">
        <v>170.0</v>
      </c>
      <c r="BJ137" s="57">
        <v>224.0</v>
      </c>
      <c r="BK137" s="57">
        <v>320.0</v>
      </c>
      <c r="BL137" s="57">
        <v>240.0</v>
      </c>
      <c r="BM137" s="57">
        <v>334.0</v>
      </c>
      <c r="BN137" s="57">
        <v>105.0</v>
      </c>
      <c r="BO137" s="57">
        <v>53.0</v>
      </c>
      <c r="BP137" s="57" t="s">
        <v>735</v>
      </c>
      <c r="BQ137" s="57" t="s">
        <v>642</v>
      </c>
      <c r="BR137" s="58">
        <v>25.0</v>
      </c>
      <c r="BS137" s="59" t="s">
        <v>736</v>
      </c>
      <c r="BT137" s="59" t="s">
        <v>736</v>
      </c>
      <c r="BU137" s="58">
        <v>22.0</v>
      </c>
      <c r="BV137" s="47">
        <f>IFERROR(__xludf.DUMMYFUNCTION("IFERROR(INDEX(motors!E:E, MATCH(1, (motors!A:A=REGEXEXTRACT(A137,""^\S+""))*(motors!B:B=BU137), 0)), """")"),40.5)</f>
        <v>40.5</v>
      </c>
      <c r="BW137" s="47">
        <f>IFERROR(__xludf.DUMMYFUNCTION("IFERROR(INDEX(motors!F:F, MATCH(1, (motors!A:A=REGEXEXTRACT(A137,""^\S+""))*(motors!B:B=BU137), 0)), """")"),23.3)</f>
        <v>23.3</v>
      </c>
      <c r="BX137" s="57">
        <v>2.0</v>
      </c>
      <c r="BY137" s="58">
        <v>260.0</v>
      </c>
      <c r="BZ137" s="59" t="s">
        <v>777</v>
      </c>
      <c r="CA137" s="53" t="str">
        <f>IFERROR(__xludf.DUMMYFUNCTION("IFERROR(REGEXEXTRACT(BZ137, ""(?i)[A-Z]+-D-E-([^-]+)-E""), """")"),"HQQE")</f>
        <v>HQQE</v>
      </c>
    </row>
    <row r="138" ht="11.25" customHeight="1">
      <c r="A138" s="46" t="s">
        <v>778</v>
      </c>
      <c r="B138" s="46">
        <v>7.4121746E7</v>
      </c>
      <c r="C138" s="47">
        <v>0.0</v>
      </c>
      <c r="D138" s="47">
        <v>15.0</v>
      </c>
      <c r="E138" s="47">
        <v>16.0</v>
      </c>
      <c r="F138" s="47">
        <v>20.0</v>
      </c>
      <c r="G138" s="47">
        <v>24.0</v>
      </c>
      <c r="H138" s="47">
        <v>28.0</v>
      </c>
      <c r="I138" s="47">
        <v>30.0</v>
      </c>
      <c r="J138" s="47">
        <v>32.0</v>
      </c>
      <c r="K138" s="47">
        <v>36.0</v>
      </c>
      <c r="L138" s="47">
        <v>40.0</v>
      </c>
      <c r="M138" s="48">
        <v>204.326345154</v>
      </c>
      <c r="N138" s="47">
        <v>193.646557899</v>
      </c>
      <c r="O138" s="47">
        <v>192.4250393348</v>
      </c>
      <c r="P138" s="47">
        <v>186.233158584</v>
      </c>
      <c r="Q138" s="47">
        <v>177.3715467132</v>
      </c>
      <c r="R138" s="47">
        <v>164.9948986472</v>
      </c>
      <c r="S138" s="47">
        <v>157.20025470899998</v>
      </c>
      <c r="T138" s="47">
        <v>148.170051954</v>
      </c>
      <c r="U138" s="47">
        <v>125.8759868448</v>
      </c>
      <c r="V138" s="47">
        <v>97.003826174</v>
      </c>
      <c r="W138" s="49">
        <f>W118*11</f>
        <v>7.854</v>
      </c>
      <c r="X138" s="47">
        <v>12.925</v>
      </c>
      <c r="Y138" s="47">
        <v>13.288</v>
      </c>
      <c r="Z138" s="47">
        <v>14.663</v>
      </c>
      <c r="AA138" s="47">
        <v>15.95</v>
      </c>
      <c r="AB138" s="47">
        <v>17.127</v>
      </c>
      <c r="AC138" s="47">
        <v>17.688000000000002</v>
      </c>
      <c r="AD138" s="47">
        <v>18.161</v>
      </c>
      <c r="AE138" s="47">
        <v>18.942</v>
      </c>
      <c r="AF138" s="47">
        <v>19.03</v>
      </c>
      <c r="AG138" s="49">
        <v>1.321</v>
      </c>
      <c r="AH138" s="47">
        <v>1.312</v>
      </c>
      <c r="AI138" s="47">
        <v>1.308</v>
      </c>
      <c r="AJ138" s="47">
        <v>1.327</v>
      </c>
      <c r="AK138" s="47">
        <v>1.445</v>
      </c>
      <c r="AL138" s="47">
        <v>1.773</v>
      </c>
      <c r="AM138" s="47">
        <v>2.076</v>
      </c>
      <c r="AN138" s="47">
        <v>2.52</v>
      </c>
      <c r="AO138" s="47">
        <v>3.969</v>
      </c>
      <c r="AP138" s="47">
        <v>6.177</v>
      </c>
      <c r="AQ138" s="49">
        <v>0.0</v>
      </c>
      <c r="AR138" s="47">
        <v>60.2</v>
      </c>
      <c r="AS138" s="47">
        <v>63.5</v>
      </c>
      <c r="AT138" s="47">
        <v>71.16</v>
      </c>
      <c r="AU138" s="47">
        <v>74.88</v>
      </c>
      <c r="AV138" s="47">
        <v>76.29</v>
      </c>
      <c r="AW138" s="47">
        <v>76.07</v>
      </c>
      <c r="AX138" s="47">
        <v>75.18</v>
      </c>
      <c r="AY138" s="47">
        <v>71.16</v>
      </c>
      <c r="AZ138" s="47">
        <v>63.61</v>
      </c>
      <c r="BA138" s="50">
        <v>1292.0</v>
      </c>
      <c r="BB138" s="51">
        <v>580.0</v>
      </c>
      <c r="BC138" s="51">
        <v>356.0</v>
      </c>
      <c r="BD138" s="51">
        <v>270.0</v>
      </c>
      <c r="BE138" s="51" t="s">
        <v>732</v>
      </c>
      <c r="BF138" s="51" t="s">
        <v>733</v>
      </c>
      <c r="BG138" s="51" t="s">
        <v>734</v>
      </c>
      <c r="BH138" s="51"/>
      <c r="BI138" s="51">
        <v>170.0</v>
      </c>
      <c r="BJ138" s="51">
        <v>224.0</v>
      </c>
      <c r="BK138" s="51">
        <v>320.0</v>
      </c>
      <c r="BL138" s="51">
        <v>240.0</v>
      </c>
      <c r="BM138" s="51">
        <v>334.0</v>
      </c>
      <c r="BN138" s="51">
        <v>105.0</v>
      </c>
      <c r="BO138" s="51">
        <v>53.0</v>
      </c>
      <c r="BP138" s="51" t="s">
        <v>735</v>
      </c>
      <c r="BQ138" s="51" t="s">
        <v>642</v>
      </c>
      <c r="BR138" s="52">
        <v>25.0</v>
      </c>
      <c r="BS138" s="53" t="s">
        <v>736</v>
      </c>
      <c r="BT138" s="53" t="s">
        <v>736</v>
      </c>
      <c r="BU138" s="52">
        <v>22.0</v>
      </c>
      <c r="BV138" s="47">
        <f>IFERROR(__xludf.DUMMYFUNCTION("IFERROR(INDEX(motors!E:E, MATCH(1, (motors!A:A=REGEXEXTRACT(A138,""^\S+""))*(motors!B:B=BU138), 0)), """")"),40.5)</f>
        <v>40.5</v>
      </c>
      <c r="BW138" s="47">
        <f>IFERROR(__xludf.DUMMYFUNCTION("IFERROR(INDEX(motors!F:F, MATCH(1, (motors!A:A=REGEXEXTRACT(A138,""^\S+""))*(motors!B:B=BU138), 0)), """")"),23.3)</f>
        <v>23.3</v>
      </c>
      <c r="BX138" s="51">
        <v>2.0</v>
      </c>
      <c r="BY138" s="52">
        <v>260.0</v>
      </c>
      <c r="BZ138" s="53" t="s">
        <v>779</v>
      </c>
      <c r="CA138" s="53" t="str">
        <f>IFERROR(__xludf.DUMMYFUNCTION("IFERROR(REGEXEXTRACT(BZ138, ""(?i)[A-Z]+-D-E-([^-]+)-E""), """")"),"HQQE")</f>
        <v>HQQE</v>
      </c>
    </row>
    <row r="139" ht="11.25" customHeight="1">
      <c r="A139" s="55" t="s">
        <v>780</v>
      </c>
      <c r="B139" s="55">
        <v>7.4121747E7</v>
      </c>
      <c r="C139" s="56">
        <v>0.0</v>
      </c>
      <c r="D139" s="56">
        <v>15.0</v>
      </c>
      <c r="E139" s="56">
        <v>16.0</v>
      </c>
      <c r="F139" s="56">
        <v>20.0</v>
      </c>
      <c r="G139" s="56">
        <v>24.0</v>
      </c>
      <c r="H139" s="56">
        <v>28.0</v>
      </c>
      <c r="I139" s="56">
        <v>30.0</v>
      </c>
      <c r="J139" s="56">
        <v>32.0</v>
      </c>
      <c r="K139" s="56">
        <v>36.0</v>
      </c>
      <c r="L139" s="56">
        <v>40.0</v>
      </c>
      <c r="M139" s="48">
        <v>217.4012949234</v>
      </c>
      <c r="N139" s="56">
        <v>203.6921773389</v>
      </c>
      <c r="O139" s="56">
        <v>202.4283969986</v>
      </c>
      <c r="P139" s="56">
        <v>195.9851287574</v>
      </c>
      <c r="Q139" s="56">
        <v>186.6362150058</v>
      </c>
      <c r="R139" s="56">
        <v>173.4688417406</v>
      </c>
      <c r="S139" s="56">
        <v>165.1679784144</v>
      </c>
      <c r="T139" s="56">
        <v>155.5701949586</v>
      </c>
      <c r="U139" s="56">
        <v>132.0274606566</v>
      </c>
      <c r="V139" s="56">
        <v>102.0</v>
      </c>
      <c r="W139" s="49">
        <f>W117*2+W118*10</f>
        <v>7.99</v>
      </c>
      <c r="X139" s="56">
        <v>13.658</v>
      </c>
      <c r="Y139" s="56">
        <v>14.052</v>
      </c>
      <c r="Z139" s="56">
        <v>15.532</v>
      </c>
      <c r="AA139" s="56">
        <v>16.9</v>
      </c>
      <c r="AB139" s="56">
        <v>18.122</v>
      </c>
      <c r="AC139" s="56">
        <v>18.698</v>
      </c>
      <c r="AD139" s="56">
        <v>19.172</v>
      </c>
      <c r="AE139" s="56">
        <v>19.924</v>
      </c>
      <c r="AF139" s="56">
        <v>19.948</v>
      </c>
      <c r="AG139" s="49">
        <v>1.321</v>
      </c>
      <c r="AH139" s="56">
        <v>1.312</v>
      </c>
      <c r="AI139" s="56">
        <v>1.308</v>
      </c>
      <c r="AJ139" s="56">
        <v>1.327</v>
      </c>
      <c r="AK139" s="56">
        <v>1.445</v>
      </c>
      <c r="AL139" s="56">
        <v>1.773</v>
      </c>
      <c r="AM139" s="56">
        <v>2.076</v>
      </c>
      <c r="AN139" s="56">
        <v>2.52</v>
      </c>
      <c r="AO139" s="56">
        <v>3.969</v>
      </c>
      <c r="AP139" s="56">
        <v>6.177</v>
      </c>
      <c r="AQ139" s="49">
        <v>0.0</v>
      </c>
      <c r="AR139" s="56">
        <v>60.2</v>
      </c>
      <c r="AS139" s="56">
        <v>63.5</v>
      </c>
      <c r="AT139" s="56">
        <v>71.16</v>
      </c>
      <c r="AU139" s="56">
        <v>74.88</v>
      </c>
      <c r="AV139" s="56">
        <v>76.29</v>
      </c>
      <c r="AW139" s="56">
        <v>76.07</v>
      </c>
      <c r="AX139" s="56">
        <v>75.18</v>
      </c>
      <c r="AY139" s="56">
        <v>71.16</v>
      </c>
      <c r="AZ139" s="56">
        <v>63.61</v>
      </c>
      <c r="BA139" s="50">
        <v>1362.0</v>
      </c>
      <c r="BB139" s="57">
        <v>580.0</v>
      </c>
      <c r="BC139" s="57">
        <v>356.0</v>
      </c>
      <c r="BD139" s="57">
        <v>270.0</v>
      </c>
      <c r="BE139" s="57" t="s">
        <v>732</v>
      </c>
      <c r="BF139" s="57" t="s">
        <v>733</v>
      </c>
      <c r="BG139" s="57" t="s">
        <v>734</v>
      </c>
      <c r="BH139" s="57"/>
      <c r="BI139" s="57">
        <v>170.0</v>
      </c>
      <c r="BJ139" s="57">
        <v>224.0</v>
      </c>
      <c r="BK139" s="57">
        <v>320.0</v>
      </c>
      <c r="BL139" s="57">
        <v>240.0</v>
      </c>
      <c r="BM139" s="57">
        <v>334.0</v>
      </c>
      <c r="BN139" s="57">
        <v>105.0</v>
      </c>
      <c r="BO139" s="57">
        <v>53.0</v>
      </c>
      <c r="BP139" s="57" t="s">
        <v>735</v>
      </c>
      <c r="BQ139" s="57" t="s">
        <v>642</v>
      </c>
      <c r="BR139" s="58">
        <v>25.0</v>
      </c>
      <c r="BS139" s="59" t="s">
        <v>736</v>
      </c>
      <c r="BT139" s="59" t="s">
        <v>736</v>
      </c>
      <c r="BU139" s="58">
        <v>22.0</v>
      </c>
      <c r="BV139" s="47">
        <f>IFERROR(__xludf.DUMMYFUNCTION("IFERROR(INDEX(motors!E:E, MATCH(1, (motors!A:A=REGEXEXTRACT(A139,""^\S+""))*(motors!B:B=BU139), 0)), """")"),40.5)</f>
        <v>40.5</v>
      </c>
      <c r="BW139" s="47">
        <f>IFERROR(__xludf.DUMMYFUNCTION("IFERROR(INDEX(motors!F:F, MATCH(1, (motors!A:A=REGEXEXTRACT(A139,""^\S+""))*(motors!B:B=BU139), 0)), """")"),23.3)</f>
        <v>23.3</v>
      </c>
      <c r="BX139" s="57">
        <v>2.0</v>
      </c>
      <c r="BY139" s="58">
        <v>263.0</v>
      </c>
      <c r="BZ139" s="59" t="s">
        <v>781</v>
      </c>
      <c r="CA139" s="53" t="str">
        <f>IFERROR(__xludf.DUMMYFUNCTION("IFERROR(REGEXEXTRACT(BZ139, ""(?i)[A-Z]+-D-E-([^-]+)-E""), """")"),"HQQE")</f>
        <v>HQQE</v>
      </c>
    </row>
    <row r="140" ht="11.25" customHeight="1">
      <c r="A140" s="46" t="s">
        <v>782</v>
      </c>
      <c r="B140" s="46">
        <v>7.4121748E7</v>
      </c>
      <c r="C140" s="47">
        <v>0.0</v>
      </c>
      <c r="D140" s="47">
        <v>15.0</v>
      </c>
      <c r="E140" s="47">
        <v>16.0</v>
      </c>
      <c r="F140" s="47">
        <v>20.0</v>
      </c>
      <c r="G140" s="47">
        <v>24.0</v>
      </c>
      <c r="H140" s="47">
        <v>28.0</v>
      </c>
      <c r="I140" s="47">
        <v>30.0</v>
      </c>
      <c r="J140" s="47">
        <v>32.0</v>
      </c>
      <c r="K140" s="47">
        <v>36.0</v>
      </c>
      <c r="L140" s="47">
        <v>40.0</v>
      </c>
      <c r="M140" s="48">
        <v>223.3463478759</v>
      </c>
      <c r="N140" s="47">
        <v>211.1533628349</v>
      </c>
      <c r="O140" s="47">
        <v>209.8520188007</v>
      </c>
      <c r="P140" s="47">
        <v>203.1452122279</v>
      </c>
      <c r="Q140" s="47">
        <v>193.3947175719</v>
      </c>
      <c r="R140" s="47">
        <v>179.7453356519</v>
      </c>
      <c r="S140" s="47">
        <v>171.19131222389998</v>
      </c>
      <c r="T140" s="47">
        <v>161.3418672871</v>
      </c>
      <c r="U140" s="47">
        <v>137.32911329669997</v>
      </c>
      <c r="V140" s="47">
        <v>107.0</v>
      </c>
      <c r="W140" s="49">
        <f>W118*12</f>
        <v>8.568</v>
      </c>
      <c r="X140" s="47">
        <v>14.100000000000001</v>
      </c>
      <c r="Y140" s="47">
        <v>14.495999999999999</v>
      </c>
      <c r="Z140" s="47">
        <v>15.995999999999999</v>
      </c>
      <c r="AA140" s="47">
        <v>17.4</v>
      </c>
      <c r="AB140" s="47">
        <v>18.683999999999997</v>
      </c>
      <c r="AC140" s="47">
        <v>19.296</v>
      </c>
      <c r="AD140" s="47">
        <v>19.812</v>
      </c>
      <c r="AE140" s="47">
        <v>20.664</v>
      </c>
      <c r="AF140" s="47">
        <v>20.759999999999998</v>
      </c>
      <c r="AG140" s="49">
        <v>1.321</v>
      </c>
      <c r="AH140" s="47">
        <v>1.312</v>
      </c>
      <c r="AI140" s="47">
        <v>1.308</v>
      </c>
      <c r="AJ140" s="47">
        <v>1.327</v>
      </c>
      <c r="AK140" s="47">
        <v>1.445</v>
      </c>
      <c r="AL140" s="47">
        <v>1.773</v>
      </c>
      <c r="AM140" s="47">
        <v>2.076</v>
      </c>
      <c r="AN140" s="47">
        <v>2.52</v>
      </c>
      <c r="AO140" s="47">
        <v>3.969</v>
      </c>
      <c r="AP140" s="47">
        <v>6.177</v>
      </c>
      <c r="AQ140" s="49">
        <v>0.0</v>
      </c>
      <c r="AR140" s="47">
        <v>60.2</v>
      </c>
      <c r="AS140" s="47">
        <v>63.5</v>
      </c>
      <c r="AT140" s="47">
        <v>71.16</v>
      </c>
      <c r="AU140" s="47">
        <v>74.88</v>
      </c>
      <c r="AV140" s="47">
        <v>76.29</v>
      </c>
      <c r="AW140" s="47">
        <v>76.07</v>
      </c>
      <c r="AX140" s="47">
        <v>75.18</v>
      </c>
      <c r="AY140" s="47">
        <v>71.16</v>
      </c>
      <c r="AZ140" s="47">
        <v>63.61</v>
      </c>
      <c r="BA140" s="50">
        <v>1362.0</v>
      </c>
      <c r="BB140" s="51">
        <v>580.0</v>
      </c>
      <c r="BC140" s="51">
        <v>356.0</v>
      </c>
      <c r="BD140" s="51">
        <v>270.0</v>
      </c>
      <c r="BE140" s="51" t="s">
        <v>732</v>
      </c>
      <c r="BF140" s="51" t="s">
        <v>733</v>
      </c>
      <c r="BG140" s="51" t="s">
        <v>734</v>
      </c>
      <c r="BH140" s="51"/>
      <c r="BI140" s="51">
        <v>170.0</v>
      </c>
      <c r="BJ140" s="51">
        <v>224.0</v>
      </c>
      <c r="BK140" s="51">
        <v>320.0</v>
      </c>
      <c r="BL140" s="51">
        <v>240.0</v>
      </c>
      <c r="BM140" s="51">
        <v>334.0</v>
      </c>
      <c r="BN140" s="51">
        <v>105.0</v>
      </c>
      <c r="BO140" s="51">
        <v>53.0</v>
      </c>
      <c r="BP140" s="51" t="s">
        <v>735</v>
      </c>
      <c r="BQ140" s="51" t="s">
        <v>642</v>
      </c>
      <c r="BR140" s="52">
        <v>25.0</v>
      </c>
      <c r="BS140" s="53" t="s">
        <v>736</v>
      </c>
      <c r="BT140" s="53" t="s">
        <v>736</v>
      </c>
      <c r="BU140" s="52">
        <v>22.0</v>
      </c>
      <c r="BV140" s="47">
        <f>IFERROR(__xludf.DUMMYFUNCTION("IFERROR(INDEX(motors!E:E, MATCH(1, (motors!A:A=REGEXEXTRACT(A140,""^\S+""))*(motors!B:B=BU140), 0)), """")"),40.5)</f>
        <v>40.5</v>
      </c>
      <c r="BW140" s="47">
        <f>IFERROR(__xludf.DUMMYFUNCTION("IFERROR(INDEX(motors!F:F, MATCH(1, (motors!A:A=REGEXEXTRACT(A140,""^\S+""))*(motors!B:B=BU140), 0)), """")"),23.3)</f>
        <v>23.3</v>
      </c>
      <c r="BX140" s="51">
        <v>2.0</v>
      </c>
      <c r="BY140" s="52">
        <v>263.0</v>
      </c>
      <c r="BZ140" s="53" t="s">
        <v>783</v>
      </c>
      <c r="CA140" s="53" t="str">
        <f>IFERROR(__xludf.DUMMYFUNCTION("IFERROR(REGEXEXTRACT(BZ140, ""(?i)[A-Z]+-D-E-([^-]+)-E""), """")"),"HQQE")</f>
        <v>HQQE</v>
      </c>
    </row>
    <row r="141" ht="11.25" customHeight="1">
      <c r="A141" s="55" t="s">
        <v>784</v>
      </c>
      <c r="B141" s="55">
        <v>7.4121749E7</v>
      </c>
      <c r="C141" s="56">
        <v>0.0</v>
      </c>
      <c r="D141" s="56">
        <v>15.0</v>
      </c>
      <c r="E141" s="56">
        <v>16.0</v>
      </c>
      <c r="F141" s="56">
        <v>20.0</v>
      </c>
      <c r="G141" s="56">
        <v>24.0</v>
      </c>
      <c r="H141" s="56">
        <v>28.0</v>
      </c>
      <c r="I141" s="56">
        <v>30.0</v>
      </c>
      <c r="J141" s="56">
        <v>32.0</v>
      </c>
      <c r="K141" s="56">
        <v>36.0</v>
      </c>
      <c r="L141" s="56">
        <v>40.0</v>
      </c>
      <c r="M141" s="48">
        <v>236.1014009544</v>
      </c>
      <c r="N141" s="56">
        <v>221.5843367274</v>
      </c>
      <c r="O141" s="56">
        <v>220.1484261912</v>
      </c>
      <c r="P141" s="56">
        <v>212.8811205084</v>
      </c>
      <c r="Q141" s="56">
        <v>202.5002110464</v>
      </c>
      <c r="R141" s="56">
        <v>188.104708314</v>
      </c>
      <c r="S141" s="56">
        <v>179.1199252554</v>
      </c>
      <c r="T141" s="56">
        <v>168.79362282</v>
      </c>
      <c r="U141" s="56">
        <v>143.6659650732</v>
      </c>
      <c r="V141" s="56">
        <v>112.0</v>
      </c>
      <c r="W141" s="49">
        <f>W117*2+W118*11</f>
        <v>8.704</v>
      </c>
      <c r="X141" s="56">
        <v>14.833</v>
      </c>
      <c r="Y141" s="56">
        <v>15.26</v>
      </c>
      <c r="Z141" s="56">
        <v>16.865000000000002</v>
      </c>
      <c r="AA141" s="56">
        <v>18.349999999999998</v>
      </c>
      <c r="AB141" s="56">
        <v>19.679</v>
      </c>
      <c r="AC141" s="56">
        <v>20.306</v>
      </c>
      <c r="AD141" s="56">
        <v>20.823</v>
      </c>
      <c r="AE141" s="56">
        <v>21.646</v>
      </c>
      <c r="AF141" s="56">
        <v>21.678</v>
      </c>
      <c r="AG141" s="49">
        <v>1.321</v>
      </c>
      <c r="AH141" s="56">
        <v>1.312</v>
      </c>
      <c r="AI141" s="56">
        <v>1.308</v>
      </c>
      <c r="AJ141" s="56">
        <v>1.327</v>
      </c>
      <c r="AK141" s="56">
        <v>1.445</v>
      </c>
      <c r="AL141" s="56">
        <v>1.773</v>
      </c>
      <c r="AM141" s="56">
        <v>2.076</v>
      </c>
      <c r="AN141" s="56">
        <v>2.52</v>
      </c>
      <c r="AO141" s="56">
        <v>3.969</v>
      </c>
      <c r="AP141" s="56">
        <v>6.177</v>
      </c>
      <c r="AQ141" s="49">
        <v>0.0</v>
      </c>
      <c r="AR141" s="56">
        <v>60.2</v>
      </c>
      <c r="AS141" s="56">
        <v>63.5</v>
      </c>
      <c r="AT141" s="56">
        <v>71.16</v>
      </c>
      <c r="AU141" s="56">
        <v>74.88</v>
      </c>
      <c r="AV141" s="56">
        <v>76.29</v>
      </c>
      <c r="AW141" s="56">
        <v>76.07</v>
      </c>
      <c r="AX141" s="56">
        <v>75.18</v>
      </c>
      <c r="AY141" s="56">
        <v>71.16</v>
      </c>
      <c r="AZ141" s="56">
        <v>63.61</v>
      </c>
      <c r="BA141" s="50">
        <v>1432.0</v>
      </c>
      <c r="BB141" s="57">
        <v>653.0</v>
      </c>
      <c r="BC141" s="57">
        <v>395.0</v>
      </c>
      <c r="BD141" s="57">
        <v>304.0</v>
      </c>
      <c r="BE141" s="57" t="s">
        <v>732</v>
      </c>
      <c r="BF141" s="57" t="s">
        <v>733</v>
      </c>
      <c r="BG141" s="57" t="s">
        <v>734</v>
      </c>
      <c r="BH141" s="57"/>
      <c r="BI141" s="57">
        <v>170.0</v>
      </c>
      <c r="BJ141" s="57">
        <v>224.0</v>
      </c>
      <c r="BK141" s="57">
        <v>320.0</v>
      </c>
      <c r="BL141" s="57">
        <v>240.0</v>
      </c>
      <c r="BM141" s="57">
        <v>334.0</v>
      </c>
      <c r="BN141" s="57">
        <v>105.0</v>
      </c>
      <c r="BO141" s="57">
        <v>53.0</v>
      </c>
      <c r="BP141" s="57" t="s">
        <v>735</v>
      </c>
      <c r="BQ141" s="57" t="s">
        <v>642</v>
      </c>
      <c r="BR141" s="58">
        <v>30.0</v>
      </c>
      <c r="BS141" s="59" t="s">
        <v>736</v>
      </c>
      <c r="BT141" s="59" t="s">
        <v>736</v>
      </c>
      <c r="BU141" s="58">
        <v>30.0</v>
      </c>
      <c r="BV141" s="47">
        <f>IFERROR(__xludf.DUMMYFUNCTION("IFERROR(INDEX(motors!E:E, MATCH(1, (motors!A:A=REGEXEXTRACT(A141,""^\S+""))*(motors!B:B=BU141), 0)), """")"),54.9)</f>
        <v>54.9</v>
      </c>
      <c r="BW141" s="47">
        <f>IFERROR(__xludf.DUMMYFUNCTION("IFERROR(INDEX(motors!F:F, MATCH(1, (motors!A:A=REGEXEXTRACT(A141,""^\S+""))*(motors!B:B=BU141), 0)), """")"),31.6)</f>
        <v>31.6</v>
      </c>
      <c r="BX141" s="57">
        <v>2.0</v>
      </c>
      <c r="BY141" s="58">
        <v>328.0</v>
      </c>
      <c r="BZ141" s="59" t="s">
        <v>785</v>
      </c>
      <c r="CA141" s="53" t="str">
        <f>IFERROR(__xludf.DUMMYFUNCTION("IFERROR(REGEXEXTRACT(BZ141, ""(?i)[A-Z]+-D-E-([^-]+)-E""), """")"),"HQQE")</f>
        <v>HQQE</v>
      </c>
    </row>
    <row r="142" ht="11.25" customHeight="1">
      <c r="A142" s="46" t="s">
        <v>786</v>
      </c>
      <c r="B142" s="46">
        <v>7.412175E7</v>
      </c>
      <c r="C142" s="47">
        <v>0.0</v>
      </c>
      <c r="D142" s="47">
        <v>15.0</v>
      </c>
      <c r="E142" s="47">
        <v>16.0</v>
      </c>
      <c r="F142" s="47">
        <v>20.0</v>
      </c>
      <c r="G142" s="47">
        <v>24.0</v>
      </c>
      <c r="H142" s="47">
        <v>28.0</v>
      </c>
      <c r="I142" s="47">
        <v>30.0</v>
      </c>
      <c r="J142" s="47">
        <v>32.0</v>
      </c>
      <c r="K142" s="47">
        <v>36.0</v>
      </c>
      <c r="L142" s="47">
        <v>40.0</v>
      </c>
      <c r="M142" s="48">
        <v>242.4190435422</v>
      </c>
      <c r="N142" s="47">
        <v>228.4415795037</v>
      </c>
      <c r="O142" s="47">
        <v>227.130458987</v>
      </c>
      <c r="P142" s="47">
        <v>220.3518451442</v>
      </c>
      <c r="Q142" s="47">
        <v>210.3554062038</v>
      </c>
      <c r="R142" s="47">
        <v>196.1235231578</v>
      </c>
      <c r="S142" s="47">
        <v>187.1012841552</v>
      </c>
      <c r="T142" s="47">
        <v>176.6385769982</v>
      </c>
      <c r="U142" s="47">
        <v>150.882948717</v>
      </c>
      <c r="V142" s="47">
        <v>118.0</v>
      </c>
      <c r="W142" s="49">
        <f>W118*13</f>
        <v>9.282</v>
      </c>
      <c r="X142" s="47">
        <v>15.275</v>
      </c>
      <c r="Y142" s="47">
        <v>15.703999999999999</v>
      </c>
      <c r="Z142" s="47">
        <v>17.329</v>
      </c>
      <c r="AA142" s="47">
        <v>18.849999999999998</v>
      </c>
      <c r="AB142" s="47">
        <v>20.241</v>
      </c>
      <c r="AC142" s="47">
        <v>20.904</v>
      </c>
      <c r="AD142" s="47">
        <v>21.463</v>
      </c>
      <c r="AE142" s="47">
        <v>22.386</v>
      </c>
      <c r="AF142" s="47">
        <v>22.49</v>
      </c>
      <c r="AG142" s="49">
        <v>1.321</v>
      </c>
      <c r="AH142" s="47">
        <v>1.312</v>
      </c>
      <c r="AI142" s="47">
        <v>1.308</v>
      </c>
      <c r="AJ142" s="47">
        <v>1.327</v>
      </c>
      <c r="AK142" s="47">
        <v>1.445</v>
      </c>
      <c r="AL142" s="47">
        <v>1.773</v>
      </c>
      <c r="AM142" s="47">
        <v>2.076</v>
      </c>
      <c r="AN142" s="47">
        <v>2.52</v>
      </c>
      <c r="AO142" s="47">
        <v>3.969</v>
      </c>
      <c r="AP142" s="47">
        <v>6.177</v>
      </c>
      <c r="AQ142" s="49">
        <v>0.0</v>
      </c>
      <c r="AR142" s="47">
        <v>60.2</v>
      </c>
      <c r="AS142" s="47">
        <v>63.5</v>
      </c>
      <c r="AT142" s="47">
        <v>71.16</v>
      </c>
      <c r="AU142" s="47">
        <v>74.88</v>
      </c>
      <c r="AV142" s="47">
        <v>76.29</v>
      </c>
      <c r="AW142" s="47">
        <v>76.07</v>
      </c>
      <c r="AX142" s="47">
        <v>75.18</v>
      </c>
      <c r="AY142" s="47">
        <v>71.16</v>
      </c>
      <c r="AZ142" s="47">
        <v>63.61</v>
      </c>
      <c r="BA142" s="50">
        <v>1432.0</v>
      </c>
      <c r="BB142" s="51">
        <v>653.0</v>
      </c>
      <c r="BC142" s="51">
        <v>395.0</v>
      </c>
      <c r="BD142" s="51">
        <v>304.0</v>
      </c>
      <c r="BE142" s="51" t="s">
        <v>732</v>
      </c>
      <c r="BF142" s="51" t="s">
        <v>733</v>
      </c>
      <c r="BG142" s="51" t="s">
        <v>734</v>
      </c>
      <c r="BH142" s="51"/>
      <c r="BI142" s="51">
        <v>170.0</v>
      </c>
      <c r="BJ142" s="51">
        <v>224.0</v>
      </c>
      <c r="BK142" s="51">
        <v>320.0</v>
      </c>
      <c r="BL142" s="51">
        <v>240.0</v>
      </c>
      <c r="BM142" s="51">
        <v>334.0</v>
      </c>
      <c r="BN142" s="51">
        <v>105.0</v>
      </c>
      <c r="BO142" s="51">
        <v>53.0</v>
      </c>
      <c r="BP142" s="51" t="s">
        <v>735</v>
      </c>
      <c r="BQ142" s="51" t="s">
        <v>642</v>
      </c>
      <c r="BR142" s="52">
        <v>30.0</v>
      </c>
      <c r="BS142" s="53" t="s">
        <v>736</v>
      </c>
      <c r="BT142" s="53" t="s">
        <v>736</v>
      </c>
      <c r="BU142" s="52">
        <v>30.0</v>
      </c>
      <c r="BV142" s="47">
        <f>IFERROR(__xludf.DUMMYFUNCTION("IFERROR(INDEX(motors!E:E, MATCH(1, (motors!A:A=REGEXEXTRACT(A142,""^\S+""))*(motors!B:B=BU142), 0)), """")"),54.9)</f>
        <v>54.9</v>
      </c>
      <c r="BW142" s="47">
        <f>IFERROR(__xludf.DUMMYFUNCTION("IFERROR(INDEX(motors!F:F, MATCH(1, (motors!A:A=REGEXEXTRACT(A142,""^\S+""))*(motors!B:B=BU142), 0)), """")"),31.6)</f>
        <v>31.6</v>
      </c>
      <c r="BX142" s="51">
        <v>2.0</v>
      </c>
      <c r="BY142" s="52">
        <v>328.0</v>
      </c>
      <c r="BZ142" s="53" t="s">
        <v>787</v>
      </c>
      <c r="CA142" s="53" t="str">
        <f>IFERROR(__xludf.DUMMYFUNCTION("IFERROR(REGEXEXTRACT(BZ142, ""(?i)[A-Z]+-D-E-([^-]+)-E""), """")"),"HQQE")</f>
        <v>HQQE</v>
      </c>
    </row>
    <row r="143" ht="11.25" customHeight="1">
      <c r="A143" s="55" t="s">
        <v>788</v>
      </c>
      <c r="B143" s="55">
        <v>7.4121751E7</v>
      </c>
      <c r="C143" s="56">
        <v>0.0</v>
      </c>
      <c r="D143" s="56">
        <v>15.0</v>
      </c>
      <c r="E143" s="56">
        <v>16.0</v>
      </c>
      <c r="F143" s="56">
        <v>20.0</v>
      </c>
      <c r="G143" s="56">
        <v>24.0</v>
      </c>
      <c r="H143" s="56">
        <v>28.0</v>
      </c>
      <c r="I143" s="56">
        <v>30.0</v>
      </c>
      <c r="J143" s="56">
        <v>32.0</v>
      </c>
      <c r="K143" s="56">
        <v>36.0</v>
      </c>
      <c r="L143" s="56">
        <v>40.0</v>
      </c>
      <c r="M143" s="48">
        <v>255.4835688719</v>
      </c>
      <c r="N143" s="56">
        <v>239.3283079439</v>
      </c>
      <c r="O143" s="56">
        <v>237.9120560063</v>
      </c>
      <c r="P143" s="56">
        <v>230.69560707789998</v>
      </c>
      <c r="Q143" s="56">
        <v>220.1851257047</v>
      </c>
      <c r="R143" s="56">
        <v>205.2983098067</v>
      </c>
      <c r="S143" s="56">
        <v>195.8755570109</v>
      </c>
      <c r="T143" s="56">
        <v>184.9528573039</v>
      </c>
      <c r="U143" s="56">
        <v>158.0664661163</v>
      </c>
      <c r="V143" s="56">
        <v>124.0</v>
      </c>
      <c r="W143" s="49">
        <f>W117*2+W118*12</f>
        <v>9.418</v>
      </c>
      <c r="X143" s="56">
        <v>16.008000000000003</v>
      </c>
      <c r="Y143" s="56">
        <v>16.468</v>
      </c>
      <c r="Z143" s="56">
        <v>18.198</v>
      </c>
      <c r="AA143" s="56">
        <v>19.799999999999997</v>
      </c>
      <c r="AB143" s="56">
        <v>21.235999999999997</v>
      </c>
      <c r="AC143" s="56">
        <v>21.913999999999998</v>
      </c>
      <c r="AD143" s="56">
        <v>22.474</v>
      </c>
      <c r="AE143" s="56">
        <v>23.368000000000002</v>
      </c>
      <c r="AF143" s="56">
        <v>23.407999999999998</v>
      </c>
      <c r="AG143" s="49">
        <v>1.321</v>
      </c>
      <c r="AH143" s="56">
        <v>1.312</v>
      </c>
      <c r="AI143" s="56">
        <v>1.308</v>
      </c>
      <c r="AJ143" s="56">
        <v>1.327</v>
      </c>
      <c r="AK143" s="56">
        <v>1.445</v>
      </c>
      <c r="AL143" s="56">
        <v>1.773</v>
      </c>
      <c r="AM143" s="56">
        <v>2.076</v>
      </c>
      <c r="AN143" s="56">
        <v>2.52</v>
      </c>
      <c r="AO143" s="56">
        <v>3.969</v>
      </c>
      <c r="AP143" s="56">
        <v>6.177</v>
      </c>
      <c r="AQ143" s="49">
        <v>0.0</v>
      </c>
      <c r="AR143" s="56">
        <v>60.2</v>
      </c>
      <c r="AS143" s="56">
        <v>63.5</v>
      </c>
      <c r="AT143" s="56">
        <v>71.16</v>
      </c>
      <c r="AU143" s="56">
        <v>74.88</v>
      </c>
      <c r="AV143" s="56">
        <v>76.29</v>
      </c>
      <c r="AW143" s="56">
        <v>76.07</v>
      </c>
      <c r="AX143" s="56">
        <v>75.18</v>
      </c>
      <c r="AY143" s="56">
        <v>71.16</v>
      </c>
      <c r="AZ143" s="56">
        <v>63.61</v>
      </c>
      <c r="BA143" s="50">
        <v>1502.0</v>
      </c>
      <c r="BB143" s="57">
        <v>653.0</v>
      </c>
      <c r="BC143" s="57">
        <v>395.0</v>
      </c>
      <c r="BD143" s="57">
        <v>304.0</v>
      </c>
      <c r="BE143" s="57" t="s">
        <v>732</v>
      </c>
      <c r="BF143" s="57" t="s">
        <v>733</v>
      </c>
      <c r="BG143" s="57" t="s">
        <v>734</v>
      </c>
      <c r="BH143" s="57"/>
      <c r="BI143" s="57">
        <v>170.0</v>
      </c>
      <c r="BJ143" s="57">
        <v>224.0</v>
      </c>
      <c r="BK143" s="57">
        <v>320.0</v>
      </c>
      <c r="BL143" s="57">
        <v>240.0</v>
      </c>
      <c r="BM143" s="57">
        <v>334.0</v>
      </c>
      <c r="BN143" s="57">
        <v>105.0</v>
      </c>
      <c r="BO143" s="57">
        <v>53.0</v>
      </c>
      <c r="BP143" s="57" t="s">
        <v>735</v>
      </c>
      <c r="BQ143" s="57" t="s">
        <v>642</v>
      </c>
      <c r="BR143" s="58">
        <v>30.0</v>
      </c>
      <c r="BS143" s="59" t="s">
        <v>736</v>
      </c>
      <c r="BT143" s="59" t="s">
        <v>736</v>
      </c>
      <c r="BU143" s="58">
        <v>30.0</v>
      </c>
      <c r="BV143" s="47">
        <f>IFERROR(__xludf.DUMMYFUNCTION("IFERROR(INDEX(motors!E:E, MATCH(1, (motors!A:A=REGEXEXTRACT(A143,""^\S+""))*(motors!B:B=BU143), 0)), """")"),54.9)</f>
        <v>54.9</v>
      </c>
      <c r="BW143" s="47">
        <f>IFERROR(__xludf.DUMMYFUNCTION("IFERROR(INDEX(motors!F:F, MATCH(1, (motors!A:A=REGEXEXTRACT(A143,""^\S+""))*(motors!B:B=BU143), 0)), """")"),31.6)</f>
        <v>31.6</v>
      </c>
      <c r="BX143" s="57">
        <v>2.0</v>
      </c>
      <c r="BY143" s="58">
        <v>332.0</v>
      </c>
      <c r="BZ143" s="59" t="s">
        <v>789</v>
      </c>
      <c r="CA143" s="53" t="str">
        <f>IFERROR(__xludf.DUMMYFUNCTION("IFERROR(REGEXEXTRACT(BZ143, ""(?i)[A-Z]+-D-E-([^-]+)-E""), """")"),"HQQE")</f>
        <v>HQQE</v>
      </c>
    </row>
    <row r="144" ht="11.25" customHeight="1">
      <c r="A144" s="46" t="s">
        <v>790</v>
      </c>
      <c r="B144" s="46">
        <v>7.4121752E7</v>
      </c>
      <c r="C144" s="47">
        <v>0.0</v>
      </c>
      <c r="D144" s="47">
        <v>15.0</v>
      </c>
      <c r="E144" s="47">
        <v>16.0</v>
      </c>
      <c r="F144" s="47">
        <v>20.0</v>
      </c>
      <c r="G144" s="47">
        <v>24.0</v>
      </c>
      <c r="H144" s="47">
        <v>28.0</v>
      </c>
      <c r="I144" s="47">
        <v>30.0</v>
      </c>
      <c r="J144" s="47">
        <v>32.0</v>
      </c>
      <c r="K144" s="47">
        <v>36.0</v>
      </c>
      <c r="L144" s="47">
        <v>40.0</v>
      </c>
      <c r="M144" s="48">
        <v>260.0305274727</v>
      </c>
      <c r="N144" s="47">
        <v>246.31183235069997</v>
      </c>
      <c r="O144" s="47">
        <v>244.91904800389997</v>
      </c>
      <c r="P144" s="47">
        <v>237.68707373669997</v>
      </c>
      <c r="Q144" s="47">
        <v>227.0323421127</v>
      </c>
      <c r="R144" s="47">
        <v>211.9342953335</v>
      </c>
      <c r="S144" s="47">
        <v>202.40010444869998</v>
      </c>
      <c r="T144" s="47">
        <v>191.3723756007</v>
      </c>
      <c r="U144" s="47">
        <v>164.3260251159</v>
      </c>
      <c r="V144" s="47">
        <v>130.0</v>
      </c>
      <c r="W144" s="49">
        <f>W118*14</f>
        <v>9.996</v>
      </c>
      <c r="X144" s="47">
        <v>16.45</v>
      </c>
      <c r="Y144" s="47">
        <v>16.912</v>
      </c>
      <c r="Z144" s="47">
        <v>18.662</v>
      </c>
      <c r="AA144" s="47">
        <v>20.3</v>
      </c>
      <c r="AB144" s="47">
        <v>21.798</v>
      </c>
      <c r="AC144" s="47">
        <v>22.512</v>
      </c>
      <c r="AD144" s="47">
        <v>23.114</v>
      </c>
      <c r="AE144" s="47">
        <v>24.108</v>
      </c>
      <c r="AF144" s="47">
        <v>24.22</v>
      </c>
      <c r="AG144" s="49">
        <v>1.321</v>
      </c>
      <c r="AH144" s="47">
        <v>1.312</v>
      </c>
      <c r="AI144" s="47">
        <v>1.308</v>
      </c>
      <c r="AJ144" s="47">
        <v>1.327</v>
      </c>
      <c r="AK144" s="47">
        <v>1.445</v>
      </c>
      <c r="AL144" s="47">
        <v>1.773</v>
      </c>
      <c r="AM144" s="47">
        <v>2.076</v>
      </c>
      <c r="AN144" s="47">
        <v>2.52</v>
      </c>
      <c r="AO144" s="47">
        <v>3.969</v>
      </c>
      <c r="AP144" s="47">
        <v>6.177</v>
      </c>
      <c r="AQ144" s="49">
        <v>0.0</v>
      </c>
      <c r="AR144" s="47">
        <v>60.2</v>
      </c>
      <c r="AS144" s="47">
        <v>63.5</v>
      </c>
      <c r="AT144" s="47">
        <v>71.16</v>
      </c>
      <c r="AU144" s="47">
        <v>74.88</v>
      </c>
      <c r="AV144" s="47">
        <v>76.29</v>
      </c>
      <c r="AW144" s="47">
        <v>76.07</v>
      </c>
      <c r="AX144" s="47">
        <v>75.18</v>
      </c>
      <c r="AY144" s="47">
        <v>71.16</v>
      </c>
      <c r="AZ144" s="47">
        <v>63.61</v>
      </c>
      <c r="BA144" s="50">
        <v>1502.0</v>
      </c>
      <c r="BB144" s="51">
        <v>653.0</v>
      </c>
      <c r="BC144" s="51">
        <v>395.0</v>
      </c>
      <c r="BD144" s="51">
        <v>304.0</v>
      </c>
      <c r="BE144" s="51" t="s">
        <v>732</v>
      </c>
      <c r="BF144" s="51" t="s">
        <v>733</v>
      </c>
      <c r="BG144" s="51" t="s">
        <v>734</v>
      </c>
      <c r="BH144" s="51"/>
      <c r="BI144" s="51">
        <v>170.0</v>
      </c>
      <c r="BJ144" s="51">
        <v>224.0</v>
      </c>
      <c r="BK144" s="51">
        <v>320.0</v>
      </c>
      <c r="BL144" s="51">
        <v>240.0</v>
      </c>
      <c r="BM144" s="51">
        <v>334.0</v>
      </c>
      <c r="BN144" s="51">
        <v>105.0</v>
      </c>
      <c r="BO144" s="51">
        <v>53.0</v>
      </c>
      <c r="BP144" s="51" t="s">
        <v>735</v>
      </c>
      <c r="BQ144" s="51" t="s">
        <v>642</v>
      </c>
      <c r="BR144" s="52">
        <v>30.0</v>
      </c>
      <c r="BS144" s="53" t="s">
        <v>736</v>
      </c>
      <c r="BT144" s="53" t="s">
        <v>736</v>
      </c>
      <c r="BU144" s="52">
        <v>30.0</v>
      </c>
      <c r="BV144" s="47">
        <f>IFERROR(__xludf.DUMMYFUNCTION("IFERROR(INDEX(motors!E:E, MATCH(1, (motors!A:A=REGEXEXTRACT(A144,""^\S+""))*(motors!B:B=BU144), 0)), """")"),54.9)</f>
        <v>54.9</v>
      </c>
      <c r="BW144" s="47">
        <f>IFERROR(__xludf.DUMMYFUNCTION("IFERROR(INDEX(motors!F:F, MATCH(1, (motors!A:A=REGEXEXTRACT(A144,""^\S+""))*(motors!B:B=BU144), 0)), """")"),31.6)</f>
        <v>31.6</v>
      </c>
      <c r="BX144" s="51">
        <v>2.0</v>
      </c>
      <c r="BY144" s="52">
        <v>332.0</v>
      </c>
      <c r="BZ144" s="53" t="s">
        <v>791</v>
      </c>
      <c r="CA144" s="53" t="str">
        <f>IFERROR(__xludf.DUMMYFUNCTION("IFERROR(REGEXEXTRACT(BZ144, ""(?i)[A-Z]+-D-E-([^-]+)-E""), """")"),"HQQE")</f>
        <v>HQQE</v>
      </c>
    </row>
    <row r="145" ht="11.25" customHeight="1">
      <c r="A145" s="55"/>
      <c r="B145" s="55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48"/>
      <c r="N145" s="56"/>
      <c r="O145" s="56"/>
      <c r="P145" s="56"/>
      <c r="Q145" s="56"/>
      <c r="R145" s="56"/>
      <c r="S145" s="56"/>
      <c r="T145" s="56"/>
      <c r="U145" s="56"/>
      <c r="V145" s="56"/>
      <c r="W145" s="49"/>
      <c r="X145" s="56"/>
      <c r="Y145" s="56"/>
      <c r="Z145" s="56"/>
      <c r="AA145" s="56"/>
      <c r="AB145" s="56"/>
      <c r="AC145" s="56"/>
      <c r="AD145" s="56"/>
      <c r="AE145" s="56"/>
      <c r="AF145" s="56"/>
      <c r="AG145" s="49"/>
      <c r="AH145" s="56"/>
      <c r="AI145" s="56"/>
      <c r="AJ145" s="56"/>
      <c r="AK145" s="56"/>
      <c r="AL145" s="56"/>
      <c r="AM145" s="56"/>
      <c r="AN145" s="56"/>
      <c r="AO145" s="56"/>
      <c r="AP145" s="56"/>
      <c r="AQ145" s="49"/>
      <c r="AR145" s="56"/>
      <c r="AS145" s="56"/>
      <c r="AT145" s="56"/>
      <c r="AU145" s="56"/>
      <c r="AV145" s="56"/>
      <c r="AW145" s="56"/>
      <c r="AX145" s="56"/>
      <c r="AY145" s="56"/>
      <c r="AZ145" s="56"/>
      <c r="BA145" s="50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9"/>
      <c r="BS145" s="59"/>
      <c r="BT145" s="59"/>
      <c r="BU145" s="59"/>
      <c r="BV145" s="47" t="str">
        <f>IFERROR(__xludf.DUMMYFUNCTION("IFERROR(INDEX(motors!E:E, MATCH(1, (motors!A:A=REGEXEXTRACT(A145,""^\S+""))*(motors!B:B=BU145), 0)), """")"),"")</f>
        <v/>
      </c>
      <c r="BW145" s="47" t="str">
        <f>IFERROR(__xludf.DUMMYFUNCTION("IFERROR(INDEX(motors!F:F, MATCH(1, (motors!A:A=REGEXEXTRACT(A145,""^\S+""))*(motors!B:B=BU145), 0)), """")"),"")</f>
        <v/>
      </c>
      <c r="BX145" s="57"/>
      <c r="BY145" s="59"/>
      <c r="BZ145" s="59"/>
      <c r="CA145" s="53" t="str">
        <f>IFERROR(__xludf.DUMMYFUNCTION("IFERROR(REGEXEXTRACT(BZ145, ""(?i)[A-Z]+-D-E-([^-]+)-E""), """")"),"")</f>
        <v/>
      </c>
    </row>
    <row r="146" ht="11.25" customHeight="1">
      <c r="A146" s="46" t="s">
        <v>792</v>
      </c>
      <c r="B146" s="46">
        <v>7.4122715E7</v>
      </c>
      <c r="C146" s="47">
        <v>0.0</v>
      </c>
      <c r="D146" s="47">
        <v>22.0</v>
      </c>
      <c r="E146" s="47">
        <v>25.0</v>
      </c>
      <c r="F146" s="47">
        <v>30.0</v>
      </c>
      <c r="G146" s="47">
        <v>35.0</v>
      </c>
      <c r="H146" s="47">
        <v>40.0</v>
      </c>
      <c r="I146" s="47">
        <v>45.0</v>
      </c>
      <c r="J146" s="47">
        <v>50.0</v>
      </c>
      <c r="K146" s="47">
        <v>55.0</v>
      </c>
      <c r="L146" s="47">
        <v>55.0</v>
      </c>
      <c r="M146" s="48">
        <v>22.1</v>
      </c>
      <c r="N146" s="47">
        <v>20.5</v>
      </c>
      <c r="O146" s="47">
        <v>20.1</v>
      </c>
      <c r="P146" s="47">
        <v>19.15</v>
      </c>
      <c r="Q146" s="47">
        <v>18.020514398899998</v>
      </c>
      <c r="R146" s="47">
        <v>16.6961789259</v>
      </c>
      <c r="S146" s="47">
        <v>15.1015344629</v>
      </c>
      <c r="T146" s="47">
        <v>13.2041511599</v>
      </c>
      <c r="U146" s="47">
        <v>11.0</v>
      </c>
      <c r="V146" s="47">
        <v>11.0</v>
      </c>
      <c r="W146" s="49">
        <v>0.903</v>
      </c>
      <c r="X146" s="47">
        <v>1.886</v>
      </c>
      <c r="Y146" s="47">
        <v>2.016</v>
      </c>
      <c r="Z146" s="47">
        <v>2.203</v>
      </c>
      <c r="AA146" s="47">
        <v>2.353</v>
      </c>
      <c r="AB146" s="47">
        <v>2.465</v>
      </c>
      <c r="AC146" s="47">
        <v>2.54</v>
      </c>
      <c r="AD146" s="47">
        <v>2.578</v>
      </c>
      <c r="AE146" s="47">
        <v>2.579</v>
      </c>
      <c r="AF146" s="47">
        <v>2.579</v>
      </c>
      <c r="AG146" s="49">
        <v>1.134</v>
      </c>
      <c r="AH146" s="47">
        <v>1.38</v>
      </c>
      <c r="AI146" s="47">
        <v>1.42</v>
      </c>
      <c r="AJ146" s="47">
        <v>1.551</v>
      </c>
      <c r="AK146" s="47">
        <v>1.805</v>
      </c>
      <c r="AL146" s="47">
        <v>2.162</v>
      </c>
      <c r="AM146" s="47">
        <v>2.65</v>
      </c>
      <c r="AN146" s="47">
        <v>3.3</v>
      </c>
      <c r="AO146" s="47">
        <v>4.166</v>
      </c>
      <c r="AP146" s="47">
        <v>4.166</v>
      </c>
      <c r="AQ146" s="49">
        <v>0.0</v>
      </c>
      <c r="AR146" s="47">
        <v>66.8</v>
      </c>
      <c r="AS146" s="47">
        <v>71.97</v>
      </c>
      <c r="AT146" s="47">
        <v>76.71</v>
      </c>
      <c r="AU146" s="47">
        <v>79.41</v>
      </c>
      <c r="AV146" s="47">
        <v>80.0</v>
      </c>
      <c r="AW146" s="47">
        <v>79.46</v>
      </c>
      <c r="AX146" s="47">
        <v>76.93</v>
      </c>
      <c r="AY146" s="47">
        <v>72.7</v>
      </c>
      <c r="AZ146" s="47">
        <v>72.7</v>
      </c>
      <c r="BA146" s="50">
        <v>480.0</v>
      </c>
      <c r="BB146" s="51">
        <v>300.0</v>
      </c>
      <c r="BC146" s="51">
        <v>168.0</v>
      </c>
      <c r="BD146" s="51">
        <v>127.0</v>
      </c>
      <c r="BE146" s="51" t="s">
        <v>793</v>
      </c>
      <c r="BF146" s="51" t="s">
        <v>794</v>
      </c>
      <c r="BG146" s="51" t="s">
        <v>795</v>
      </c>
      <c r="BH146" s="51"/>
      <c r="BI146" s="51">
        <v>190.0</v>
      </c>
      <c r="BJ146" s="51">
        <v>248.0</v>
      </c>
      <c r="BK146" s="51">
        <v>365.0</v>
      </c>
      <c r="BL146" s="51">
        <v>266.0</v>
      </c>
      <c r="BM146" s="51">
        <v>366.0</v>
      </c>
      <c r="BN146" s="51">
        <v>140.0</v>
      </c>
      <c r="BO146" s="51">
        <v>63.0</v>
      </c>
      <c r="BP146" s="51" t="s">
        <v>735</v>
      </c>
      <c r="BQ146" s="51" t="s">
        <v>642</v>
      </c>
      <c r="BR146" s="52">
        <v>16.0</v>
      </c>
      <c r="BS146" s="53" t="s">
        <v>796</v>
      </c>
      <c r="BT146" s="53" t="s">
        <v>796</v>
      </c>
      <c r="BU146" s="52">
        <v>3.0</v>
      </c>
      <c r="BV146" s="47">
        <f>IFERROR(__xludf.DUMMYFUNCTION("IFERROR(INDEX(motors!E:E, MATCH(1, (motors!A:A=REGEXEXTRACT(A146,""^\S+""))*(motors!B:B=BU146), 0)), """")"),10.4)</f>
        <v>10.4</v>
      </c>
      <c r="BW146" s="47">
        <f>IFERROR(__xludf.DUMMYFUNCTION("IFERROR(INDEX(motors!F:F, MATCH(1, (motors!A:A=REGEXEXTRACT(A146,""^\S+""))*(motors!B:B=BU146), 0)), """")"),6.0)</f>
        <v>6</v>
      </c>
      <c r="BX146" s="51">
        <v>2.0</v>
      </c>
      <c r="BY146" s="52">
        <v>85.0</v>
      </c>
      <c r="BZ146" s="53" t="s">
        <v>797</v>
      </c>
      <c r="CA146" s="53" t="str">
        <f>IFERROR(__xludf.DUMMYFUNCTION("IFERROR(REGEXEXTRACT(BZ146, ""(?i)[A-Z]+-D-E-([^-]+)-E""), """")"),"HQQE")</f>
        <v>HQQE</v>
      </c>
    </row>
    <row r="147" ht="11.25" customHeight="1">
      <c r="A147" s="61" t="s">
        <v>798</v>
      </c>
      <c r="B147" s="61">
        <v>7.4122716E7</v>
      </c>
      <c r="C147" s="62">
        <v>0.0</v>
      </c>
      <c r="D147" s="62">
        <v>22.0</v>
      </c>
      <c r="E147" s="62">
        <v>25.0</v>
      </c>
      <c r="F147" s="62">
        <v>30.0</v>
      </c>
      <c r="G147" s="62">
        <v>35.0</v>
      </c>
      <c r="H147" s="62">
        <v>40.0</v>
      </c>
      <c r="I147" s="62">
        <v>45.0</v>
      </c>
      <c r="J147" s="62">
        <v>50.0</v>
      </c>
      <c r="K147" s="62">
        <v>55.0</v>
      </c>
      <c r="L147" s="62">
        <v>55.0</v>
      </c>
      <c r="M147" s="48">
        <v>26.0999568514</v>
      </c>
      <c r="N147" s="62">
        <v>24.5</v>
      </c>
      <c r="O147" s="62">
        <v>24.2</v>
      </c>
      <c r="P147" s="62">
        <v>23.5</v>
      </c>
      <c r="Q147" s="62">
        <v>22.7</v>
      </c>
      <c r="R147" s="62">
        <v>21.75</v>
      </c>
      <c r="S147" s="62">
        <v>20.3</v>
      </c>
      <c r="T147" s="62">
        <v>18.45</v>
      </c>
      <c r="U147" s="62">
        <v>16.0119016159</v>
      </c>
      <c r="V147" s="62">
        <v>16.0119016159</v>
      </c>
      <c r="W147" s="62">
        <v>1.4</v>
      </c>
      <c r="X147" s="62">
        <v>2.381</v>
      </c>
      <c r="Y147" s="62">
        <v>2.509</v>
      </c>
      <c r="Z147" s="62">
        <v>2.703</v>
      </c>
      <c r="AA147" s="62">
        <v>2.871</v>
      </c>
      <c r="AB147" s="62">
        <v>3.014</v>
      </c>
      <c r="AC147" s="62">
        <v>3.131</v>
      </c>
      <c r="AD147" s="62">
        <v>3.224</v>
      </c>
      <c r="AE147" s="62">
        <v>3.291</v>
      </c>
      <c r="AF147" s="62">
        <v>3.291</v>
      </c>
      <c r="AG147" s="62">
        <v>1.134</v>
      </c>
      <c r="AH147" s="62">
        <v>1.38</v>
      </c>
      <c r="AI147" s="62">
        <v>1.42</v>
      </c>
      <c r="AJ147" s="62">
        <v>1.551</v>
      </c>
      <c r="AK147" s="62">
        <v>1.805</v>
      </c>
      <c r="AL147" s="62">
        <v>2.162</v>
      </c>
      <c r="AM147" s="62">
        <v>2.65</v>
      </c>
      <c r="AN147" s="62">
        <v>3.3</v>
      </c>
      <c r="AO147" s="62">
        <v>4.166</v>
      </c>
      <c r="AP147" s="62">
        <v>4.166</v>
      </c>
      <c r="AQ147" s="62">
        <v>0.0</v>
      </c>
      <c r="AR147" s="62">
        <v>66.8</v>
      </c>
      <c r="AS147" s="62">
        <v>71.97</v>
      </c>
      <c r="AT147" s="62">
        <v>76.71</v>
      </c>
      <c r="AU147" s="62">
        <v>79.41</v>
      </c>
      <c r="AV147" s="62">
        <v>80.0</v>
      </c>
      <c r="AW147" s="62">
        <v>79.46</v>
      </c>
      <c r="AX147" s="62">
        <v>76.93</v>
      </c>
      <c r="AY147" s="62">
        <v>72.7</v>
      </c>
      <c r="AZ147" s="62">
        <v>72.7</v>
      </c>
      <c r="BA147" s="63">
        <v>480.0</v>
      </c>
      <c r="BB147" s="64">
        <v>323.0</v>
      </c>
      <c r="BC147" s="64">
        <v>200.0</v>
      </c>
      <c r="BD147" s="64">
        <v>146.0</v>
      </c>
      <c r="BE147" s="64" t="s">
        <v>793</v>
      </c>
      <c r="BF147" s="64" t="s">
        <v>794</v>
      </c>
      <c r="BG147" s="64" t="s">
        <v>795</v>
      </c>
      <c r="BH147" s="64"/>
      <c r="BI147" s="64">
        <v>190.0</v>
      </c>
      <c r="BJ147" s="64">
        <v>248.0</v>
      </c>
      <c r="BK147" s="64">
        <v>365.0</v>
      </c>
      <c r="BL147" s="64">
        <v>266.0</v>
      </c>
      <c r="BM147" s="64">
        <v>366.0</v>
      </c>
      <c r="BN147" s="64">
        <v>140.0</v>
      </c>
      <c r="BO147" s="64">
        <v>63.0</v>
      </c>
      <c r="BP147" s="64" t="s">
        <v>735</v>
      </c>
      <c r="BQ147" s="64" t="s">
        <v>642</v>
      </c>
      <c r="BR147" s="65">
        <v>16.0</v>
      </c>
      <c r="BS147" s="63" t="s">
        <v>796</v>
      </c>
      <c r="BT147" s="63" t="s">
        <v>796</v>
      </c>
      <c r="BU147" s="65">
        <v>4.0</v>
      </c>
      <c r="BV147" s="47">
        <f>IFERROR(__xludf.DUMMYFUNCTION("IFERROR(INDEX(motors!E:E, MATCH(1, (motors!A:A=REGEXEXTRACT(A147,""^\S+""))*(motors!B:B=BU147), 0)), """")"),7.8)</f>
        <v>7.8</v>
      </c>
      <c r="BW147" s="47">
        <f>IFERROR(__xludf.DUMMYFUNCTION("IFERROR(INDEX(motors!F:F, MATCH(1, (motors!A:A=REGEXEXTRACT(A147,""^\S+""))*(motors!B:B=BU147), 0)), """")"),4.5)</f>
        <v>4.5</v>
      </c>
      <c r="BX147" s="64">
        <v>2.0</v>
      </c>
      <c r="BY147" s="65">
        <v>91.0</v>
      </c>
      <c r="BZ147" s="63" t="s">
        <v>799</v>
      </c>
      <c r="CA147" s="53" t="str">
        <f>IFERROR(__xludf.DUMMYFUNCTION("IFERROR(REGEXEXTRACT(BZ147, ""(?i)[A-Z]+-D-E-([^-]+)-E""), """")"),"HQQE")</f>
        <v>HQQE</v>
      </c>
    </row>
    <row r="148" ht="11.25" customHeight="1">
      <c r="A148" s="61" t="s">
        <v>800</v>
      </c>
      <c r="B148" s="61">
        <v>7.4122714E7</v>
      </c>
      <c r="C148" s="62">
        <v>0.0</v>
      </c>
      <c r="D148" s="62">
        <v>22.0</v>
      </c>
      <c r="E148" s="62">
        <v>25.0</v>
      </c>
      <c r="F148" s="62">
        <v>30.0</v>
      </c>
      <c r="G148" s="62">
        <v>35.0</v>
      </c>
      <c r="H148" s="62">
        <v>40.0</v>
      </c>
      <c r="I148" s="62">
        <v>45.0</v>
      </c>
      <c r="J148" s="62">
        <v>50.0</v>
      </c>
      <c r="K148" s="62">
        <v>55.0</v>
      </c>
      <c r="L148" s="62">
        <v>55.0</v>
      </c>
      <c r="M148" s="48">
        <v>42.0</v>
      </c>
      <c r="N148" s="62">
        <v>40.05</v>
      </c>
      <c r="O148" s="62">
        <v>39.55</v>
      </c>
      <c r="P148" s="62">
        <v>37.9</v>
      </c>
      <c r="Q148" s="62">
        <v>35.769756039600004</v>
      </c>
      <c r="R148" s="62">
        <v>33.1332999006</v>
      </c>
      <c r="S148" s="62">
        <v>30.154669881600004</v>
      </c>
      <c r="T148" s="62">
        <v>26.801584782600003</v>
      </c>
      <c r="U148" s="62">
        <v>22.6</v>
      </c>
      <c r="V148" s="62">
        <v>22.6</v>
      </c>
      <c r="W148" s="62">
        <f t="shared" ref="W148:W149" si="2">W146*2</f>
        <v>1.806</v>
      </c>
      <c r="X148" s="62">
        <v>3.772</v>
      </c>
      <c r="Y148" s="62">
        <v>4.032</v>
      </c>
      <c r="Z148" s="62">
        <v>4.406</v>
      </c>
      <c r="AA148" s="62">
        <v>4.706</v>
      </c>
      <c r="AB148" s="62">
        <v>4.93</v>
      </c>
      <c r="AC148" s="62">
        <v>5.08</v>
      </c>
      <c r="AD148" s="62">
        <v>5.156</v>
      </c>
      <c r="AE148" s="62">
        <v>5.158</v>
      </c>
      <c r="AF148" s="62">
        <v>5.158</v>
      </c>
      <c r="AG148" s="62">
        <v>1.134</v>
      </c>
      <c r="AH148" s="62">
        <v>1.38</v>
      </c>
      <c r="AI148" s="62">
        <v>1.42</v>
      </c>
      <c r="AJ148" s="62">
        <v>1.551</v>
      </c>
      <c r="AK148" s="62">
        <v>1.805</v>
      </c>
      <c r="AL148" s="62">
        <v>2.162</v>
      </c>
      <c r="AM148" s="62">
        <v>2.65</v>
      </c>
      <c r="AN148" s="62">
        <v>3.3</v>
      </c>
      <c r="AO148" s="62">
        <v>4.166</v>
      </c>
      <c r="AP148" s="62">
        <v>4.166</v>
      </c>
      <c r="AQ148" s="62">
        <v>0.0</v>
      </c>
      <c r="AR148" s="62">
        <v>66.8</v>
      </c>
      <c r="AS148" s="62">
        <v>71.97</v>
      </c>
      <c r="AT148" s="62">
        <v>76.71</v>
      </c>
      <c r="AU148" s="62">
        <v>79.41</v>
      </c>
      <c r="AV148" s="62">
        <v>80.0</v>
      </c>
      <c r="AW148" s="62">
        <v>79.46</v>
      </c>
      <c r="AX148" s="62">
        <v>76.93</v>
      </c>
      <c r="AY148" s="62">
        <v>72.7</v>
      </c>
      <c r="AZ148" s="62">
        <v>72.7</v>
      </c>
      <c r="BA148" s="63">
        <v>668.0</v>
      </c>
      <c r="BB148" s="64">
        <v>379.0</v>
      </c>
      <c r="BC148" s="64">
        <v>212.0</v>
      </c>
      <c r="BD148" s="64">
        <v>160.0</v>
      </c>
      <c r="BE148" s="64" t="s">
        <v>793</v>
      </c>
      <c r="BF148" s="64" t="s">
        <v>794</v>
      </c>
      <c r="BG148" s="64" t="s">
        <v>795</v>
      </c>
      <c r="BH148" s="64"/>
      <c r="BI148" s="64">
        <v>190.0</v>
      </c>
      <c r="BJ148" s="64">
        <v>248.0</v>
      </c>
      <c r="BK148" s="64">
        <v>365.0</v>
      </c>
      <c r="BL148" s="64">
        <v>266.0</v>
      </c>
      <c r="BM148" s="64">
        <v>366.0</v>
      </c>
      <c r="BN148" s="64">
        <v>140.0</v>
      </c>
      <c r="BO148" s="64">
        <v>63.0</v>
      </c>
      <c r="BP148" s="64" t="s">
        <v>735</v>
      </c>
      <c r="BQ148" s="64" t="s">
        <v>642</v>
      </c>
      <c r="BR148" s="65">
        <v>16.0</v>
      </c>
      <c r="BS148" s="63" t="s">
        <v>796</v>
      </c>
      <c r="BT148" s="63" t="s">
        <v>796</v>
      </c>
      <c r="BU148" s="65">
        <v>5.5</v>
      </c>
      <c r="BV148" s="47">
        <f>IFERROR(__xludf.DUMMYFUNCTION("IFERROR(INDEX(motors!E:E, MATCH(1, (motors!A:A=REGEXEXTRACT(A148,""^\S+""))*(motors!B:B=BU148), 0)), """")"),10.6)</f>
        <v>10.6</v>
      </c>
      <c r="BW148" s="47">
        <f>IFERROR(__xludf.DUMMYFUNCTION("IFERROR(INDEX(motors!F:F, MATCH(1, (motors!A:A=REGEXEXTRACT(A148,""^\S+""))*(motors!B:B=BU148), 0)), """")"),6.1)</f>
        <v>6.1</v>
      </c>
      <c r="BX148" s="64">
        <v>2.0</v>
      </c>
      <c r="BY148" s="65">
        <v>101.0</v>
      </c>
      <c r="BZ148" s="63" t="s">
        <v>801</v>
      </c>
      <c r="CA148" s="53" t="str">
        <f>IFERROR(__xludf.DUMMYFUNCTION("IFERROR(REGEXEXTRACT(BZ148, ""(?i)[A-Z]+-D-E-([^-]+)-E""), """")"),"HQQE")</f>
        <v>HQQE</v>
      </c>
    </row>
    <row r="149" ht="11.25" customHeight="1">
      <c r="A149" s="61" t="s">
        <v>802</v>
      </c>
      <c r="B149" s="61">
        <v>7.4122717E7</v>
      </c>
      <c r="C149" s="62">
        <v>0.0</v>
      </c>
      <c r="D149" s="62">
        <v>22.0</v>
      </c>
      <c r="E149" s="62">
        <v>25.0</v>
      </c>
      <c r="F149" s="62">
        <v>30.0</v>
      </c>
      <c r="G149" s="62">
        <v>35.0</v>
      </c>
      <c r="H149" s="62">
        <v>40.0</v>
      </c>
      <c r="I149" s="62">
        <v>45.0</v>
      </c>
      <c r="J149" s="62">
        <v>50.0</v>
      </c>
      <c r="K149" s="62">
        <v>55.0</v>
      </c>
      <c r="L149" s="62">
        <v>55.0</v>
      </c>
      <c r="M149" s="48">
        <v>51.8927367769</v>
      </c>
      <c r="N149" s="62">
        <v>48.753255207500004</v>
      </c>
      <c r="O149" s="62">
        <v>47.8710032594</v>
      </c>
      <c r="P149" s="62">
        <v>46.174812985900004</v>
      </c>
      <c r="Q149" s="62">
        <v>44.158091547400005</v>
      </c>
      <c r="R149" s="62">
        <v>41.7486036689</v>
      </c>
      <c r="S149" s="62">
        <v>38.842978575400004</v>
      </c>
      <c r="T149" s="62">
        <v>35.30670999190001</v>
      </c>
      <c r="U149" s="62">
        <v>30.6</v>
      </c>
      <c r="V149" s="62">
        <v>30.6</v>
      </c>
      <c r="W149" s="62">
        <f t="shared" si="2"/>
        <v>2.8</v>
      </c>
      <c r="X149" s="62">
        <v>4.762</v>
      </c>
      <c r="Y149" s="62">
        <v>5.018</v>
      </c>
      <c r="Z149" s="62">
        <v>5.406</v>
      </c>
      <c r="AA149" s="62">
        <v>5.742</v>
      </c>
      <c r="AB149" s="62">
        <v>6.028</v>
      </c>
      <c r="AC149" s="62">
        <v>6.262</v>
      </c>
      <c r="AD149" s="62">
        <v>6.448</v>
      </c>
      <c r="AE149" s="62">
        <v>6.582</v>
      </c>
      <c r="AF149" s="62">
        <v>6.582</v>
      </c>
      <c r="AG149" s="62">
        <v>1.134</v>
      </c>
      <c r="AH149" s="62">
        <v>1.38</v>
      </c>
      <c r="AI149" s="62">
        <v>1.42</v>
      </c>
      <c r="AJ149" s="62">
        <v>1.551</v>
      </c>
      <c r="AK149" s="62">
        <v>1.805</v>
      </c>
      <c r="AL149" s="62">
        <v>2.162</v>
      </c>
      <c r="AM149" s="62">
        <v>2.65</v>
      </c>
      <c r="AN149" s="62">
        <v>3.3</v>
      </c>
      <c r="AO149" s="62">
        <v>4.166</v>
      </c>
      <c r="AP149" s="62">
        <v>4.166</v>
      </c>
      <c r="AQ149" s="62">
        <v>0.0</v>
      </c>
      <c r="AR149" s="62">
        <v>66.8</v>
      </c>
      <c r="AS149" s="62">
        <v>71.97</v>
      </c>
      <c r="AT149" s="62">
        <v>76.71</v>
      </c>
      <c r="AU149" s="62">
        <v>79.41</v>
      </c>
      <c r="AV149" s="62">
        <v>80.0</v>
      </c>
      <c r="AW149" s="62">
        <v>79.46</v>
      </c>
      <c r="AX149" s="62">
        <v>76.93</v>
      </c>
      <c r="AY149" s="62">
        <v>72.7</v>
      </c>
      <c r="AZ149" s="62">
        <v>72.7</v>
      </c>
      <c r="BA149" s="63">
        <v>668.0</v>
      </c>
      <c r="BB149" s="64">
        <v>417.0</v>
      </c>
      <c r="BC149" s="64">
        <v>212.0</v>
      </c>
      <c r="BD149" s="64">
        <v>160.0</v>
      </c>
      <c r="BE149" s="64" t="s">
        <v>793</v>
      </c>
      <c r="BF149" s="64" t="s">
        <v>794</v>
      </c>
      <c r="BG149" s="64" t="s">
        <v>795</v>
      </c>
      <c r="BH149" s="64"/>
      <c r="BI149" s="64">
        <v>190.0</v>
      </c>
      <c r="BJ149" s="64">
        <v>248.0</v>
      </c>
      <c r="BK149" s="64">
        <v>365.0</v>
      </c>
      <c r="BL149" s="64">
        <v>266.0</v>
      </c>
      <c r="BM149" s="64">
        <v>366.0</v>
      </c>
      <c r="BN149" s="64">
        <v>140.0</v>
      </c>
      <c r="BO149" s="64">
        <v>63.0</v>
      </c>
      <c r="BP149" s="64" t="s">
        <v>735</v>
      </c>
      <c r="BQ149" s="64" t="s">
        <v>642</v>
      </c>
      <c r="BR149" s="65">
        <v>16.0</v>
      </c>
      <c r="BS149" s="63" t="s">
        <v>796</v>
      </c>
      <c r="BT149" s="63" t="s">
        <v>796</v>
      </c>
      <c r="BU149" s="65">
        <v>7.5</v>
      </c>
      <c r="BV149" s="47">
        <f>IFERROR(__xludf.DUMMYFUNCTION("IFERROR(INDEX(motors!E:E, MATCH(1, (motors!A:A=REGEXEXTRACT(A149,""^\S+""))*(motors!B:B=BU149), 0)), """")"),14.4)</f>
        <v>14.4</v>
      </c>
      <c r="BW149" s="47">
        <f>IFERROR(__xludf.DUMMYFUNCTION("IFERROR(INDEX(motors!F:F, MATCH(1, (motors!A:A=REGEXEXTRACT(A149,""^\S+""))*(motors!B:B=BU149), 0)), """")"),8.3)</f>
        <v>8.3</v>
      </c>
      <c r="BX149" s="64">
        <v>2.0</v>
      </c>
      <c r="BY149" s="65">
        <v>106.0</v>
      </c>
      <c r="BZ149" s="63" t="s">
        <v>803</v>
      </c>
      <c r="CA149" s="53" t="str">
        <f>IFERROR(__xludf.DUMMYFUNCTION("IFERROR(REGEXEXTRACT(BZ149, ""(?i)[A-Z]+-D-E-([^-]+)-E""), """")"),"HQQE")</f>
        <v>HQQE</v>
      </c>
    </row>
    <row r="150" ht="11.25" customHeight="1">
      <c r="A150" s="61" t="s">
        <v>804</v>
      </c>
      <c r="B150" s="61">
        <v>7.4122718E7</v>
      </c>
      <c r="C150" s="62">
        <v>0.0</v>
      </c>
      <c r="D150" s="62">
        <v>22.0</v>
      </c>
      <c r="E150" s="62">
        <v>25.0</v>
      </c>
      <c r="F150" s="62">
        <v>30.0</v>
      </c>
      <c r="G150" s="62">
        <v>35.0</v>
      </c>
      <c r="H150" s="62">
        <v>40.0</v>
      </c>
      <c r="I150" s="62">
        <v>45.0</v>
      </c>
      <c r="J150" s="62">
        <v>50.0</v>
      </c>
      <c r="K150" s="62">
        <v>55.0</v>
      </c>
      <c r="L150" s="62">
        <v>55.0</v>
      </c>
      <c r="M150" s="48">
        <v>66.5</v>
      </c>
      <c r="N150" s="62">
        <v>63.9595270116</v>
      </c>
      <c r="O150" s="62">
        <v>63.032443737600005</v>
      </c>
      <c r="P150" s="62">
        <v>60.9120811876</v>
      </c>
      <c r="Q150" s="62">
        <v>58.0013172476</v>
      </c>
      <c r="R150" s="62">
        <v>54.2500433676</v>
      </c>
      <c r="S150" s="62">
        <v>49.64397699760001</v>
      </c>
      <c r="T150" s="62">
        <v>44.20466158760001</v>
      </c>
      <c r="U150" s="62">
        <v>37.98946658759999</v>
      </c>
      <c r="V150" s="62">
        <v>37.98946658759999</v>
      </c>
      <c r="W150" s="62">
        <f>W146*2+W147</f>
        <v>3.206</v>
      </c>
      <c r="X150" s="62">
        <v>6.153</v>
      </c>
      <c r="Y150" s="62">
        <v>6.541</v>
      </c>
      <c r="Z150" s="62">
        <v>7.109</v>
      </c>
      <c r="AA150" s="62">
        <v>7.577</v>
      </c>
      <c r="AB150" s="62">
        <v>7.943999999999999</v>
      </c>
      <c r="AC150" s="62">
        <v>8.211</v>
      </c>
      <c r="AD150" s="62">
        <v>8.379999999999999</v>
      </c>
      <c r="AE150" s="62">
        <v>8.449</v>
      </c>
      <c r="AF150" s="62">
        <v>8.449</v>
      </c>
      <c r="AG150" s="62">
        <v>1.134</v>
      </c>
      <c r="AH150" s="62">
        <v>1.38</v>
      </c>
      <c r="AI150" s="62">
        <v>1.42</v>
      </c>
      <c r="AJ150" s="62">
        <v>1.551</v>
      </c>
      <c r="AK150" s="62">
        <v>1.805</v>
      </c>
      <c r="AL150" s="62">
        <v>2.162</v>
      </c>
      <c r="AM150" s="62">
        <v>2.65</v>
      </c>
      <c r="AN150" s="62">
        <v>3.3</v>
      </c>
      <c r="AO150" s="62">
        <v>4.166</v>
      </c>
      <c r="AP150" s="62">
        <v>4.166</v>
      </c>
      <c r="AQ150" s="62">
        <v>0.0</v>
      </c>
      <c r="AR150" s="62">
        <v>66.8</v>
      </c>
      <c r="AS150" s="62">
        <v>71.97</v>
      </c>
      <c r="AT150" s="62">
        <v>76.71</v>
      </c>
      <c r="AU150" s="62">
        <v>79.41</v>
      </c>
      <c r="AV150" s="62">
        <v>80.0</v>
      </c>
      <c r="AW150" s="62">
        <v>79.46</v>
      </c>
      <c r="AX150" s="62">
        <v>76.93</v>
      </c>
      <c r="AY150" s="62">
        <v>72.7</v>
      </c>
      <c r="AZ150" s="62">
        <v>72.7</v>
      </c>
      <c r="BA150" s="63">
        <v>806.0</v>
      </c>
      <c r="BB150" s="64">
        <v>448.0</v>
      </c>
      <c r="BC150" s="64">
        <v>255.0</v>
      </c>
      <c r="BD150" s="64">
        <v>178.0</v>
      </c>
      <c r="BE150" s="64" t="s">
        <v>793</v>
      </c>
      <c r="BF150" s="64" t="s">
        <v>794</v>
      </c>
      <c r="BG150" s="64" t="s">
        <v>795</v>
      </c>
      <c r="BH150" s="64"/>
      <c r="BI150" s="64">
        <v>190.0</v>
      </c>
      <c r="BJ150" s="64">
        <v>248.0</v>
      </c>
      <c r="BK150" s="64">
        <v>365.0</v>
      </c>
      <c r="BL150" s="64">
        <v>266.0</v>
      </c>
      <c r="BM150" s="64">
        <v>366.0</v>
      </c>
      <c r="BN150" s="64">
        <v>140.0</v>
      </c>
      <c r="BO150" s="64">
        <v>63.0</v>
      </c>
      <c r="BP150" s="64" t="s">
        <v>735</v>
      </c>
      <c r="BQ150" s="64" t="s">
        <v>642</v>
      </c>
      <c r="BR150" s="65">
        <v>16.0</v>
      </c>
      <c r="BS150" s="63" t="s">
        <v>796</v>
      </c>
      <c r="BT150" s="63" t="s">
        <v>796</v>
      </c>
      <c r="BU150" s="65">
        <v>11.0</v>
      </c>
      <c r="BV150" s="47">
        <f>IFERROR(__xludf.DUMMYFUNCTION("IFERROR(INDEX(motors!E:E, MATCH(1, (motors!A:A=REGEXEXTRACT(A150,""^\S+""))*(motors!B:B=BU150), 0)), """")"),20.6)</f>
        <v>20.6</v>
      </c>
      <c r="BW150" s="47">
        <f>IFERROR(__xludf.DUMMYFUNCTION("IFERROR(INDEX(motors!F:F, MATCH(1, (motors!A:A=REGEXEXTRACT(A150,""^\S+""))*(motors!B:B=BU150), 0)), """")"),11.9)</f>
        <v>11.9</v>
      </c>
      <c r="BX150" s="64">
        <v>2.0</v>
      </c>
      <c r="BY150" s="65">
        <v>176.0</v>
      </c>
      <c r="BZ150" s="63" t="s">
        <v>805</v>
      </c>
      <c r="CA150" s="53" t="str">
        <f>IFERROR(__xludf.DUMMYFUNCTION("IFERROR(REGEXEXTRACT(BZ150, ""(?i)[A-Z]+-D-E-([^-]+)-E""), """")"),"HQQE")</f>
        <v>HQQE</v>
      </c>
    </row>
    <row r="151" ht="11.25" customHeight="1">
      <c r="A151" s="61" t="s">
        <v>806</v>
      </c>
      <c r="B151" s="61">
        <v>7.4122719E7</v>
      </c>
      <c r="C151" s="62">
        <v>0.0</v>
      </c>
      <c r="D151" s="62">
        <v>22.0</v>
      </c>
      <c r="E151" s="62">
        <v>25.0</v>
      </c>
      <c r="F151" s="62">
        <v>30.0</v>
      </c>
      <c r="G151" s="62">
        <v>35.0</v>
      </c>
      <c r="H151" s="62">
        <v>40.0</v>
      </c>
      <c r="I151" s="62">
        <v>45.0</v>
      </c>
      <c r="J151" s="62">
        <v>50.0</v>
      </c>
      <c r="K151" s="62">
        <v>55.0</v>
      </c>
      <c r="L151" s="62">
        <v>55.0</v>
      </c>
      <c r="M151" s="48">
        <v>77.9966075308</v>
      </c>
      <c r="N151" s="62">
        <v>73.3268150386</v>
      </c>
      <c r="O151" s="62">
        <v>72.1507620583</v>
      </c>
      <c r="P151" s="62">
        <v>69.80153969380001</v>
      </c>
      <c r="Q151" s="62">
        <v>66.85030673930001</v>
      </c>
      <c r="R151" s="62">
        <v>63.1277266948</v>
      </c>
      <c r="S151" s="62">
        <v>58.42450756030001</v>
      </c>
      <c r="T151" s="62">
        <v>52.491401835800005</v>
      </c>
      <c r="U151" s="62">
        <v>45.0392065213</v>
      </c>
      <c r="V151" s="62">
        <v>45.0392065213</v>
      </c>
      <c r="W151" s="62">
        <f>W147*3</f>
        <v>4.2</v>
      </c>
      <c r="X151" s="62">
        <v>7.142999999999999</v>
      </c>
      <c r="Y151" s="62">
        <v>7.526999999999999</v>
      </c>
      <c r="Z151" s="62">
        <v>8.109</v>
      </c>
      <c r="AA151" s="62">
        <v>8.613</v>
      </c>
      <c r="AB151" s="62">
        <v>9.042</v>
      </c>
      <c r="AC151" s="62">
        <v>9.392999999999999</v>
      </c>
      <c r="AD151" s="62">
        <v>9.672</v>
      </c>
      <c r="AE151" s="62">
        <v>9.873</v>
      </c>
      <c r="AF151" s="62">
        <v>9.873</v>
      </c>
      <c r="AG151" s="62">
        <v>1.134</v>
      </c>
      <c r="AH151" s="62">
        <v>1.38</v>
      </c>
      <c r="AI151" s="62">
        <v>1.42</v>
      </c>
      <c r="AJ151" s="62">
        <v>1.551</v>
      </c>
      <c r="AK151" s="62">
        <v>1.805</v>
      </c>
      <c r="AL151" s="62">
        <v>2.162</v>
      </c>
      <c r="AM151" s="62">
        <v>2.65</v>
      </c>
      <c r="AN151" s="62">
        <v>3.3</v>
      </c>
      <c r="AO151" s="62">
        <v>4.166</v>
      </c>
      <c r="AP151" s="62">
        <v>4.166</v>
      </c>
      <c r="AQ151" s="62">
        <v>0.0</v>
      </c>
      <c r="AR151" s="62">
        <v>66.8</v>
      </c>
      <c r="AS151" s="62">
        <v>71.97</v>
      </c>
      <c r="AT151" s="62">
        <v>76.71</v>
      </c>
      <c r="AU151" s="62">
        <v>79.41</v>
      </c>
      <c r="AV151" s="62">
        <v>80.0</v>
      </c>
      <c r="AW151" s="62">
        <v>79.46</v>
      </c>
      <c r="AX151" s="62">
        <v>76.93</v>
      </c>
      <c r="AY151" s="62">
        <v>72.7</v>
      </c>
      <c r="AZ151" s="62">
        <v>72.7</v>
      </c>
      <c r="BA151" s="63">
        <v>806.0</v>
      </c>
      <c r="BB151" s="64">
        <v>448.0</v>
      </c>
      <c r="BC151" s="64">
        <v>255.0</v>
      </c>
      <c r="BD151" s="64">
        <v>178.0</v>
      </c>
      <c r="BE151" s="64" t="s">
        <v>793</v>
      </c>
      <c r="BF151" s="64" t="s">
        <v>794</v>
      </c>
      <c r="BG151" s="64" t="s">
        <v>795</v>
      </c>
      <c r="BH151" s="64"/>
      <c r="BI151" s="64">
        <v>190.0</v>
      </c>
      <c r="BJ151" s="64">
        <v>248.0</v>
      </c>
      <c r="BK151" s="64">
        <v>365.0</v>
      </c>
      <c r="BL151" s="64">
        <v>266.0</v>
      </c>
      <c r="BM151" s="64">
        <v>366.0</v>
      </c>
      <c r="BN151" s="64">
        <v>140.0</v>
      </c>
      <c r="BO151" s="64">
        <v>63.0</v>
      </c>
      <c r="BP151" s="64" t="s">
        <v>735</v>
      </c>
      <c r="BQ151" s="64" t="s">
        <v>642</v>
      </c>
      <c r="BR151" s="65">
        <v>16.0</v>
      </c>
      <c r="BS151" s="63" t="s">
        <v>796</v>
      </c>
      <c r="BT151" s="63" t="s">
        <v>796</v>
      </c>
      <c r="BU151" s="65">
        <v>11.0</v>
      </c>
      <c r="BV151" s="47">
        <f>IFERROR(__xludf.DUMMYFUNCTION("IFERROR(INDEX(motors!E:E, MATCH(1, (motors!A:A=REGEXEXTRACT(A151,""^\S+""))*(motors!B:B=BU151), 0)), """")"),20.6)</f>
        <v>20.6</v>
      </c>
      <c r="BW151" s="47">
        <f>IFERROR(__xludf.DUMMYFUNCTION("IFERROR(INDEX(motors!F:F, MATCH(1, (motors!A:A=REGEXEXTRACT(A151,""^\S+""))*(motors!B:B=BU151), 0)), """")"),11.9)</f>
        <v>11.9</v>
      </c>
      <c r="BX151" s="64">
        <v>2.0</v>
      </c>
      <c r="BY151" s="65">
        <v>176.0</v>
      </c>
      <c r="BZ151" s="63" t="s">
        <v>807</v>
      </c>
      <c r="CA151" s="53" t="str">
        <f>IFERROR(__xludf.DUMMYFUNCTION("IFERROR(REGEXEXTRACT(BZ151, ""(?i)[A-Z]+-D-E-([^-]+)-E""), """")"),"HQQE")</f>
        <v>HQQE</v>
      </c>
    </row>
    <row r="152" ht="11.25" customHeight="1">
      <c r="A152" s="46" t="s">
        <v>808</v>
      </c>
      <c r="B152" s="46">
        <v>7.412272E7</v>
      </c>
      <c r="C152" s="47">
        <v>0.0</v>
      </c>
      <c r="D152" s="47">
        <v>22.0</v>
      </c>
      <c r="E152" s="47">
        <v>25.0</v>
      </c>
      <c r="F152" s="47">
        <v>30.0</v>
      </c>
      <c r="G152" s="47">
        <v>35.0</v>
      </c>
      <c r="H152" s="47">
        <v>40.0</v>
      </c>
      <c r="I152" s="47">
        <v>45.0</v>
      </c>
      <c r="J152" s="47">
        <v>50.0</v>
      </c>
      <c r="K152" s="47">
        <v>55.0</v>
      </c>
      <c r="L152" s="47">
        <v>55.0</v>
      </c>
      <c r="M152" s="48">
        <v>91.8998205294</v>
      </c>
      <c r="N152" s="47">
        <v>88.3</v>
      </c>
      <c r="O152" s="47">
        <v>87.0101942844</v>
      </c>
      <c r="P152" s="47">
        <v>83.9814367254</v>
      </c>
      <c r="Q152" s="47">
        <v>79.9996926464</v>
      </c>
      <c r="R152" s="47">
        <v>75.0138022974</v>
      </c>
      <c r="S152" s="47">
        <v>69.0047494284</v>
      </c>
      <c r="T152" s="47">
        <v>61.9856612894</v>
      </c>
      <c r="U152" s="47">
        <v>54.00180863040001</v>
      </c>
      <c r="V152" s="47">
        <v>54.00180863040001</v>
      </c>
      <c r="W152" s="49">
        <f>W146*2+W147*2</f>
        <v>4.606</v>
      </c>
      <c r="X152" s="47">
        <v>8.533999999999999</v>
      </c>
      <c r="Y152" s="47">
        <v>9.05</v>
      </c>
      <c r="Z152" s="47">
        <v>9.812</v>
      </c>
      <c r="AA152" s="47">
        <v>10.448</v>
      </c>
      <c r="AB152" s="47">
        <v>10.957999999999998</v>
      </c>
      <c r="AC152" s="47">
        <v>11.341999999999999</v>
      </c>
      <c r="AD152" s="47">
        <v>11.604</v>
      </c>
      <c r="AE152" s="47">
        <v>11.74</v>
      </c>
      <c r="AF152" s="47">
        <v>11.74</v>
      </c>
      <c r="AG152" s="49">
        <v>1.134</v>
      </c>
      <c r="AH152" s="47">
        <v>1.38</v>
      </c>
      <c r="AI152" s="47">
        <v>1.42</v>
      </c>
      <c r="AJ152" s="47">
        <v>1.551</v>
      </c>
      <c r="AK152" s="47">
        <v>1.805</v>
      </c>
      <c r="AL152" s="47">
        <v>2.162</v>
      </c>
      <c r="AM152" s="47">
        <v>2.65</v>
      </c>
      <c r="AN152" s="47">
        <v>3.3</v>
      </c>
      <c r="AO152" s="47">
        <v>4.166</v>
      </c>
      <c r="AP152" s="47">
        <v>4.166</v>
      </c>
      <c r="AQ152" s="49">
        <v>0.0</v>
      </c>
      <c r="AR152" s="47">
        <v>66.8</v>
      </c>
      <c r="AS152" s="47">
        <v>71.97</v>
      </c>
      <c r="AT152" s="47">
        <v>76.71</v>
      </c>
      <c r="AU152" s="47">
        <v>79.41</v>
      </c>
      <c r="AV152" s="47">
        <v>80.0</v>
      </c>
      <c r="AW152" s="47">
        <v>79.46</v>
      </c>
      <c r="AX152" s="47">
        <v>76.93</v>
      </c>
      <c r="AY152" s="47">
        <v>72.7</v>
      </c>
      <c r="AZ152" s="47">
        <v>72.7</v>
      </c>
      <c r="BA152" s="50">
        <v>886.0</v>
      </c>
      <c r="BB152" s="51">
        <v>489.0</v>
      </c>
      <c r="BC152" s="51">
        <v>255.0</v>
      </c>
      <c r="BD152" s="51">
        <v>178.0</v>
      </c>
      <c r="BE152" s="51" t="s">
        <v>793</v>
      </c>
      <c r="BF152" s="51" t="s">
        <v>794</v>
      </c>
      <c r="BG152" s="51" t="s">
        <v>795</v>
      </c>
      <c r="BH152" s="51"/>
      <c r="BI152" s="51">
        <v>190.0</v>
      </c>
      <c r="BJ152" s="51">
        <v>248.0</v>
      </c>
      <c r="BK152" s="51">
        <v>365.0</v>
      </c>
      <c r="BL152" s="51">
        <v>266.0</v>
      </c>
      <c r="BM152" s="51">
        <v>366.0</v>
      </c>
      <c r="BN152" s="51">
        <v>140.0</v>
      </c>
      <c r="BO152" s="51">
        <v>63.0</v>
      </c>
      <c r="BP152" s="51" t="s">
        <v>735</v>
      </c>
      <c r="BQ152" s="51" t="s">
        <v>642</v>
      </c>
      <c r="BR152" s="52">
        <v>16.0</v>
      </c>
      <c r="BS152" s="53" t="s">
        <v>796</v>
      </c>
      <c r="BT152" s="53" t="s">
        <v>796</v>
      </c>
      <c r="BU152" s="52">
        <v>15.0</v>
      </c>
      <c r="BV152" s="47">
        <f>IFERROR(__xludf.DUMMYFUNCTION("IFERROR(INDEX(motors!E:E, MATCH(1, (motors!A:A=REGEXEXTRACT(A152,""^\S+""))*(motors!B:B=BU152), 0)), """")"),27.9)</f>
        <v>27.9</v>
      </c>
      <c r="BW152" s="47">
        <f>IFERROR(__xludf.DUMMYFUNCTION("IFERROR(INDEX(motors!F:F, MATCH(1, (motors!A:A=REGEXEXTRACT(A152,""^\S+""))*(motors!B:B=BU152), 0)), """")"),16.0)</f>
        <v>16</v>
      </c>
      <c r="BX152" s="51">
        <v>2.0</v>
      </c>
      <c r="BY152" s="52">
        <v>188.0</v>
      </c>
      <c r="BZ152" s="53" t="s">
        <v>809</v>
      </c>
      <c r="CA152" s="53" t="str">
        <f>IFERROR(__xludf.DUMMYFUNCTION("IFERROR(REGEXEXTRACT(BZ152, ""(?i)[A-Z]+-D-E-([^-]+)-E""), """")"),"HQQE")</f>
        <v>HQQE</v>
      </c>
    </row>
    <row r="153" ht="11.25" customHeight="1">
      <c r="A153" s="61" t="s">
        <v>810</v>
      </c>
      <c r="B153" s="61">
        <v>7.4122721E7</v>
      </c>
      <c r="C153" s="62">
        <v>0.0</v>
      </c>
      <c r="D153" s="62">
        <v>22.0</v>
      </c>
      <c r="E153" s="62">
        <v>25.0</v>
      </c>
      <c r="F153" s="62">
        <v>30.0</v>
      </c>
      <c r="G153" s="62">
        <v>35.0</v>
      </c>
      <c r="H153" s="62">
        <v>40.0</v>
      </c>
      <c r="I153" s="62">
        <v>45.0</v>
      </c>
      <c r="J153" s="62">
        <v>50.0</v>
      </c>
      <c r="K153" s="62">
        <v>55.0</v>
      </c>
      <c r="L153" s="62">
        <v>55.0</v>
      </c>
      <c r="M153" s="48">
        <v>103.9</v>
      </c>
      <c r="N153" s="62">
        <v>99.2</v>
      </c>
      <c r="O153" s="62">
        <v>97.9</v>
      </c>
      <c r="P153" s="62">
        <v>94.1</v>
      </c>
      <c r="Q153" s="62">
        <v>89.4</v>
      </c>
      <c r="R153" s="62">
        <v>84.2</v>
      </c>
      <c r="S153" s="62">
        <v>77.6</v>
      </c>
      <c r="T153" s="62">
        <v>69.9</v>
      </c>
      <c r="U153" s="62">
        <v>60.0</v>
      </c>
      <c r="V153" s="62">
        <v>60.0</v>
      </c>
      <c r="W153" s="62">
        <f>W147*4</f>
        <v>5.6</v>
      </c>
      <c r="X153" s="62">
        <v>9.524</v>
      </c>
      <c r="Y153" s="62">
        <v>10.036</v>
      </c>
      <c r="Z153" s="62">
        <v>10.812</v>
      </c>
      <c r="AA153" s="62">
        <v>11.484</v>
      </c>
      <c r="AB153" s="62">
        <v>12.056</v>
      </c>
      <c r="AC153" s="62">
        <v>12.524</v>
      </c>
      <c r="AD153" s="62">
        <v>12.896</v>
      </c>
      <c r="AE153" s="62">
        <v>13.164</v>
      </c>
      <c r="AF153" s="62">
        <v>13.164</v>
      </c>
      <c r="AG153" s="62">
        <v>1.134</v>
      </c>
      <c r="AH153" s="62">
        <v>1.38</v>
      </c>
      <c r="AI153" s="62">
        <v>1.42</v>
      </c>
      <c r="AJ153" s="62">
        <v>1.551</v>
      </c>
      <c r="AK153" s="62">
        <v>1.805</v>
      </c>
      <c r="AL153" s="62">
        <v>2.162</v>
      </c>
      <c r="AM153" s="62">
        <v>2.65</v>
      </c>
      <c r="AN153" s="62">
        <v>3.3</v>
      </c>
      <c r="AO153" s="62">
        <v>4.166</v>
      </c>
      <c r="AP153" s="62">
        <v>4.166</v>
      </c>
      <c r="AQ153" s="62">
        <v>0.0</v>
      </c>
      <c r="AR153" s="62">
        <v>66.8</v>
      </c>
      <c r="AS153" s="62">
        <v>71.97</v>
      </c>
      <c r="AT153" s="62">
        <v>76.71</v>
      </c>
      <c r="AU153" s="62">
        <v>79.41</v>
      </c>
      <c r="AV153" s="62">
        <v>80.0</v>
      </c>
      <c r="AW153" s="62">
        <v>79.46</v>
      </c>
      <c r="AX153" s="62">
        <v>76.93</v>
      </c>
      <c r="AY153" s="62">
        <v>72.7</v>
      </c>
      <c r="AZ153" s="62">
        <v>72.7</v>
      </c>
      <c r="BA153" s="63">
        <v>886.0</v>
      </c>
      <c r="BB153" s="64">
        <v>489.0</v>
      </c>
      <c r="BC153" s="64">
        <v>255.0</v>
      </c>
      <c r="BD153" s="64">
        <v>178.0</v>
      </c>
      <c r="BE153" s="64" t="s">
        <v>793</v>
      </c>
      <c r="BF153" s="64" t="s">
        <v>794</v>
      </c>
      <c r="BG153" s="64" t="s">
        <v>795</v>
      </c>
      <c r="BH153" s="64"/>
      <c r="BI153" s="64">
        <v>190.0</v>
      </c>
      <c r="BJ153" s="64">
        <v>248.0</v>
      </c>
      <c r="BK153" s="64">
        <v>365.0</v>
      </c>
      <c r="BL153" s="64">
        <v>266.0</v>
      </c>
      <c r="BM153" s="64">
        <v>366.0</v>
      </c>
      <c r="BN153" s="64">
        <v>140.0</v>
      </c>
      <c r="BO153" s="64">
        <v>63.0</v>
      </c>
      <c r="BP153" s="64" t="s">
        <v>735</v>
      </c>
      <c r="BQ153" s="64" t="s">
        <v>642</v>
      </c>
      <c r="BR153" s="65">
        <v>16.0</v>
      </c>
      <c r="BS153" s="63" t="s">
        <v>796</v>
      </c>
      <c r="BT153" s="63" t="s">
        <v>796</v>
      </c>
      <c r="BU153" s="65">
        <v>15.0</v>
      </c>
      <c r="BV153" s="47">
        <f>IFERROR(__xludf.DUMMYFUNCTION("IFERROR(INDEX(motors!E:E, MATCH(1, (motors!A:A=REGEXEXTRACT(A153,""^\S+""))*(motors!B:B=BU153), 0)), """")"),27.9)</f>
        <v>27.9</v>
      </c>
      <c r="BW153" s="47">
        <f>IFERROR(__xludf.DUMMYFUNCTION("IFERROR(INDEX(motors!F:F, MATCH(1, (motors!A:A=REGEXEXTRACT(A153,""^\S+""))*(motors!B:B=BU153), 0)), """")"),16.0)</f>
        <v>16</v>
      </c>
      <c r="BX153" s="64">
        <v>2.0</v>
      </c>
      <c r="BY153" s="65">
        <v>188.0</v>
      </c>
      <c r="BZ153" s="63" t="s">
        <v>811</v>
      </c>
      <c r="CA153" s="53" t="str">
        <f>IFERROR(__xludf.DUMMYFUNCTION("IFERROR(REGEXEXTRACT(BZ153, ""(?i)[A-Z]+-D-E-([^-]+)-E""), """")"),"HQQE")</f>
        <v>HQQE</v>
      </c>
    </row>
    <row r="154" ht="11.25" customHeight="1">
      <c r="A154" s="46" t="s">
        <v>812</v>
      </c>
      <c r="B154" s="46">
        <v>7.4122722E7</v>
      </c>
      <c r="C154" s="47">
        <v>0.0</v>
      </c>
      <c r="D154" s="47">
        <v>22.0</v>
      </c>
      <c r="E154" s="47">
        <v>25.0</v>
      </c>
      <c r="F154" s="47">
        <v>30.0</v>
      </c>
      <c r="G154" s="47">
        <v>35.0</v>
      </c>
      <c r="H154" s="47">
        <v>40.0</v>
      </c>
      <c r="I154" s="47">
        <v>45.0</v>
      </c>
      <c r="J154" s="47">
        <v>50.0</v>
      </c>
      <c r="K154" s="47">
        <v>55.0</v>
      </c>
      <c r="L154" s="47">
        <v>55.0</v>
      </c>
      <c r="M154" s="48">
        <v>119.0</v>
      </c>
      <c r="N154" s="47">
        <v>114.7</v>
      </c>
      <c r="O154" s="47">
        <v>113.2</v>
      </c>
      <c r="P154" s="47">
        <v>108.9</v>
      </c>
      <c r="Q154" s="47">
        <v>103.0</v>
      </c>
      <c r="R154" s="47">
        <v>96.2</v>
      </c>
      <c r="S154" s="47">
        <v>88.40681552610002</v>
      </c>
      <c r="T154" s="47">
        <v>79.6</v>
      </c>
      <c r="U154" s="47">
        <v>68.6</v>
      </c>
      <c r="V154" s="47">
        <v>68.6</v>
      </c>
      <c r="W154" s="49">
        <f>W146*2+W147*3</f>
        <v>6.006</v>
      </c>
      <c r="X154" s="47">
        <v>10.915</v>
      </c>
      <c r="Y154" s="47">
        <v>11.559</v>
      </c>
      <c r="Z154" s="47">
        <v>12.515</v>
      </c>
      <c r="AA154" s="47">
        <v>13.318999999999999</v>
      </c>
      <c r="AB154" s="47">
        <v>13.972</v>
      </c>
      <c r="AC154" s="47">
        <v>14.472999999999999</v>
      </c>
      <c r="AD154" s="47">
        <v>14.828</v>
      </c>
      <c r="AE154" s="47">
        <v>15.030999999999999</v>
      </c>
      <c r="AF154" s="47">
        <v>15.030999999999999</v>
      </c>
      <c r="AG154" s="49">
        <v>1.134</v>
      </c>
      <c r="AH154" s="47">
        <v>1.38</v>
      </c>
      <c r="AI154" s="47">
        <v>1.42</v>
      </c>
      <c r="AJ154" s="47">
        <v>1.551</v>
      </c>
      <c r="AK154" s="47">
        <v>1.805</v>
      </c>
      <c r="AL154" s="47">
        <v>2.162</v>
      </c>
      <c r="AM154" s="47">
        <v>2.65</v>
      </c>
      <c r="AN154" s="47">
        <v>3.3</v>
      </c>
      <c r="AO154" s="47">
        <v>4.166</v>
      </c>
      <c r="AP154" s="47">
        <v>4.166</v>
      </c>
      <c r="AQ154" s="49">
        <v>0.0</v>
      </c>
      <c r="AR154" s="47">
        <v>66.8</v>
      </c>
      <c r="AS154" s="47">
        <v>71.97</v>
      </c>
      <c r="AT154" s="47">
        <v>76.71</v>
      </c>
      <c r="AU154" s="47">
        <v>79.41</v>
      </c>
      <c r="AV154" s="47">
        <v>80.0</v>
      </c>
      <c r="AW154" s="47">
        <v>79.46</v>
      </c>
      <c r="AX154" s="47">
        <v>76.93</v>
      </c>
      <c r="AY154" s="47">
        <v>72.7</v>
      </c>
      <c r="AZ154" s="47">
        <v>72.7</v>
      </c>
      <c r="BA154" s="50">
        <v>966.0</v>
      </c>
      <c r="BB154" s="51">
        <v>542.0</v>
      </c>
      <c r="BC154" s="51">
        <v>313.0</v>
      </c>
      <c r="BD154" s="51">
        <v>257.0</v>
      </c>
      <c r="BE154" s="51" t="s">
        <v>793</v>
      </c>
      <c r="BF154" s="51" t="s">
        <v>794</v>
      </c>
      <c r="BG154" s="51" t="s">
        <v>795</v>
      </c>
      <c r="BH154" s="51"/>
      <c r="BI154" s="51">
        <v>190.0</v>
      </c>
      <c r="BJ154" s="51">
        <v>248.0</v>
      </c>
      <c r="BK154" s="51">
        <v>365.0</v>
      </c>
      <c r="BL154" s="51">
        <v>266.0</v>
      </c>
      <c r="BM154" s="51">
        <v>366.0</v>
      </c>
      <c r="BN154" s="51">
        <v>140.0</v>
      </c>
      <c r="BO154" s="51">
        <v>63.0</v>
      </c>
      <c r="BP154" s="51" t="s">
        <v>735</v>
      </c>
      <c r="BQ154" s="51" t="s">
        <v>642</v>
      </c>
      <c r="BR154" s="52">
        <v>16.0</v>
      </c>
      <c r="BS154" s="53" t="s">
        <v>796</v>
      </c>
      <c r="BT154" s="53" t="s">
        <v>796</v>
      </c>
      <c r="BU154" s="52">
        <v>18.5</v>
      </c>
      <c r="BV154" s="47">
        <f>IFERROR(__xludf.DUMMYFUNCTION("IFERROR(INDEX(motors!E:E, MATCH(1, (motors!A:A=REGEXEXTRACT(A154,""^\S+""))*(motors!B:B=BU154), 0)), """")"),34.2)</f>
        <v>34.2</v>
      </c>
      <c r="BW154" s="47">
        <f>IFERROR(__xludf.DUMMYFUNCTION("IFERROR(INDEX(motors!F:F, MATCH(1, (motors!A:A=REGEXEXTRACT(A154,""^\S+""))*(motors!B:B=BU154), 0)), """")"),19.7)</f>
        <v>19.7</v>
      </c>
      <c r="BX154" s="51">
        <v>2.0</v>
      </c>
      <c r="BY154" s="52">
        <v>209.0</v>
      </c>
      <c r="BZ154" s="53" t="s">
        <v>813</v>
      </c>
      <c r="CA154" s="53" t="str">
        <f>IFERROR(__xludf.DUMMYFUNCTION("IFERROR(REGEXEXTRACT(BZ154, ""(?i)[A-Z]+-D-E-([^-]+)-E""), """")"),"HQQE")</f>
        <v>HQQE</v>
      </c>
    </row>
    <row r="155" ht="11.25" customHeight="1">
      <c r="A155" s="61" t="s">
        <v>814</v>
      </c>
      <c r="B155" s="61">
        <v>7.4122723E7</v>
      </c>
      <c r="C155" s="62">
        <v>0.0</v>
      </c>
      <c r="D155" s="62">
        <v>22.0</v>
      </c>
      <c r="E155" s="62">
        <v>25.0</v>
      </c>
      <c r="F155" s="62">
        <v>30.0</v>
      </c>
      <c r="G155" s="62">
        <v>35.0</v>
      </c>
      <c r="H155" s="62">
        <v>40.0</v>
      </c>
      <c r="I155" s="62">
        <v>45.0</v>
      </c>
      <c r="J155" s="62">
        <v>50.0</v>
      </c>
      <c r="K155" s="62">
        <v>55.0</v>
      </c>
      <c r="L155" s="62">
        <v>55.0</v>
      </c>
      <c r="M155" s="48">
        <v>128.5</v>
      </c>
      <c r="N155" s="62">
        <v>124.4</v>
      </c>
      <c r="O155" s="62">
        <v>122.5</v>
      </c>
      <c r="P155" s="62">
        <v>117.945874793</v>
      </c>
      <c r="Q155" s="62">
        <v>111.9543968845</v>
      </c>
      <c r="R155" s="62">
        <v>105.04861863100001</v>
      </c>
      <c r="S155" s="62">
        <v>97.1000954825</v>
      </c>
      <c r="T155" s="62">
        <v>87.2</v>
      </c>
      <c r="U155" s="62">
        <v>76.2</v>
      </c>
      <c r="V155" s="62">
        <v>76.2</v>
      </c>
      <c r="W155" s="62">
        <f>W147*5</f>
        <v>7</v>
      </c>
      <c r="X155" s="62">
        <v>11.905</v>
      </c>
      <c r="Y155" s="62">
        <v>12.545</v>
      </c>
      <c r="Z155" s="62">
        <v>13.514999999999999</v>
      </c>
      <c r="AA155" s="62">
        <v>14.355</v>
      </c>
      <c r="AB155" s="62">
        <v>15.069999999999999</v>
      </c>
      <c r="AC155" s="62">
        <v>15.655</v>
      </c>
      <c r="AD155" s="62">
        <v>16.12</v>
      </c>
      <c r="AE155" s="62">
        <v>16.455</v>
      </c>
      <c r="AF155" s="62">
        <v>16.455</v>
      </c>
      <c r="AG155" s="62">
        <v>1.134</v>
      </c>
      <c r="AH155" s="62">
        <v>1.38</v>
      </c>
      <c r="AI155" s="62">
        <v>1.42</v>
      </c>
      <c r="AJ155" s="62">
        <v>1.551</v>
      </c>
      <c r="AK155" s="62">
        <v>1.805</v>
      </c>
      <c r="AL155" s="62">
        <v>2.162</v>
      </c>
      <c r="AM155" s="62">
        <v>2.65</v>
      </c>
      <c r="AN155" s="62">
        <v>3.3</v>
      </c>
      <c r="AO155" s="62">
        <v>4.166</v>
      </c>
      <c r="AP155" s="62">
        <v>4.166</v>
      </c>
      <c r="AQ155" s="62">
        <v>0.0</v>
      </c>
      <c r="AR155" s="62">
        <v>66.8</v>
      </c>
      <c r="AS155" s="62">
        <v>71.97</v>
      </c>
      <c r="AT155" s="62">
        <v>76.71</v>
      </c>
      <c r="AU155" s="62">
        <v>79.41</v>
      </c>
      <c r="AV155" s="62">
        <v>80.0</v>
      </c>
      <c r="AW155" s="62">
        <v>79.46</v>
      </c>
      <c r="AX155" s="62">
        <v>76.93</v>
      </c>
      <c r="AY155" s="62">
        <v>72.7</v>
      </c>
      <c r="AZ155" s="62">
        <v>72.7</v>
      </c>
      <c r="BA155" s="63">
        <v>966.0</v>
      </c>
      <c r="BB155" s="64">
        <v>542.0</v>
      </c>
      <c r="BC155" s="64">
        <v>313.0</v>
      </c>
      <c r="BD155" s="64">
        <v>257.0</v>
      </c>
      <c r="BE155" s="64" t="s">
        <v>793</v>
      </c>
      <c r="BF155" s="64" t="s">
        <v>794</v>
      </c>
      <c r="BG155" s="64" t="s">
        <v>795</v>
      </c>
      <c r="BH155" s="64"/>
      <c r="BI155" s="64">
        <v>190.0</v>
      </c>
      <c r="BJ155" s="64">
        <v>248.0</v>
      </c>
      <c r="BK155" s="64">
        <v>365.0</v>
      </c>
      <c r="BL155" s="64">
        <v>266.0</v>
      </c>
      <c r="BM155" s="64">
        <v>366.0</v>
      </c>
      <c r="BN155" s="64">
        <v>140.0</v>
      </c>
      <c r="BO155" s="64">
        <v>63.0</v>
      </c>
      <c r="BP155" s="64" t="s">
        <v>735</v>
      </c>
      <c r="BQ155" s="64" t="s">
        <v>642</v>
      </c>
      <c r="BR155" s="65">
        <v>16.0</v>
      </c>
      <c r="BS155" s="63" t="s">
        <v>796</v>
      </c>
      <c r="BT155" s="63" t="s">
        <v>796</v>
      </c>
      <c r="BU155" s="65">
        <v>18.5</v>
      </c>
      <c r="BV155" s="47">
        <f>IFERROR(__xludf.DUMMYFUNCTION("IFERROR(INDEX(motors!E:E, MATCH(1, (motors!A:A=REGEXEXTRACT(A155,""^\S+""))*(motors!B:B=BU155), 0)), """")"),34.2)</f>
        <v>34.2</v>
      </c>
      <c r="BW155" s="47">
        <f>IFERROR(__xludf.DUMMYFUNCTION("IFERROR(INDEX(motors!F:F, MATCH(1, (motors!A:A=REGEXEXTRACT(A155,""^\S+""))*(motors!B:B=BU155), 0)), """")"),19.7)</f>
        <v>19.7</v>
      </c>
      <c r="BX155" s="64">
        <v>2.0</v>
      </c>
      <c r="BY155" s="65">
        <v>209.0</v>
      </c>
      <c r="BZ155" s="63" t="s">
        <v>815</v>
      </c>
      <c r="CA155" s="53" t="str">
        <f>IFERROR(__xludf.DUMMYFUNCTION("IFERROR(REGEXEXTRACT(BZ155, ""(?i)[A-Z]+-D-E-([^-]+)-E""), """")"),"HQQE")</f>
        <v>HQQE</v>
      </c>
    </row>
    <row r="156" ht="11.25" customHeight="1">
      <c r="A156" s="46" t="s">
        <v>816</v>
      </c>
      <c r="B156" s="46">
        <v>7.4122724E7</v>
      </c>
      <c r="C156" s="47">
        <v>0.0</v>
      </c>
      <c r="D156" s="47">
        <v>22.0</v>
      </c>
      <c r="E156" s="47">
        <v>25.0</v>
      </c>
      <c r="F156" s="47">
        <v>30.0</v>
      </c>
      <c r="G156" s="47">
        <v>35.0</v>
      </c>
      <c r="H156" s="47">
        <v>40.0</v>
      </c>
      <c r="I156" s="47">
        <v>45.0</v>
      </c>
      <c r="J156" s="47">
        <v>50.0</v>
      </c>
      <c r="K156" s="47">
        <v>55.0</v>
      </c>
      <c r="L156" s="47">
        <v>55.0</v>
      </c>
      <c r="M156" s="48">
        <v>143.5</v>
      </c>
      <c r="N156" s="47">
        <v>138.7</v>
      </c>
      <c r="O156" s="47">
        <v>137.0160803439</v>
      </c>
      <c r="P156" s="47">
        <v>131.80883771039998</v>
      </c>
      <c r="Q156" s="47">
        <v>125.4148352619</v>
      </c>
      <c r="R156" s="47">
        <v>117.7801219734</v>
      </c>
      <c r="S156" s="47">
        <v>108.78991431989999</v>
      </c>
      <c r="T156" s="47">
        <v>98.2685962764</v>
      </c>
      <c r="U156" s="47">
        <v>85.7</v>
      </c>
      <c r="V156" s="47">
        <v>85.7</v>
      </c>
      <c r="W156" s="49">
        <f>W146*2+W147*4</f>
        <v>7.406</v>
      </c>
      <c r="X156" s="47">
        <v>13.296</v>
      </c>
      <c r="Y156" s="47">
        <v>14.068</v>
      </c>
      <c r="Z156" s="47">
        <v>15.218</v>
      </c>
      <c r="AA156" s="47">
        <v>16.19</v>
      </c>
      <c r="AB156" s="47">
        <v>16.985999999999997</v>
      </c>
      <c r="AC156" s="47">
        <v>17.604</v>
      </c>
      <c r="AD156" s="47">
        <v>18.052</v>
      </c>
      <c r="AE156" s="47">
        <v>18.322</v>
      </c>
      <c r="AF156" s="47">
        <v>18.322</v>
      </c>
      <c r="AG156" s="49">
        <v>1.134</v>
      </c>
      <c r="AH156" s="47">
        <v>1.38</v>
      </c>
      <c r="AI156" s="47">
        <v>1.42</v>
      </c>
      <c r="AJ156" s="47">
        <v>1.551</v>
      </c>
      <c r="AK156" s="47">
        <v>1.805</v>
      </c>
      <c r="AL156" s="47">
        <v>2.162</v>
      </c>
      <c r="AM156" s="47">
        <v>2.65</v>
      </c>
      <c r="AN156" s="47">
        <v>3.3</v>
      </c>
      <c r="AO156" s="47">
        <v>4.166</v>
      </c>
      <c r="AP156" s="47">
        <v>4.166</v>
      </c>
      <c r="AQ156" s="49">
        <v>0.0</v>
      </c>
      <c r="AR156" s="47">
        <v>66.8</v>
      </c>
      <c r="AS156" s="47">
        <v>71.97</v>
      </c>
      <c r="AT156" s="47">
        <v>76.71</v>
      </c>
      <c r="AU156" s="47">
        <v>79.41</v>
      </c>
      <c r="AV156" s="47">
        <v>80.0</v>
      </c>
      <c r="AW156" s="47">
        <v>79.46</v>
      </c>
      <c r="AX156" s="47">
        <v>76.93</v>
      </c>
      <c r="AY156" s="47">
        <v>72.7</v>
      </c>
      <c r="AZ156" s="47">
        <v>72.7</v>
      </c>
      <c r="BA156" s="50">
        <v>1046.0</v>
      </c>
      <c r="BB156" s="51">
        <v>580.0</v>
      </c>
      <c r="BC156" s="51">
        <v>356.0</v>
      </c>
      <c r="BD156" s="51">
        <v>270.0</v>
      </c>
      <c r="BE156" s="51" t="s">
        <v>793</v>
      </c>
      <c r="BF156" s="51" t="s">
        <v>794</v>
      </c>
      <c r="BG156" s="51" t="s">
        <v>795</v>
      </c>
      <c r="BH156" s="51"/>
      <c r="BI156" s="51">
        <v>190.0</v>
      </c>
      <c r="BJ156" s="51">
        <v>248.0</v>
      </c>
      <c r="BK156" s="51">
        <v>365.0</v>
      </c>
      <c r="BL156" s="51">
        <v>266.0</v>
      </c>
      <c r="BM156" s="51">
        <v>366.0</v>
      </c>
      <c r="BN156" s="51">
        <v>140.0</v>
      </c>
      <c r="BO156" s="51">
        <v>63.0</v>
      </c>
      <c r="BP156" s="51" t="s">
        <v>735</v>
      </c>
      <c r="BQ156" s="51" t="s">
        <v>642</v>
      </c>
      <c r="BR156" s="52">
        <v>25.0</v>
      </c>
      <c r="BS156" s="53" t="s">
        <v>796</v>
      </c>
      <c r="BT156" s="53" t="s">
        <v>796</v>
      </c>
      <c r="BU156" s="52">
        <v>22.0</v>
      </c>
      <c r="BV156" s="47">
        <f>IFERROR(__xludf.DUMMYFUNCTION("IFERROR(INDEX(motors!E:E, MATCH(1, (motors!A:A=REGEXEXTRACT(A156,""^\S+""))*(motors!B:B=BU156), 0)), """")"),40.5)</f>
        <v>40.5</v>
      </c>
      <c r="BW156" s="47">
        <f>IFERROR(__xludf.DUMMYFUNCTION("IFERROR(INDEX(motors!F:F, MATCH(1, (motors!A:A=REGEXEXTRACT(A156,""^\S+""))*(motors!B:B=BU156), 0)), """")"),23.3)</f>
        <v>23.3</v>
      </c>
      <c r="BX156" s="51">
        <v>2.0</v>
      </c>
      <c r="BY156" s="52">
        <v>252.0</v>
      </c>
      <c r="BZ156" s="53" t="s">
        <v>817</v>
      </c>
      <c r="CA156" s="53" t="str">
        <f>IFERROR(__xludf.DUMMYFUNCTION("IFERROR(REGEXEXTRACT(BZ156, ""(?i)[A-Z]+-D-E-([^-]+)-E""), """")"),"HQQE")</f>
        <v>HQQE</v>
      </c>
    </row>
    <row r="157" ht="11.25" customHeight="1">
      <c r="A157" s="55" t="s">
        <v>818</v>
      </c>
      <c r="B157" s="55">
        <v>7.4122725E7</v>
      </c>
      <c r="C157" s="56">
        <v>0.0</v>
      </c>
      <c r="D157" s="56">
        <v>22.0</v>
      </c>
      <c r="E157" s="56">
        <v>25.0</v>
      </c>
      <c r="F157" s="56">
        <v>30.0</v>
      </c>
      <c r="G157" s="56">
        <v>35.0</v>
      </c>
      <c r="H157" s="56">
        <v>40.0</v>
      </c>
      <c r="I157" s="56">
        <v>45.0</v>
      </c>
      <c r="J157" s="56">
        <v>50.0</v>
      </c>
      <c r="K157" s="56">
        <v>55.0</v>
      </c>
      <c r="L157" s="56">
        <v>55.0</v>
      </c>
      <c r="M157" s="48">
        <v>153.5</v>
      </c>
      <c r="N157" s="56">
        <v>148.2</v>
      </c>
      <c r="O157" s="56">
        <v>146.6</v>
      </c>
      <c r="P157" s="56">
        <v>141.32976292019998</v>
      </c>
      <c r="Q157" s="56">
        <v>134.7542931727</v>
      </c>
      <c r="R157" s="56">
        <v>127.03898496519997</v>
      </c>
      <c r="S157" s="56">
        <v>117.94546309769997</v>
      </c>
      <c r="T157" s="56">
        <v>107.09937437019997</v>
      </c>
      <c r="U157" s="56">
        <v>93.7</v>
      </c>
      <c r="V157" s="56">
        <v>93.7</v>
      </c>
      <c r="W157" s="49">
        <f>W147*6</f>
        <v>8.4</v>
      </c>
      <c r="X157" s="56">
        <v>14.285999999999998</v>
      </c>
      <c r="Y157" s="56">
        <v>15.053999999999998</v>
      </c>
      <c r="Z157" s="56">
        <v>16.218</v>
      </c>
      <c r="AA157" s="56">
        <v>17.226</v>
      </c>
      <c r="AB157" s="56">
        <v>18.084</v>
      </c>
      <c r="AC157" s="56">
        <v>18.785999999999998</v>
      </c>
      <c r="AD157" s="56">
        <v>19.344</v>
      </c>
      <c r="AE157" s="56">
        <v>19.746</v>
      </c>
      <c r="AF157" s="56">
        <v>19.746</v>
      </c>
      <c r="AG157" s="49">
        <v>1.134</v>
      </c>
      <c r="AH157" s="56">
        <v>1.38</v>
      </c>
      <c r="AI157" s="56">
        <v>1.42</v>
      </c>
      <c r="AJ157" s="56">
        <v>1.551</v>
      </c>
      <c r="AK157" s="56">
        <v>1.805</v>
      </c>
      <c r="AL157" s="56">
        <v>2.162</v>
      </c>
      <c r="AM157" s="56">
        <v>2.65</v>
      </c>
      <c r="AN157" s="56">
        <v>3.3</v>
      </c>
      <c r="AO157" s="56">
        <v>4.166</v>
      </c>
      <c r="AP157" s="56">
        <v>4.166</v>
      </c>
      <c r="AQ157" s="49">
        <v>0.0</v>
      </c>
      <c r="AR157" s="56">
        <v>66.8</v>
      </c>
      <c r="AS157" s="56">
        <v>71.97</v>
      </c>
      <c r="AT157" s="56">
        <v>76.71</v>
      </c>
      <c r="AU157" s="56">
        <v>79.41</v>
      </c>
      <c r="AV157" s="56">
        <v>80.0</v>
      </c>
      <c r="AW157" s="56">
        <v>79.46</v>
      </c>
      <c r="AX157" s="56">
        <v>76.93</v>
      </c>
      <c r="AY157" s="56">
        <v>72.7</v>
      </c>
      <c r="AZ157" s="56">
        <v>72.7</v>
      </c>
      <c r="BA157" s="50">
        <v>1046.0</v>
      </c>
      <c r="BB157" s="57">
        <v>580.0</v>
      </c>
      <c r="BC157" s="57">
        <v>356.0</v>
      </c>
      <c r="BD157" s="57">
        <v>270.0</v>
      </c>
      <c r="BE157" s="57" t="s">
        <v>793</v>
      </c>
      <c r="BF157" s="57" t="s">
        <v>794</v>
      </c>
      <c r="BG157" s="57" t="s">
        <v>795</v>
      </c>
      <c r="BH157" s="57"/>
      <c r="BI157" s="57">
        <v>190.0</v>
      </c>
      <c r="BJ157" s="57">
        <v>248.0</v>
      </c>
      <c r="BK157" s="57">
        <v>365.0</v>
      </c>
      <c r="BL157" s="57">
        <v>266.0</v>
      </c>
      <c r="BM157" s="57">
        <v>366.0</v>
      </c>
      <c r="BN157" s="57">
        <v>140.0</v>
      </c>
      <c r="BO157" s="57">
        <v>63.0</v>
      </c>
      <c r="BP157" s="57" t="s">
        <v>735</v>
      </c>
      <c r="BQ157" s="57" t="s">
        <v>642</v>
      </c>
      <c r="BR157" s="58">
        <v>25.0</v>
      </c>
      <c r="BS157" s="59" t="s">
        <v>796</v>
      </c>
      <c r="BT157" s="59" t="s">
        <v>796</v>
      </c>
      <c r="BU157" s="58">
        <v>22.0</v>
      </c>
      <c r="BV157" s="47">
        <f>IFERROR(__xludf.DUMMYFUNCTION("IFERROR(INDEX(motors!E:E, MATCH(1, (motors!A:A=REGEXEXTRACT(A157,""^\S+""))*(motors!B:B=BU157), 0)), """")"),40.5)</f>
        <v>40.5</v>
      </c>
      <c r="BW157" s="47">
        <f>IFERROR(__xludf.DUMMYFUNCTION("IFERROR(INDEX(motors!F:F, MATCH(1, (motors!A:A=REGEXEXTRACT(A157,""^\S+""))*(motors!B:B=BU157), 0)), """")"),23.3)</f>
        <v>23.3</v>
      </c>
      <c r="BX157" s="57">
        <v>2.0</v>
      </c>
      <c r="BY157" s="58">
        <v>252.0</v>
      </c>
      <c r="BZ157" s="59" t="s">
        <v>819</v>
      </c>
      <c r="CA157" s="53" t="str">
        <f>IFERROR(__xludf.DUMMYFUNCTION("IFERROR(REGEXEXTRACT(BZ157, ""(?i)[A-Z]+-D-E-([^-]+)-E""), """")"),"HQQE")</f>
        <v>HQQE</v>
      </c>
    </row>
    <row r="158" ht="11.25" customHeight="1">
      <c r="A158" s="46" t="s">
        <v>820</v>
      </c>
      <c r="B158" s="46">
        <v>7.4122726E7</v>
      </c>
      <c r="C158" s="47">
        <v>0.0</v>
      </c>
      <c r="D158" s="47">
        <v>22.0</v>
      </c>
      <c r="E158" s="47">
        <v>25.0</v>
      </c>
      <c r="F158" s="47">
        <v>30.0</v>
      </c>
      <c r="G158" s="47">
        <v>35.0</v>
      </c>
      <c r="H158" s="47">
        <v>40.0</v>
      </c>
      <c r="I158" s="47">
        <v>45.0</v>
      </c>
      <c r="J158" s="47">
        <v>50.0</v>
      </c>
      <c r="K158" s="47">
        <v>55.0</v>
      </c>
      <c r="L158" s="47">
        <v>55.0</v>
      </c>
      <c r="M158" s="48">
        <v>169.8214477482</v>
      </c>
      <c r="N158" s="47">
        <v>162.78608231</v>
      </c>
      <c r="O158" s="47">
        <v>159.9089332682</v>
      </c>
      <c r="P158" s="47">
        <v>154.1555918772</v>
      </c>
      <c r="Q158" s="47">
        <v>147.1099882712</v>
      </c>
      <c r="R158" s="47">
        <v>138.5859480002</v>
      </c>
      <c r="S158" s="47">
        <v>128.3117771142</v>
      </c>
      <c r="T158" s="47">
        <v>115.93026216320001</v>
      </c>
      <c r="U158" s="47">
        <v>100.9986701972</v>
      </c>
      <c r="V158" s="47">
        <v>100.9986701972</v>
      </c>
      <c r="W158" s="49">
        <f>W146*2+W147*5</f>
        <v>8.806</v>
      </c>
      <c r="X158" s="47">
        <v>15.677</v>
      </c>
      <c r="Y158" s="47">
        <v>16.576999999999998</v>
      </c>
      <c r="Z158" s="47">
        <v>17.921</v>
      </c>
      <c r="AA158" s="47">
        <v>19.061</v>
      </c>
      <c r="AB158" s="47">
        <v>20.0</v>
      </c>
      <c r="AC158" s="47">
        <v>20.735</v>
      </c>
      <c r="AD158" s="47">
        <v>21.276</v>
      </c>
      <c r="AE158" s="47">
        <v>21.613</v>
      </c>
      <c r="AF158" s="47">
        <v>21.613</v>
      </c>
      <c r="AG158" s="49">
        <v>1.134</v>
      </c>
      <c r="AH158" s="47">
        <v>1.38</v>
      </c>
      <c r="AI158" s="47">
        <v>1.42</v>
      </c>
      <c r="AJ158" s="47">
        <v>1.551</v>
      </c>
      <c r="AK158" s="47">
        <v>1.805</v>
      </c>
      <c r="AL158" s="47">
        <v>2.162</v>
      </c>
      <c r="AM158" s="47">
        <v>2.65</v>
      </c>
      <c r="AN158" s="47">
        <v>3.3</v>
      </c>
      <c r="AO158" s="47">
        <v>4.166</v>
      </c>
      <c r="AP158" s="47">
        <v>4.166</v>
      </c>
      <c r="AQ158" s="49">
        <v>0.0</v>
      </c>
      <c r="AR158" s="47">
        <v>66.8</v>
      </c>
      <c r="AS158" s="47">
        <v>71.97</v>
      </c>
      <c r="AT158" s="47">
        <v>76.71</v>
      </c>
      <c r="AU158" s="47">
        <v>79.41</v>
      </c>
      <c r="AV158" s="47">
        <v>80.0</v>
      </c>
      <c r="AW158" s="47">
        <v>79.46</v>
      </c>
      <c r="AX158" s="47">
        <v>76.93</v>
      </c>
      <c r="AY158" s="47">
        <v>72.7</v>
      </c>
      <c r="AZ158" s="47">
        <v>72.7</v>
      </c>
      <c r="BA158" s="50">
        <v>1126.0</v>
      </c>
      <c r="BB158" s="51">
        <v>653.0</v>
      </c>
      <c r="BC158" s="51">
        <v>395.0</v>
      </c>
      <c r="BD158" s="51">
        <v>304.0</v>
      </c>
      <c r="BE158" s="51" t="s">
        <v>793</v>
      </c>
      <c r="BF158" s="51" t="s">
        <v>794</v>
      </c>
      <c r="BG158" s="51" t="s">
        <v>795</v>
      </c>
      <c r="BH158" s="51"/>
      <c r="BI158" s="51">
        <v>190.0</v>
      </c>
      <c r="BJ158" s="51">
        <v>248.0</v>
      </c>
      <c r="BK158" s="51">
        <v>365.0</v>
      </c>
      <c r="BL158" s="51">
        <v>266.0</v>
      </c>
      <c r="BM158" s="51">
        <v>366.0</v>
      </c>
      <c r="BN158" s="51">
        <v>140.0</v>
      </c>
      <c r="BO158" s="51">
        <v>63.0</v>
      </c>
      <c r="BP158" s="51" t="s">
        <v>735</v>
      </c>
      <c r="BQ158" s="51" t="s">
        <v>642</v>
      </c>
      <c r="BR158" s="52">
        <v>25.0</v>
      </c>
      <c r="BS158" s="53" t="s">
        <v>796</v>
      </c>
      <c r="BT158" s="53" t="s">
        <v>796</v>
      </c>
      <c r="BU158" s="52">
        <v>30.0</v>
      </c>
      <c r="BV158" s="47">
        <f>IFERROR(__xludf.DUMMYFUNCTION("IFERROR(INDEX(motors!E:E, MATCH(1, (motors!A:A=REGEXEXTRACT(A158,""^\S+""))*(motors!B:B=BU158), 0)), """")"),54.9)</f>
        <v>54.9</v>
      </c>
      <c r="BW158" s="47">
        <f>IFERROR(__xludf.DUMMYFUNCTION("IFERROR(INDEX(motors!F:F, MATCH(1, (motors!A:A=REGEXEXTRACT(A158,""^\S+""))*(motors!B:B=BU158), 0)), """")"),31.6)</f>
        <v>31.6</v>
      </c>
      <c r="BX158" s="51">
        <v>2.0</v>
      </c>
      <c r="BY158" s="52">
        <v>314.0</v>
      </c>
      <c r="BZ158" s="53" t="s">
        <v>821</v>
      </c>
      <c r="CA158" s="53" t="str">
        <f>IFERROR(__xludf.DUMMYFUNCTION("IFERROR(REGEXEXTRACT(BZ158, ""(?i)[A-Z]+-D-E-([^-]+)-E""), """")"),"HQQE")</f>
        <v>HQQE</v>
      </c>
    </row>
    <row r="159" ht="11.25" customHeight="1">
      <c r="A159" s="55" t="s">
        <v>822</v>
      </c>
      <c r="B159" s="55">
        <v>7.4122727E7</v>
      </c>
      <c r="C159" s="56">
        <v>0.0</v>
      </c>
      <c r="D159" s="56">
        <v>22.0</v>
      </c>
      <c r="E159" s="56">
        <v>25.0</v>
      </c>
      <c r="F159" s="56">
        <v>30.0</v>
      </c>
      <c r="G159" s="56">
        <v>35.0</v>
      </c>
      <c r="H159" s="56">
        <v>40.0</v>
      </c>
      <c r="I159" s="56">
        <v>45.0</v>
      </c>
      <c r="J159" s="56">
        <v>50.0</v>
      </c>
      <c r="K159" s="56">
        <v>55.0</v>
      </c>
      <c r="L159" s="56">
        <v>55.0</v>
      </c>
      <c r="M159" s="48">
        <v>181.135731515</v>
      </c>
      <c r="N159" s="56">
        <v>172.0147534576</v>
      </c>
      <c r="O159" s="56">
        <v>169.2527144725</v>
      </c>
      <c r="P159" s="56">
        <v>163.492902884</v>
      </c>
      <c r="Q159" s="56">
        <v>156.1528323605</v>
      </c>
      <c r="R159" s="56">
        <v>147.10850352699998</v>
      </c>
      <c r="S159" s="56">
        <v>136.27088650849998</v>
      </c>
      <c r="T159" s="56">
        <v>123.58592093</v>
      </c>
      <c r="U159" s="56">
        <v>109.03451591649998</v>
      </c>
      <c r="V159" s="56">
        <v>109.03451591649998</v>
      </c>
      <c r="W159" s="49">
        <f>W147*7</f>
        <v>9.8</v>
      </c>
      <c r="X159" s="56">
        <v>16.666999999999998</v>
      </c>
      <c r="Y159" s="56">
        <v>17.563</v>
      </c>
      <c r="Z159" s="56">
        <v>18.921</v>
      </c>
      <c r="AA159" s="56">
        <v>20.097</v>
      </c>
      <c r="AB159" s="56">
        <v>21.098</v>
      </c>
      <c r="AC159" s="56">
        <v>21.916999999999998</v>
      </c>
      <c r="AD159" s="56">
        <v>22.568</v>
      </c>
      <c r="AE159" s="56">
        <v>23.037</v>
      </c>
      <c r="AF159" s="56">
        <v>23.037</v>
      </c>
      <c r="AG159" s="49">
        <v>1.134</v>
      </c>
      <c r="AH159" s="56">
        <v>1.38</v>
      </c>
      <c r="AI159" s="56">
        <v>1.42</v>
      </c>
      <c r="AJ159" s="56">
        <v>1.551</v>
      </c>
      <c r="AK159" s="56">
        <v>1.805</v>
      </c>
      <c r="AL159" s="56">
        <v>2.162</v>
      </c>
      <c r="AM159" s="56">
        <v>2.65</v>
      </c>
      <c r="AN159" s="56">
        <v>3.3</v>
      </c>
      <c r="AO159" s="56">
        <v>4.166</v>
      </c>
      <c r="AP159" s="56">
        <v>4.166</v>
      </c>
      <c r="AQ159" s="49">
        <v>0.0</v>
      </c>
      <c r="AR159" s="56">
        <v>66.8</v>
      </c>
      <c r="AS159" s="56">
        <v>71.97</v>
      </c>
      <c r="AT159" s="56">
        <v>76.71</v>
      </c>
      <c r="AU159" s="56">
        <v>79.41</v>
      </c>
      <c r="AV159" s="56">
        <v>80.0</v>
      </c>
      <c r="AW159" s="56">
        <v>79.46</v>
      </c>
      <c r="AX159" s="56">
        <v>76.93</v>
      </c>
      <c r="AY159" s="56">
        <v>72.7</v>
      </c>
      <c r="AZ159" s="56">
        <v>72.7</v>
      </c>
      <c r="BA159" s="50">
        <v>1126.0</v>
      </c>
      <c r="BB159" s="57">
        <v>653.0</v>
      </c>
      <c r="BC159" s="57">
        <v>395.0</v>
      </c>
      <c r="BD159" s="57">
        <v>304.0</v>
      </c>
      <c r="BE159" s="57" t="s">
        <v>793</v>
      </c>
      <c r="BF159" s="57" t="s">
        <v>794</v>
      </c>
      <c r="BG159" s="57" t="s">
        <v>795</v>
      </c>
      <c r="BH159" s="57"/>
      <c r="BI159" s="57">
        <v>190.0</v>
      </c>
      <c r="BJ159" s="57">
        <v>248.0</v>
      </c>
      <c r="BK159" s="57">
        <v>365.0</v>
      </c>
      <c r="BL159" s="57">
        <v>266.0</v>
      </c>
      <c r="BM159" s="57">
        <v>366.0</v>
      </c>
      <c r="BN159" s="57">
        <v>140.0</v>
      </c>
      <c r="BO159" s="57">
        <v>63.0</v>
      </c>
      <c r="BP159" s="57" t="s">
        <v>735</v>
      </c>
      <c r="BQ159" s="57" t="s">
        <v>642</v>
      </c>
      <c r="BR159" s="58">
        <v>25.0</v>
      </c>
      <c r="BS159" s="59" t="s">
        <v>796</v>
      </c>
      <c r="BT159" s="59" t="s">
        <v>796</v>
      </c>
      <c r="BU159" s="58">
        <v>30.0</v>
      </c>
      <c r="BV159" s="47">
        <f>IFERROR(__xludf.DUMMYFUNCTION("IFERROR(INDEX(motors!E:E, MATCH(1, (motors!A:A=REGEXEXTRACT(A159,""^\S+""))*(motors!B:B=BU159), 0)), """")"),54.9)</f>
        <v>54.9</v>
      </c>
      <c r="BW159" s="47">
        <f>IFERROR(__xludf.DUMMYFUNCTION("IFERROR(INDEX(motors!F:F, MATCH(1, (motors!A:A=REGEXEXTRACT(A159,""^\S+""))*(motors!B:B=BU159), 0)), """")"),31.6)</f>
        <v>31.6</v>
      </c>
      <c r="BX159" s="57">
        <v>2.0</v>
      </c>
      <c r="BY159" s="58">
        <v>314.0</v>
      </c>
      <c r="BZ159" s="59" t="s">
        <v>823</v>
      </c>
      <c r="CA159" s="53" t="str">
        <f>IFERROR(__xludf.DUMMYFUNCTION("IFERROR(REGEXEXTRACT(BZ159, ""(?i)[A-Z]+-D-E-([^-]+)-E""), """")"),"HQQE")</f>
        <v>HQQE</v>
      </c>
    </row>
    <row r="160" ht="11.25" customHeight="1">
      <c r="A160" s="46" t="s">
        <v>824</v>
      </c>
      <c r="B160" s="46">
        <v>7.4122728E7</v>
      </c>
      <c r="C160" s="47">
        <v>0.0</v>
      </c>
      <c r="D160" s="47">
        <v>22.0</v>
      </c>
      <c r="E160" s="47">
        <v>25.0</v>
      </c>
      <c r="F160" s="47">
        <v>30.0</v>
      </c>
      <c r="G160" s="47">
        <v>35.0</v>
      </c>
      <c r="H160" s="47">
        <v>40.0</v>
      </c>
      <c r="I160" s="47">
        <v>45.0</v>
      </c>
      <c r="J160" s="47">
        <v>50.0</v>
      </c>
      <c r="K160" s="47">
        <v>55.0</v>
      </c>
      <c r="L160" s="47">
        <v>55.0</v>
      </c>
      <c r="M160" s="48">
        <v>194.1025481962</v>
      </c>
      <c r="N160" s="47">
        <v>186.702442503</v>
      </c>
      <c r="O160" s="47">
        <v>183.94902279119998</v>
      </c>
      <c r="P160" s="47">
        <v>177.84702497019998</v>
      </c>
      <c r="Q160" s="47">
        <v>169.6889072942</v>
      </c>
      <c r="R160" s="47">
        <v>159.3738087882</v>
      </c>
      <c r="S160" s="47">
        <v>146.90022847720002</v>
      </c>
      <c r="T160" s="47">
        <v>132.3660253862</v>
      </c>
      <c r="U160" s="47">
        <v>115.96841854020002</v>
      </c>
      <c r="V160" s="47">
        <v>115.96841854020002</v>
      </c>
      <c r="W160" s="49">
        <f>W146*2+W147*6</f>
        <v>10.206</v>
      </c>
      <c r="X160" s="47">
        <v>18.057999999999996</v>
      </c>
      <c r="Y160" s="47">
        <v>19.086</v>
      </c>
      <c r="Z160" s="47">
        <v>20.624</v>
      </c>
      <c r="AA160" s="47">
        <v>21.932</v>
      </c>
      <c r="AB160" s="47">
        <v>23.014</v>
      </c>
      <c r="AC160" s="47">
        <v>23.866</v>
      </c>
      <c r="AD160" s="47">
        <v>24.5</v>
      </c>
      <c r="AE160" s="47">
        <v>24.904</v>
      </c>
      <c r="AF160" s="47">
        <v>24.904</v>
      </c>
      <c r="AG160" s="49">
        <v>1.134</v>
      </c>
      <c r="AH160" s="47">
        <v>1.38</v>
      </c>
      <c r="AI160" s="47">
        <v>1.42</v>
      </c>
      <c r="AJ160" s="47">
        <v>1.551</v>
      </c>
      <c r="AK160" s="47">
        <v>1.805</v>
      </c>
      <c r="AL160" s="47">
        <v>2.162</v>
      </c>
      <c r="AM160" s="47">
        <v>2.65</v>
      </c>
      <c r="AN160" s="47">
        <v>3.3</v>
      </c>
      <c r="AO160" s="47">
        <v>4.166</v>
      </c>
      <c r="AP160" s="47">
        <v>4.166</v>
      </c>
      <c r="AQ160" s="49">
        <v>0.0</v>
      </c>
      <c r="AR160" s="47">
        <v>66.8</v>
      </c>
      <c r="AS160" s="47">
        <v>71.97</v>
      </c>
      <c r="AT160" s="47">
        <v>76.71</v>
      </c>
      <c r="AU160" s="47">
        <v>79.41</v>
      </c>
      <c r="AV160" s="47">
        <v>80.0</v>
      </c>
      <c r="AW160" s="47">
        <v>79.46</v>
      </c>
      <c r="AX160" s="47">
        <v>76.93</v>
      </c>
      <c r="AY160" s="47">
        <v>72.7</v>
      </c>
      <c r="AZ160" s="47">
        <v>72.7</v>
      </c>
      <c r="BA160" s="50">
        <v>1206.0</v>
      </c>
      <c r="BB160" s="51">
        <v>653.0</v>
      </c>
      <c r="BC160" s="51">
        <v>395.0</v>
      </c>
      <c r="BD160" s="51">
        <v>304.0</v>
      </c>
      <c r="BE160" s="51" t="s">
        <v>793</v>
      </c>
      <c r="BF160" s="51" t="s">
        <v>794</v>
      </c>
      <c r="BG160" s="51" t="s">
        <v>795</v>
      </c>
      <c r="BH160" s="51"/>
      <c r="BI160" s="51">
        <v>190.0</v>
      </c>
      <c r="BJ160" s="51">
        <v>248.0</v>
      </c>
      <c r="BK160" s="51">
        <v>365.0</v>
      </c>
      <c r="BL160" s="51">
        <v>266.0</v>
      </c>
      <c r="BM160" s="51">
        <v>366.0</v>
      </c>
      <c r="BN160" s="51">
        <v>140.0</v>
      </c>
      <c r="BO160" s="51">
        <v>63.0</v>
      </c>
      <c r="BP160" s="51" t="s">
        <v>735</v>
      </c>
      <c r="BQ160" s="51" t="s">
        <v>642</v>
      </c>
      <c r="BR160" s="52">
        <v>25.0</v>
      </c>
      <c r="BS160" s="53" t="s">
        <v>796</v>
      </c>
      <c r="BT160" s="53" t="s">
        <v>796</v>
      </c>
      <c r="BU160" s="52">
        <v>30.0</v>
      </c>
      <c r="BV160" s="47">
        <f>IFERROR(__xludf.DUMMYFUNCTION("IFERROR(INDEX(motors!E:E, MATCH(1, (motors!A:A=REGEXEXTRACT(A160,""^\S+""))*(motors!B:B=BU160), 0)), """")"),54.9)</f>
        <v>54.9</v>
      </c>
      <c r="BW160" s="47">
        <f>IFERROR(__xludf.DUMMYFUNCTION("IFERROR(INDEX(motors!F:F, MATCH(1, (motors!A:A=REGEXEXTRACT(A160,""^\S+""))*(motors!B:B=BU160), 0)), """")"),31.6)</f>
        <v>31.6</v>
      </c>
      <c r="BX160" s="51">
        <v>2.0</v>
      </c>
      <c r="BY160" s="52">
        <v>318.0</v>
      </c>
      <c r="BZ160" s="53" t="s">
        <v>825</v>
      </c>
      <c r="CA160" s="53" t="str">
        <f>IFERROR(__xludf.DUMMYFUNCTION("IFERROR(REGEXEXTRACT(BZ160, ""(?i)[A-Z]+-D-E-([^-]+)-E""), """")"),"HQQE")</f>
        <v>HQQE</v>
      </c>
    </row>
    <row r="161" ht="11.25" customHeight="1">
      <c r="A161" s="55" t="s">
        <v>826</v>
      </c>
      <c r="B161" s="55">
        <v>7.4122729E7</v>
      </c>
      <c r="C161" s="56">
        <v>0.0</v>
      </c>
      <c r="D161" s="56">
        <v>22.0</v>
      </c>
      <c r="E161" s="56">
        <v>25.0</v>
      </c>
      <c r="F161" s="56">
        <v>30.0</v>
      </c>
      <c r="G161" s="56">
        <v>35.0</v>
      </c>
      <c r="H161" s="56">
        <v>40.0</v>
      </c>
      <c r="I161" s="56">
        <v>45.0</v>
      </c>
      <c r="J161" s="56">
        <v>50.0</v>
      </c>
      <c r="K161" s="56">
        <v>55.0</v>
      </c>
      <c r="L161" s="56">
        <v>55.0</v>
      </c>
      <c r="M161" s="48">
        <v>204.8219880668</v>
      </c>
      <c r="N161" s="56">
        <v>196.9606792642</v>
      </c>
      <c r="O161" s="56">
        <v>194.4149986393</v>
      </c>
      <c r="P161" s="56">
        <v>188.3328390938</v>
      </c>
      <c r="Q161" s="56">
        <v>179.75459830329999</v>
      </c>
      <c r="R161" s="56">
        <v>168.67486254279999</v>
      </c>
      <c r="S161" s="56">
        <v>155.3346170873</v>
      </c>
      <c r="T161" s="56">
        <v>140.22124621179998</v>
      </c>
      <c r="U161" s="56">
        <v>123.0</v>
      </c>
      <c r="V161" s="56">
        <v>123.0</v>
      </c>
      <c r="W161" s="49">
        <f>W147*8</f>
        <v>11.2</v>
      </c>
      <c r="X161" s="56">
        <v>19.048</v>
      </c>
      <c r="Y161" s="56">
        <v>20.072</v>
      </c>
      <c r="Z161" s="56">
        <v>21.624</v>
      </c>
      <c r="AA161" s="56">
        <v>22.968</v>
      </c>
      <c r="AB161" s="56">
        <v>24.112</v>
      </c>
      <c r="AC161" s="56">
        <v>25.048</v>
      </c>
      <c r="AD161" s="56">
        <v>25.792</v>
      </c>
      <c r="AE161" s="56">
        <v>26.328</v>
      </c>
      <c r="AF161" s="56">
        <v>26.328</v>
      </c>
      <c r="AG161" s="49">
        <v>1.134</v>
      </c>
      <c r="AH161" s="56">
        <v>1.38</v>
      </c>
      <c r="AI161" s="56">
        <v>1.42</v>
      </c>
      <c r="AJ161" s="56">
        <v>1.551</v>
      </c>
      <c r="AK161" s="56">
        <v>1.805</v>
      </c>
      <c r="AL161" s="56">
        <v>2.162</v>
      </c>
      <c r="AM161" s="56">
        <v>2.65</v>
      </c>
      <c r="AN161" s="56">
        <v>3.3</v>
      </c>
      <c r="AO161" s="56">
        <v>4.166</v>
      </c>
      <c r="AP161" s="56">
        <v>4.166</v>
      </c>
      <c r="AQ161" s="49">
        <v>0.0</v>
      </c>
      <c r="AR161" s="56">
        <v>66.8</v>
      </c>
      <c r="AS161" s="56">
        <v>71.97</v>
      </c>
      <c r="AT161" s="56">
        <v>76.71</v>
      </c>
      <c r="AU161" s="56">
        <v>79.41</v>
      </c>
      <c r="AV161" s="56">
        <v>80.0</v>
      </c>
      <c r="AW161" s="56">
        <v>79.46</v>
      </c>
      <c r="AX161" s="56">
        <v>76.93</v>
      </c>
      <c r="AY161" s="56">
        <v>72.7</v>
      </c>
      <c r="AZ161" s="56">
        <v>72.7</v>
      </c>
      <c r="BA161" s="50">
        <v>1206.0</v>
      </c>
      <c r="BB161" s="57">
        <v>653.0</v>
      </c>
      <c r="BC161" s="57">
        <v>395.0</v>
      </c>
      <c r="BD161" s="57">
        <v>304.0</v>
      </c>
      <c r="BE161" s="57" t="s">
        <v>793</v>
      </c>
      <c r="BF161" s="57" t="s">
        <v>794</v>
      </c>
      <c r="BG161" s="57" t="s">
        <v>795</v>
      </c>
      <c r="BH161" s="57"/>
      <c r="BI161" s="57">
        <v>190.0</v>
      </c>
      <c r="BJ161" s="57">
        <v>248.0</v>
      </c>
      <c r="BK161" s="57">
        <v>365.0</v>
      </c>
      <c r="BL161" s="57">
        <v>266.0</v>
      </c>
      <c r="BM161" s="57">
        <v>366.0</v>
      </c>
      <c r="BN161" s="57">
        <v>140.0</v>
      </c>
      <c r="BO161" s="57">
        <v>63.0</v>
      </c>
      <c r="BP161" s="57" t="s">
        <v>735</v>
      </c>
      <c r="BQ161" s="57" t="s">
        <v>642</v>
      </c>
      <c r="BR161" s="58">
        <v>25.0</v>
      </c>
      <c r="BS161" s="59" t="s">
        <v>796</v>
      </c>
      <c r="BT161" s="59" t="s">
        <v>796</v>
      </c>
      <c r="BU161" s="58">
        <v>30.0</v>
      </c>
      <c r="BV161" s="47">
        <f>IFERROR(__xludf.DUMMYFUNCTION("IFERROR(INDEX(motors!E:E, MATCH(1, (motors!A:A=REGEXEXTRACT(A161,""^\S+""))*(motors!B:B=BU161), 0)), """")"),54.9)</f>
        <v>54.9</v>
      </c>
      <c r="BW161" s="47">
        <f>IFERROR(__xludf.DUMMYFUNCTION("IFERROR(INDEX(motors!F:F, MATCH(1, (motors!A:A=REGEXEXTRACT(A161,""^\S+""))*(motors!B:B=BU161), 0)), """")"),31.6)</f>
        <v>31.6</v>
      </c>
      <c r="BX161" s="57">
        <v>2.0</v>
      </c>
      <c r="BY161" s="58">
        <v>318.0</v>
      </c>
      <c r="BZ161" s="59" t="s">
        <v>827</v>
      </c>
      <c r="CA161" s="53" t="str">
        <f>IFERROR(__xludf.DUMMYFUNCTION("IFERROR(REGEXEXTRACT(BZ161, ""(?i)[A-Z]+-D-E-([^-]+)-E""), """")"),"HQQE")</f>
        <v>HQQE</v>
      </c>
    </row>
    <row r="162" ht="11.25" customHeight="1">
      <c r="A162" s="46" t="s">
        <v>828</v>
      </c>
      <c r="B162" s="46">
        <v>7.412273E7</v>
      </c>
      <c r="C162" s="47">
        <v>0.0</v>
      </c>
      <c r="D162" s="47">
        <v>22.0</v>
      </c>
      <c r="E162" s="47">
        <v>25.0</v>
      </c>
      <c r="F162" s="47">
        <v>30.0</v>
      </c>
      <c r="G162" s="47">
        <v>35.0</v>
      </c>
      <c r="H162" s="47">
        <v>40.0</v>
      </c>
      <c r="I162" s="47">
        <v>45.0</v>
      </c>
      <c r="J162" s="47">
        <v>50.0</v>
      </c>
      <c r="K162" s="47">
        <v>55.0</v>
      </c>
      <c r="L162" s="47">
        <v>55.0</v>
      </c>
      <c r="M162" s="48">
        <v>220.001336994</v>
      </c>
      <c r="N162" s="47">
        <v>212.3018041068</v>
      </c>
      <c r="O162" s="47">
        <v>209.15</v>
      </c>
      <c r="P162" s="47">
        <v>201.99831761400003</v>
      </c>
      <c r="Q162" s="47">
        <v>193.112930239</v>
      </c>
      <c r="R162" s="47">
        <v>182.072232594</v>
      </c>
      <c r="S162" s="47">
        <v>168.59498187900002</v>
      </c>
      <c r="T162" s="47">
        <v>152.35392429400002</v>
      </c>
      <c r="U162" s="47">
        <v>132.97579503900002</v>
      </c>
      <c r="V162" s="47">
        <v>132.97579503900002</v>
      </c>
      <c r="W162" s="49">
        <f>W146*2+W147*7</f>
        <v>11.606</v>
      </c>
      <c r="X162" s="47">
        <v>20.438999999999997</v>
      </c>
      <c r="Y162" s="47">
        <v>21.595</v>
      </c>
      <c r="Z162" s="47">
        <v>23.326999999999998</v>
      </c>
      <c r="AA162" s="47">
        <v>24.803</v>
      </c>
      <c r="AB162" s="47">
        <v>26.028</v>
      </c>
      <c r="AC162" s="47">
        <v>26.997</v>
      </c>
      <c r="AD162" s="47">
        <v>27.724</v>
      </c>
      <c r="AE162" s="47">
        <v>28.195</v>
      </c>
      <c r="AF162" s="47">
        <v>28.195</v>
      </c>
      <c r="AG162" s="49">
        <v>1.134</v>
      </c>
      <c r="AH162" s="47">
        <v>1.38</v>
      </c>
      <c r="AI162" s="47">
        <v>1.42</v>
      </c>
      <c r="AJ162" s="47">
        <v>1.551</v>
      </c>
      <c r="AK162" s="47">
        <v>1.805</v>
      </c>
      <c r="AL162" s="47">
        <v>2.162</v>
      </c>
      <c r="AM162" s="47">
        <v>2.65</v>
      </c>
      <c r="AN162" s="47">
        <v>3.3</v>
      </c>
      <c r="AO162" s="47">
        <v>4.166</v>
      </c>
      <c r="AP162" s="47">
        <v>4.166</v>
      </c>
      <c r="AQ162" s="49">
        <v>0.0</v>
      </c>
      <c r="AR162" s="47">
        <v>66.8</v>
      </c>
      <c r="AS162" s="47">
        <v>71.97</v>
      </c>
      <c r="AT162" s="47">
        <v>76.71</v>
      </c>
      <c r="AU162" s="47">
        <v>79.41</v>
      </c>
      <c r="AV162" s="47">
        <v>80.0</v>
      </c>
      <c r="AW162" s="47">
        <v>79.46</v>
      </c>
      <c r="AX162" s="47">
        <v>76.93</v>
      </c>
      <c r="AY162" s="47">
        <v>72.7</v>
      </c>
      <c r="AZ162" s="47">
        <v>72.7</v>
      </c>
      <c r="BA162" s="50">
        <v>1286.0</v>
      </c>
      <c r="BB162" s="51">
        <v>653.0</v>
      </c>
      <c r="BC162" s="51">
        <v>395.0</v>
      </c>
      <c r="BD162" s="51">
        <v>304.0</v>
      </c>
      <c r="BE162" s="51" t="s">
        <v>793</v>
      </c>
      <c r="BF162" s="51" t="s">
        <v>794</v>
      </c>
      <c r="BG162" s="51" t="s">
        <v>795</v>
      </c>
      <c r="BH162" s="51"/>
      <c r="BI162" s="51">
        <v>190.0</v>
      </c>
      <c r="BJ162" s="51">
        <v>248.0</v>
      </c>
      <c r="BK162" s="51">
        <v>365.0</v>
      </c>
      <c r="BL162" s="51">
        <v>266.0</v>
      </c>
      <c r="BM162" s="51">
        <v>366.0</v>
      </c>
      <c r="BN162" s="51">
        <v>140.0</v>
      </c>
      <c r="BO162" s="51">
        <v>63.0</v>
      </c>
      <c r="BP162" s="51" t="s">
        <v>735</v>
      </c>
      <c r="BQ162" s="51" t="s">
        <v>642</v>
      </c>
      <c r="BR162" s="52">
        <v>25.0</v>
      </c>
      <c r="BS162" s="53" t="s">
        <v>796</v>
      </c>
      <c r="BT162" s="53" t="s">
        <v>796</v>
      </c>
      <c r="BU162" s="52">
        <v>30.0</v>
      </c>
      <c r="BV162" s="47">
        <f>IFERROR(__xludf.DUMMYFUNCTION("IFERROR(INDEX(motors!E:E, MATCH(1, (motors!A:A=REGEXEXTRACT(A162,""^\S+""))*(motors!B:B=BU162), 0)), """")"),54.9)</f>
        <v>54.9</v>
      </c>
      <c r="BW162" s="47">
        <f>IFERROR(__xludf.DUMMYFUNCTION("IFERROR(INDEX(motors!F:F, MATCH(1, (motors!A:A=REGEXEXTRACT(A162,""^\S+""))*(motors!B:B=BU162), 0)), """")"),31.6)</f>
        <v>31.6</v>
      </c>
      <c r="BX162" s="51">
        <v>2.0</v>
      </c>
      <c r="BY162" s="52">
        <v>322.0</v>
      </c>
      <c r="BZ162" s="53" t="s">
        <v>829</v>
      </c>
      <c r="CA162" s="53" t="str">
        <f>IFERROR(__xludf.DUMMYFUNCTION("IFERROR(REGEXEXTRACT(BZ162, ""(?i)[A-Z]+-D-E-([^-]+)-E""), """")"),"HQQE")</f>
        <v>HQQE</v>
      </c>
    </row>
    <row r="163" ht="11.25" customHeight="1">
      <c r="A163" s="55" t="s">
        <v>830</v>
      </c>
      <c r="B163" s="55">
        <v>7.4122731E7</v>
      </c>
      <c r="C163" s="56">
        <v>0.0</v>
      </c>
      <c r="D163" s="56">
        <v>22.0</v>
      </c>
      <c r="E163" s="56">
        <v>25.0</v>
      </c>
      <c r="F163" s="56">
        <v>30.0</v>
      </c>
      <c r="G163" s="56">
        <v>35.0</v>
      </c>
      <c r="H163" s="56">
        <v>40.0</v>
      </c>
      <c r="I163" s="56">
        <v>45.0</v>
      </c>
      <c r="J163" s="56">
        <v>50.0</v>
      </c>
      <c r="K163" s="56">
        <v>55.0</v>
      </c>
      <c r="L163" s="56">
        <v>55.0</v>
      </c>
      <c r="M163" s="48">
        <v>230.8174389761</v>
      </c>
      <c r="N163" s="56">
        <v>222.48299561049998</v>
      </c>
      <c r="O163" s="56">
        <v>219.4</v>
      </c>
      <c r="P163" s="56">
        <v>211.9394405081</v>
      </c>
      <c r="Q163" s="56">
        <v>202.7225569476</v>
      </c>
      <c r="R163" s="56">
        <v>191.2377895921</v>
      </c>
      <c r="S163" s="56">
        <v>177.2732653916</v>
      </c>
      <c r="T163" s="56">
        <v>160.61185229609998</v>
      </c>
      <c r="U163" s="56">
        <v>141.0311592556</v>
      </c>
      <c r="V163" s="56">
        <v>141.0311592556</v>
      </c>
      <c r="W163" s="49">
        <f>W147*9</f>
        <v>12.6</v>
      </c>
      <c r="X163" s="56">
        <v>21.429</v>
      </c>
      <c r="Y163" s="56">
        <v>22.581</v>
      </c>
      <c r="Z163" s="56">
        <v>24.326999999999998</v>
      </c>
      <c r="AA163" s="56">
        <v>25.839</v>
      </c>
      <c r="AB163" s="56">
        <v>27.125999999999998</v>
      </c>
      <c r="AC163" s="56">
        <v>28.179</v>
      </c>
      <c r="AD163" s="56">
        <v>29.016000000000002</v>
      </c>
      <c r="AE163" s="56">
        <v>29.619</v>
      </c>
      <c r="AF163" s="56">
        <v>29.619</v>
      </c>
      <c r="AG163" s="49">
        <v>1.134</v>
      </c>
      <c r="AH163" s="56">
        <v>1.38</v>
      </c>
      <c r="AI163" s="56">
        <v>1.42</v>
      </c>
      <c r="AJ163" s="56">
        <v>1.551</v>
      </c>
      <c r="AK163" s="56">
        <v>1.805</v>
      </c>
      <c r="AL163" s="56">
        <v>2.162</v>
      </c>
      <c r="AM163" s="56">
        <v>2.65</v>
      </c>
      <c r="AN163" s="56">
        <v>3.3</v>
      </c>
      <c r="AO163" s="56">
        <v>4.166</v>
      </c>
      <c r="AP163" s="56">
        <v>4.166</v>
      </c>
      <c r="AQ163" s="49">
        <v>0.0</v>
      </c>
      <c r="AR163" s="56">
        <v>66.8</v>
      </c>
      <c r="AS163" s="56">
        <v>71.97</v>
      </c>
      <c r="AT163" s="56">
        <v>76.71</v>
      </c>
      <c r="AU163" s="56">
        <v>79.41</v>
      </c>
      <c r="AV163" s="56">
        <v>80.0</v>
      </c>
      <c r="AW163" s="56">
        <v>79.46</v>
      </c>
      <c r="AX163" s="56">
        <v>76.93</v>
      </c>
      <c r="AY163" s="56">
        <v>72.7</v>
      </c>
      <c r="AZ163" s="56">
        <v>72.7</v>
      </c>
      <c r="BA163" s="50">
        <v>1286.0</v>
      </c>
      <c r="BB163" s="57">
        <v>653.0</v>
      </c>
      <c r="BC163" s="57">
        <v>395.0</v>
      </c>
      <c r="BD163" s="57">
        <v>304.0</v>
      </c>
      <c r="BE163" s="57" t="s">
        <v>793</v>
      </c>
      <c r="BF163" s="57" t="s">
        <v>794</v>
      </c>
      <c r="BG163" s="57" t="s">
        <v>795</v>
      </c>
      <c r="BH163" s="57"/>
      <c r="BI163" s="57">
        <v>190.0</v>
      </c>
      <c r="BJ163" s="57">
        <v>248.0</v>
      </c>
      <c r="BK163" s="57">
        <v>365.0</v>
      </c>
      <c r="BL163" s="57">
        <v>266.0</v>
      </c>
      <c r="BM163" s="57">
        <v>366.0</v>
      </c>
      <c r="BN163" s="57">
        <v>140.0</v>
      </c>
      <c r="BO163" s="57">
        <v>63.0</v>
      </c>
      <c r="BP163" s="57" t="s">
        <v>735</v>
      </c>
      <c r="BQ163" s="57" t="s">
        <v>642</v>
      </c>
      <c r="BR163" s="58">
        <v>25.0</v>
      </c>
      <c r="BS163" s="59" t="s">
        <v>796</v>
      </c>
      <c r="BT163" s="59" t="s">
        <v>796</v>
      </c>
      <c r="BU163" s="58">
        <v>37.0</v>
      </c>
      <c r="BV163" s="47">
        <f>IFERROR(__xludf.DUMMYFUNCTION("IFERROR(INDEX(motors!E:E, MATCH(1, (motors!A:A=REGEXEXTRACT(A163,""^\S+""))*(motors!B:B=BU163), 0)), """")"),67.4)</f>
        <v>67.4</v>
      </c>
      <c r="BW163" s="47">
        <f>IFERROR(__xludf.DUMMYFUNCTION("IFERROR(INDEX(motors!F:F, MATCH(1, (motors!A:A=REGEXEXTRACT(A163,""^\S+""))*(motors!B:B=BU163), 0)), """")"),38.8)</f>
        <v>38.8</v>
      </c>
      <c r="BX163" s="57">
        <v>2.0</v>
      </c>
      <c r="BY163" s="58">
        <v>342.0</v>
      </c>
      <c r="BZ163" s="59" t="s">
        <v>831</v>
      </c>
      <c r="CA163" s="53" t="str">
        <f>IFERROR(__xludf.DUMMYFUNCTION("IFERROR(REGEXEXTRACT(BZ163, ""(?i)[A-Z]+-D-E-([^-]+)-E""), """")"),"HQQE")</f>
        <v>HQQE</v>
      </c>
    </row>
    <row r="164" ht="11.25" customHeight="1">
      <c r="A164" s="46" t="s">
        <v>832</v>
      </c>
      <c r="B164" s="46">
        <v>7.4122732E7</v>
      </c>
      <c r="C164" s="47">
        <v>0.0</v>
      </c>
      <c r="D164" s="47">
        <v>22.0</v>
      </c>
      <c r="E164" s="47">
        <v>25.0</v>
      </c>
      <c r="F164" s="47">
        <v>30.0</v>
      </c>
      <c r="G164" s="47">
        <v>35.0</v>
      </c>
      <c r="H164" s="47">
        <v>40.0</v>
      </c>
      <c r="I164" s="47">
        <v>45.0</v>
      </c>
      <c r="J164" s="47">
        <v>50.0</v>
      </c>
      <c r="K164" s="47">
        <v>55.0</v>
      </c>
      <c r="L164" s="47">
        <v>55.0</v>
      </c>
      <c r="M164" s="48">
        <v>248.5001003419</v>
      </c>
      <c r="N164" s="47">
        <v>236.9903291283</v>
      </c>
      <c r="O164" s="47">
        <v>233.3</v>
      </c>
      <c r="P164" s="47">
        <v>224.98457455390002</v>
      </c>
      <c r="Q164" s="47">
        <v>215.0650294034</v>
      </c>
      <c r="R164" s="47">
        <v>202.9057418379</v>
      </c>
      <c r="S164" s="47">
        <v>188.0627041324</v>
      </c>
      <c r="T164" s="47">
        <v>169.9821340619</v>
      </c>
      <c r="U164" s="47">
        <v>148.00047490140003</v>
      </c>
      <c r="V164" s="47">
        <v>148.00047490140003</v>
      </c>
      <c r="W164" s="49">
        <f>W146*2+W147*8</f>
        <v>13.006</v>
      </c>
      <c r="X164" s="47">
        <v>22.819999999999997</v>
      </c>
      <c r="Y164" s="47">
        <v>24.104</v>
      </c>
      <c r="Z164" s="47">
        <v>26.029999999999998</v>
      </c>
      <c r="AA164" s="47">
        <v>27.674</v>
      </c>
      <c r="AB164" s="47">
        <v>29.041999999999998</v>
      </c>
      <c r="AC164" s="47">
        <v>30.128</v>
      </c>
      <c r="AD164" s="47">
        <v>30.948</v>
      </c>
      <c r="AE164" s="47">
        <v>31.486</v>
      </c>
      <c r="AF164" s="47">
        <v>31.486</v>
      </c>
      <c r="AG164" s="49">
        <v>1.134</v>
      </c>
      <c r="AH164" s="47">
        <v>1.38</v>
      </c>
      <c r="AI164" s="47">
        <v>1.42</v>
      </c>
      <c r="AJ164" s="47">
        <v>1.551</v>
      </c>
      <c r="AK164" s="47">
        <v>1.805</v>
      </c>
      <c r="AL164" s="47">
        <v>2.162</v>
      </c>
      <c r="AM164" s="47">
        <v>2.65</v>
      </c>
      <c r="AN164" s="47">
        <v>3.3</v>
      </c>
      <c r="AO164" s="47">
        <v>4.166</v>
      </c>
      <c r="AP164" s="47">
        <v>4.166</v>
      </c>
      <c r="AQ164" s="49">
        <v>0.0</v>
      </c>
      <c r="AR164" s="47">
        <v>66.8</v>
      </c>
      <c r="AS164" s="47">
        <v>71.97</v>
      </c>
      <c r="AT164" s="47">
        <v>76.71</v>
      </c>
      <c r="AU164" s="47">
        <v>79.41</v>
      </c>
      <c r="AV164" s="47">
        <v>80.0</v>
      </c>
      <c r="AW164" s="47">
        <v>79.46</v>
      </c>
      <c r="AX164" s="47">
        <v>76.93</v>
      </c>
      <c r="AY164" s="47">
        <v>72.7</v>
      </c>
      <c r="AZ164" s="47">
        <v>72.7</v>
      </c>
      <c r="BA164" s="50">
        <v>1366.0</v>
      </c>
      <c r="BB164" s="51">
        <v>653.0</v>
      </c>
      <c r="BC164" s="51">
        <v>395.0</v>
      </c>
      <c r="BD164" s="51">
        <v>304.0</v>
      </c>
      <c r="BE164" s="51" t="s">
        <v>793</v>
      </c>
      <c r="BF164" s="51" t="s">
        <v>794</v>
      </c>
      <c r="BG164" s="51" t="s">
        <v>795</v>
      </c>
      <c r="BH164" s="51"/>
      <c r="BI164" s="51">
        <v>190.0</v>
      </c>
      <c r="BJ164" s="51">
        <v>248.0</v>
      </c>
      <c r="BK164" s="51">
        <v>365.0</v>
      </c>
      <c r="BL164" s="51">
        <v>266.0</v>
      </c>
      <c r="BM164" s="51">
        <v>366.0</v>
      </c>
      <c r="BN164" s="51">
        <v>140.0</v>
      </c>
      <c r="BO164" s="51">
        <v>63.0</v>
      </c>
      <c r="BP164" s="51" t="s">
        <v>735</v>
      </c>
      <c r="BQ164" s="51" t="s">
        <v>642</v>
      </c>
      <c r="BR164" s="52">
        <v>33.0</v>
      </c>
      <c r="BS164" s="53" t="s">
        <v>796</v>
      </c>
      <c r="BT164" s="53" t="s">
        <v>796</v>
      </c>
      <c r="BU164" s="52">
        <v>37.0</v>
      </c>
      <c r="BV164" s="47">
        <f>IFERROR(__xludf.DUMMYFUNCTION("IFERROR(INDEX(motors!E:E, MATCH(1, (motors!A:A=REGEXEXTRACT(A164,""^\S+""))*(motors!B:B=BU164), 0)), """")"),67.4)</f>
        <v>67.4</v>
      </c>
      <c r="BW164" s="47">
        <f>IFERROR(__xludf.DUMMYFUNCTION("IFERROR(INDEX(motors!F:F, MATCH(1, (motors!A:A=REGEXEXTRACT(A164,""^\S+""))*(motors!B:B=BU164), 0)), """")"),38.8)</f>
        <v>38.8</v>
      </c>
      <c r="BX164" s="51">
        <v>2.0</v>
      </c>
      <c r="BY164" s="52">
        <v>346.0</v>
      </c>
      <c r="BZ164" s="53" t="s">
        <v>833</v>
      </c>
      <c r="CA164" s="53" t="str">
        <f>IFERROR(__xludf.DUMMYFUNCTION("IFERROR(REGEXEXTRACT(BZ164, ""(?i)[A-Z]+-D-E-([^-]+)-E""), """")"),"HQQE")</f>
        <v>HQQE</v>
      </c>
    </row>
    <row r="165" ht="11.25" customHeight="1">
      <c r="A165" s="55" t="s">
        <v>834</v>
      </c>
      <c r="B165" s="55">
        <v>7.4122733E7</v>
      </c>
      <c r="C165" s="56">
        <v>0.0</v>
      </c>
      <c r="D165" s="56">
        <v>22.0</v>
      </c>
      <c r="E165" s="56">
        <v>25.0</v>
      </c>
      <c r="F165" s="56">
        <v>30.0</v>
      </c>
      <c r="G165" s="56">
        <v>35.0</v>
      </c>
      <c r="H165" s="56">
        <v>40.0</v>
      </c>
      <c r="I165" s="56">
        <v>45.0</v>
      </c>
      <c r="J165" s="56">
        <v>50.0</v>
      </c>
      <c r="K165" s="56">
        <v>55.0</v>
      </c>
      <c r="L165" s="56">
        <v>55.0</v>
      </c>
      <c r="M165" s="48">
        <v>259.7965411583</v>
      </c>
      <c r="N165" s="56">
        <v>249.93329326929998</v>
      </c>
      <c r="O165" s="56">
        <v>245.6</v>
      </c>
      <c r="P165" s="56">
        <v>235.83899924929997</v>
      </c>
      <c r="Q165" s="56">
        <v>224.85999368029997</v>
      </c>
      <c r="R165" s="56">
        <v>211.95921070629998</v>
      </c>
      <c r="S165" s="56">
        <v>196.67715945229997</v>
      </c>
      <c r="T165" s="56">
        <v>178.3377565433</v>
      </c>
      <c r="U165" s="56">
        <v>156.04832610429997</v>
      </c>
      <c r="V165" s="56">
        <v>156.04832610429997</v>
      </c>
      <c r="W165" s="49">
        <f>W147*10</f>
        <v>14</v>
      </c>
      <c r="X165" s="56">
        <v>23.81</v>
      </c>
      <c r="Y165" s="56">
        <v>25.09</v>
      </c>
      <c r="Z165" s="56">
        <v>27.029999999999998</v>
      </c>
      <c r="AA165" s="56">
        <v>28.71</v>
      </c>
      <c r="AB165" s="56">
        <v>30.139999999999997</v>
      </c>
      <c r="AC165" s="56">
        <v>31.31</v>
      </c>
      <c r="AD165" s="56">
        <v>32.24</v>
      </c>
      <c r="AE165" s="56">
        <v>32.91</v>
      </c>
      <c r="AF165" s="56">
        <v>32.91</v>
      </c>
      <c r="AG165" s="49">
        <v>1.134</v>
      </c>
      <c r="AH165" s="56">
        <v>1.38</v>
      </c>
      <c r="AI165" s="56">
        <v>1.42</v>
      </c>
      <c r="AJ165" s="56">
        <v>1.551</v>
      </c>
      <c r="AK165" s="56">
        <v>1.805</v>
      </c>
      <c r="AL165" s="56">
        <v>2.162</v>
      </c>
      <c r="AM165" s="56">
        <v>2.65</v>
      </c>
      <c r="AN165" s="56">
        <v>3.3</v>
      </c>
      <c r="AO165" s="56">
        <v>4.166</v>
      </c>
      <c r="AP165" s="56">
        <v>4.166</v>
      </c>
      <c r="AQ165" s="49">
        <v>0.0</v>
      </c>
      <c r="AR165" s="56">
        <v>66.8</v>
      </c>
      <c r="AS165" s="56">
        <v>71.97</v>
      </c>
      <c r="AT165" s="56">
        <v>76.71</v>
      </c>
      <c r="AU165" s="56">
        <v>79.41</v>
      </c>
      <c r="AV165" s="56">
        <v>80.0</v>
      </c>
      <c r="AW165" s="56">
        <v>79.46</v>
      </c>
      <c r="AX165" s="56">
        <v>76.93</v>
      </c>
      <c r="AY165" s="56">
        <v>72.7</v>
      </c>
      <c r="AZ165" s="56">
        <v>72.7</v>
      </c>
      <c r="BA165" s="50">
        <v>1366.0</v>
      </c>
      <c r="BB165" s="57">
        <v>653.0</v>
      </c>
      <c r="BC165" s="57">
        <v>395.0</v>
      </c>
      <c r="BD165" s="57">
        <v>304.0</v>
      </c>
      <c r="BE165" s="57" t="s">
        <v>793</v>
      </c>
      <c r="BF165" s="57" t="s">
        <v>794</v>
      </c>
      <c r="BG165" s="57" t="s">
        <v>795</v>
      </c>
      <c r="BH165" s="57"/>
      <c r="BI165" s="57">
        <v>190.0</v>
      </c>
      <c r="BJ165" s="57">
        <v>248.0</v>
      </c>
      <c r="BK165" s="57">
        <v>365.0</v>
      </c>
      <c r="BL165" s="57">
        <v>266.0</v>
      </c>
      <c r="BM165" s="57">
        <v>366.0</v>
      </c>
      <c r="BN165" s="57">
        <v>140.0</v>
      </c>
      <c r="BO165" s="57">
        <v>63.0</v>
      </c>
      <c r="BP165" s="57" t="s">
        <v>735</v>
      </c>
      <c r="BQ165" s="57" t="s">
        <v>642</v>
      </c>
      <c r="BR165" s="58">
        <v>33.0</v>
      </c>
      <c r="BS165" s="59" t="s">
        <v>796</v>
      </c>
      <c r="BT165" s="59" t="s">
        <v>796</v>
      </c>
      <c r="BU165" s="58">
        <v>37.0</v>
      </c>
      <c r="BV165" s="47">
        <f>IFERROR(__xludf.DUMMYFUNCTION("IFERROR(INDEX(motors!E:E, MATCH(1, (motors!A:A=REGEXEXTRACT(A165,""^\S+""))*(motors!B:B=BU165), 0)), """")"),67.4)</f>
        <v>67.4</v>
      </c>
      <c r="BW165" s="47">
        <f>IFERROR(__xludf.DUMMYFUNCTION("IFERROR(INDEX(motors!F:F, MATCH(1, (motors!A:A=REGEXEXTRACT(A165,""^\S+""))*(motors!B:B=BU165), 0)), """")"),38.8)</f>
        <v>38.8</v>
      </c>
      <c r="BX165" s="57">
        <v>2.0</v>
      </c>
      <c r="BY165" s="58">
        <v>346.0</v>
      </c>
      <c r="BZ165" s="59" t="s">
        <v>835</v>
      </c>
      <c r="CA165" s="53" t="str">
        <f>IFERROR(__xludf.DUMMYFUNCTION("IFERROR(REGEXEXTRACT(BZ165, ""(?i)[A-Z]+-D-E-([^-]+)-E""), """")"),"HQQE")</f>
        <v>HQQE</v>
      </c>
    </row>
    <row r="166" ht="11.25" customHeight="1">
      <c r="A166" s="46" t="s">
        <v>836</v>
      </c>
      <c r="B166" s="46">
        <v>7.4122734E7</v>
      </c>
      <c r="C166" s="47">
        <v>0.0</v>
      </c>
      <c r="D166" s="47">
        <v>22.0</v>
      </c>
      <c r="E166" s="47">
        <v>25.0</v>
      </c>
      <c r="F166" s="47">
        <v>30.0</v>
      </c>
      <c r="G166" s="47">
        <v>35.0</v>
      </c>
      <c r="H166" s="47">
        <v>40.0</v>
      </c>
      <c r="I166" s="47">
        <v>45.0</v>
      </c>
      <c r="J166" s="47">
        <v>50.0</v>
      </c>
      <c r="K166" s="47">
        <v>55.0</v>
      </c>
      <c r="L166" s="47">
        <v>55.0</v>
      </c>
      <c r="M166" s="48">
        <v>274.4071478282</v>
      </c>
      <c r="N166" s="47">
        <v>263.8207332774</v>
      </c>
      <c r="O166" s="47">
        <v>259.1002128582</v>
      </c>
      <c r="P166" s="47">
        <v>249.9045953942</v>
      </c>
      <c r="Q166" s="47">
        <v>238.9146447402</v>
      </c>
      <c r="R166" s="47">
        <v>225.76095559619998</v>
      </c>
      <c r="S166" s="47">
        <v>209.83576066219996</v>
      </c>
      <c r="T166" s="47">
        <v>190.29293063819998</v>
      </c>
      <c r="U166" s="47">
        <v>166.0479742242</v>
      </c>
      <c r="V166" s="47">
        <v>166.0479742242</v>
      </c>
      <c r="W166" s="49">
        <f>W146*2+W147*9</f>
        <v>14.406</v>
      </c>
      <c r="X166" s="47">
        <v>25.200999999999997</v>
      </c>
      <c r="Y166" s="47">
        <v>26.613</v>
      </c>
      <c r="Z166" s="47">
        <v>28.732999999999997</v>
      </c>
      <c r="AA166" s="47">
        <v>30.544999999999998</v>
      </c>
      <c r="AB166" s="47">
        <v>32.056</v>
      </c>
      <c r="AC166" s="47">
        <v>33.259</v>
      </c>
      <c r="AD166" s="47">
        <v>34.172000000000004</v>
      </c>
      <c r="AE166" s="47">
        <v>34.777</v>
      </c>
      <c r="AF166" s="47">
        <v>34.777</v>
      </c>
      <c r="AG166" s="49">
        <v>1.134</v>
      </c>
      <c r="AH166" s="47">
        <v>1.38</v>
      </c>
      <c r="AI166" s="47">
        <v>1.42</v>
      </c>
      <c r="AJ166" s="47">
        <v>1.551</v>
      </c>
      <c r="AK166" s="47">
        <v>1.805</v>
      </c>
      <c r="AL166" s="47">
        <v>2.162</v>
      </c>
      <c r="AM166" s="47">
        <v>2.65</v>
      </c>
      <c r="AN166" s="47">
        <v>3.3</v>
      </c>
      <c r="AO166" s="47">
        <v>4.166</v>
      </c>
      <c r="AP166" s="47">
        <v>4.166</v>
      </c>
      <c r="AQ166" s="49">
        <v>0.0</v>
      </c>
      <c r="AR166" s="47">
        <v>66.8</v>
      </c>
      <c r="AS166" s="47">
        <v>71.97</v>
      </c>
      <c r="AT166" s="47">
        <v>76.71</v>
      </c>
      <c r="AU166" s="47">
        <v>79.41</v>
      </c>
      <c r="AV166" s="47">
        <v>80.0</v>
      </c>
      <c r="AW166" s="47">
        <v>79.46</v>
      </c>
      <c r="AX166" s="47">
        <v>76.93</v>
      </c>
      <c r="AY166" s="47">
        <v>72.7</v>
      </c>
      <c r="AZ166" s="47">
        <v>72.7</v>
      </c>
      <c r="BA166" s="50">
        <v>1446.0</v>
      </c>
      <c r="BB166" s="51">
        <v>700.0</v>
      </c>
      <c r="BC166" s="51">
        <v>470.0</v>
      </c>
      <c r="BD166" s="51">
        <v>345.0</v>
      </c>
      <c r="BE166" s="51" t="s">
        <v>793</v>
      </c>
      <c r="BF166" s="51" t="s">
        <v>794</v>
      </c>
      <c r="BG166" s="51" t="s">
        <v>795</v>
      </c>
      <c r="BH166" s="51"/>
      <c r="BI166" s="51">
        <v>190.0</v>
      </c>
      <c r="BJ166" s="51">
        <v>248.0</v>
      </c>
      <c r="BK166" s="51">
        <v>365.0</v>
      </c>
      <c r="BL166" s="51">
        <v>266.0</v>
      </c>
      <c r="BM166" s="51">
        <v>366.0</v>
      </c>
      <c r="BN166" s="51">
        <v>140.0</v>
      </c>
      <c r="BO166" s="51">
        <v>63.0</v>
      </c>
      <c r="BP166" s="51" t="s">
        <v>735</v>
      </c>
      <c r="BQ166" s="51" t="s">
        <v>642</v>
      </c>
      <c r="BR166" s="52">
        <v>33.0</v>
      </c>
      <c r="BS166" s="53" t="s">
        <v>796</v>
      </c>
      <c r="BT166" s="53" t="s">
        <v>796</v>
      </c>
      <c r="BU166" s="52">
        <v>45.0</v>
      </c>
      <c r="BV166" s="47">
        <f>IFERROR(__xludf.DUMMYFUNCTION("IFERROR(INDEX(motors!E:E, MATCH(1, (motors!A:A=REGEXEXTRACT(A166,""^\S+""))*(motors!B:B=BU166), 0)), """")"),80.8)</f>
        <v>80.8</v>
      </c>
      <c r="BW166" s="47">
        <f>IFERROR(__xludf.DUMMYFUNCTION("IFERROR(INDEX(motors!F:F, MATCH(1, (motors!A:A=REGEXEXTRACT(A166,""^\S+""))*(motors!B:B=BU166), 0)), """")"),46.5)</f>
        <v>46.5</v>
      </c>
      <c r="BX166" s="51">
        <v>2.0</v>
      </c>
      <c r="BY166" s="52">
        <v>412.0</v>
      </c>
      <c r="BZ166" s="53" t="s">
        <v>837</v>
      </c>
      <c r="CA166" s="53" t="str">
        <f>IFERROR(__xludf.DUMMYFUNCTION("IFERROR(REGEXEXTRACT(BZ166, ""(?i)[A-Z]+-D-E-([^-]+)-E""), """")"),"HQQE")</f>
        <v>HQQE</v>
      </c>
    </row>
    <row r="167" ht="11.25" customHeight="1">
      <c r="A167" s="55" t="s">
        <v>838</v>
      </c>
      <c r="B167" s="55">
        <v>7.4122735E7</v>
      </c>
      <c r="C167" s="56">
        <v>0.0</v>
      </c>
      <c r="D167" s="56">
        <v>22.0</v>
      </c>
      <c r="E167" s="56">
        <v>25.0</v>
      </c>
      <c r="F167" s="56">
        <v>30.0</v>
      </c>
      <c r="G167" s="56">
        <v>35.0</v>
      </c>
      <c r="H167" s="56">
        <v>40.0</v>
      </c>
      <c r="I167" s="56">
        <v>45.0</v>
      </c>
      <c r="J167" s="56">
        <v>50.0</v>
      </c>
      <c r="K167" s="56">
        <v>55.0</v>
      </c>
      <c r="L167" s="56">
        <v>55.0</v>
      </c>
      <c r="M167" s="48">
        <v>286.9188885643</v>
      </c>
      <c r="N167" s="56">
        <v>270.8507875197</v>
      </c>
      <c r="O167" s="56">
        <v>267.04292367930003</v>
      </c>
      <c r="P167" s="56">
        <v>258.9088233973</v>
      </c>
      <c r="Q167" s="56">
        <v>248.1791852053</v>
      </c>
      <c r="R167" s="56">
        <v>234.5207633283</v>
      </c>
      <c r="S167" s="56">
        <v>217.6928109913</v>
      </c>
      <c r="T167" s="56">
        <v>197.54708041930002</v>
      </c>
      <c r="U167" s="56">
        <v>174.02782283730002</v>
      </c>
      <c r="V167" s="56">
        <v>174.02782283730002</v>
      </c>
      <c r="W167" s="49">
        <f>W147*11</f>
        <v>15.4</v>
      </c>
      <c r="X167" s="56">
        <v>26.191</v>
      </c>
      <c r="Y167" s="56">
        <v>27.599</v>
      </c>
      <c r="Z167" s="56">
        <v>29.732999999999997</v>
      </c>
      <c r="AA167" s="56">
        <v>31.581</v>
      </c>
      <c r="AB167" s="56">
        <v>33.153999999999996</v>
      </c>
      <c r="AC167" s="56">
        <v>34.440999999999995</v>
      </c>
      <c r="AD167" s="56">
        <v>35.464</v>
      </c>
      <c r="AE167" s="56">
        <v>36.201</v>
      </c>
      <c r="AF167" s="56">
        <v>36.201</v>
      </c>
      <c r="AG167" s="49">
        <v>1.134</v>
      </c>
      <c r="AH167" s="56">
        <v>1.38</v>
      </c>
      <c r="AI167" s="56">
        <v>1.42</v>
      </c>
      <c r="AJ167" s="56">
        <v>1.551</v>
      </c>
      <c r="AK167" s="56">
        <v>1.805</v>
      </c>
      <c r="AL167" s="56">
        <v>2.162</v>
      </c>
      <c r="AM167" s="56">
        <v>2.65</v>
      </c>
      <c r="AN167" s="56">
        <v>3.3</v>
      </c>
      <c r="AO167" s="56">
        <v>4.166</v>
      </c>
      <c r="AP167" s="56">
        <v>4.166</v>
      </c>
      <c r="AQ167" s="49">
        <v>0.0</v>
      </c>
      <c r="AR167" s="56">
        <v>66.8</v>
      </c>
      <c r="AS167" s="56">
        <v>71.97</v>
      </c>
      <c r="AT167" s="56">
        <v>76.71</v>
      </c>
      <c r="AU167" s="56">
        <v>79.41</v>
      </c>
      <c r="AV167" s="56">
        <v>80.0</v>
      </c>
      <c r="AW167" s="56">
        <v>79.46</v>
      </c>
      <c r="AX167" s="56">
        <v>76.93</v>
      </c>
      <c r="AY167" s="56">
        <v>72.7</v>
      </c>
      <c r="AZ167" s="56">
        <v>72.7</v>
      </c>
      <c r="BA167" s="50">
        <v>1446.0</v>
      </c>
      <c r="BB167" s="57">
        <v>700.0</v>
      </c>
      <c r="BC167" s="57">
        <v>470.0</v>
      </c>
      <c r="BD167" s="57">
        <v>345.0</v>
      </c>
      <c r="BE167" s="57" t="s">
        <v>793</v>
      </c>
      <c r="BF167" s="57" t="s">
        <v>794</v>
      </c>
      <c r="BG167" s="57" t="s">
        <v>795</v>
      </c>
      <c r="BH167" s="57"/>
      <c r="BI167" s="57">
        <v>190.0</v>
      </c>
      <c r="BJ167" s="57">
        <v>248.0</v>
      </c>
      <c r="BK167" s="57">
        <v>365.0</v>
      </c>
      <c r="BL167" s="57">
        <v>266.0</v>
      </c>
      <c r="BM167" s="57">
        <v>366.0</v>
      </c>
      <c r="BN167" s="57">
        <v>140.0</v>
      </c>
      <c r="BO167" s="57">
        <v>63.0</v>
      </c>
      <c r="BP167" s="57" t="s">
        <v>735</v>
      </c>
      <c r="BQ167" s="57" t="s">
        <v>642</v>
      </c>
      <c r="BR167" s="58">
        <v>33.0</v>
      </c>
      <c r="BS167" s="59" t="s">
        <v>796</v>
      </c>
      <c r="BT167" s="59" t="s">
        <v>796</v>
      </c>
      <c r="BU167" s="58">
        <v>45.0</v>
      </c>
      <c r="BV167" s="47">
        <f>IFERROR(__xludf.DUMMYFUNCTION("IFERROR(INDEX(motors!E:E, MATCH(1, (motors!A:A=REGEXEXTRACT(A167,""^\S+""))*(motors!B:B=BU167), 0)), """")"),80.8)</f>
        <v>80.8</v>
      </c>
      <c r="BW167" s="47">
        <f>IFERROR(__xludf.DUMMYFUNCTION("IFERROR(INDEX(motors!F:F, MATCH(1, (motors!A:A=REGEXEXTRACT(A167,""^\S+""))*(motors!B:B=BU167), 0)), """")"),46.5)</f>
        <v>46.5</v>
      </c>
      <c r="BX167" s="57">
        <v>2.0</v>
      </c>
      <c r="BY167" s="58">
        <v>412.0</v>
      </c>
      <c r="BZ167" s="59" t="s">
        <v>839</v>
      </c>
      <c r="CA167" s="53" t="str">
        <f>IFERROR(__xludf.DUMMYFUNCTION("IFERROR(REGEXEXTRACT(BZ167, ""(?i)[A-Z]+-D-E-([^-]+)-E""), """")"),"HQQE")</f>
        <v>HQQE</v>
      </c>
    </row>
    <row r="168" ht="11.25" customHeight="1">
      <c r="A168" s="46" t="s">
        <v>840</v>
      </c>
      <c r="B168" s="46">
        <v>7.4122736E7</v>
      </c>
      <c r="C168" s="47">
        <v>0.0</v>
      </c>
      <c r="D168" s="47">
        <v>22.0</v>
      </c>
      <c r="E168" s="47">
        <v>25.0</v>
      </c>
      <c r="F168" s="47">
        <v>30.0</v>
      </c>
      <c r="G168" s="47">
        <v>35.0</v>
      </c>
      <c r="H168" s="47">
        <v>40.0</v>
      </c>
      <c r="I168" s="47">
        <v>45.0</v>
      </c>
      <c r="J168" s="47">
        <v>50.0</v>
      </c>
      <c r="K168" s="47">
        <v>55.0</v>
      </c>
      <c r="L168" s="47">
        <v>55.0</v>
      </c>
      <c r="M168" s="48">
        <v>300.9509645967</v>
      </c>
      <c r="N168" s="47">
        <v>288.5087565943</v>
      </c>
      <c r="O168" s="47">
        <v>283.8690040492</v>
      </c>
      <c r="P168" s="47">
        <v>274.41376438469996</v>
      </c>
      <c r="Q168" s="47">
        <v>262.5777703352</v>
      </c>
      <c r="R168" s="47">
        <v>248.01197310069998</v>
      </c>
      <c r="S168" s="47">
        <v>230.27161488119998</v>
      </c>
      <c r="T168" s="47">
        <v>208.81622887669997</v>
      </c>
      <c r="U168" s="47">
        <v>183.00963928719997</v>
      </c>
      <c r="V168" s="47">
        <v>183.00963928719997</v>
      </c>
      <c r="W168" s="49">
        <f>W146*2+W147*10</f>
        <v>15.806</v>
      </c>
      <c r="X168" s="47">
        <v>27.581999999999997</v>
      </c>
      <c r="Y168" s="47">
        <v>29.122</v>
      </c>
      <c r="Z168" s="47">
        <v>31.435999999999996</v>
      </c>
      <c r="AA168" s="47">
        <v>33.416000000000004</v>
      </c>
      <c r="AB168" s="47">
        <v>35.06999999999999</v>
      </c>
      <c r="AC168" s="47">
        <v>36.39</v>
      </c>
      <c r="AD168" s="47">
        <v>37.396</v>
      </c>
      <c r="AE168" s="47">
        <v>38.068</v>
      </c>
      <c r="AF168" s="47">
        <v>38.068</v>
      </c>
      <c r="AG168" s="49">
        <v>1.134</v>
      </c>
      <c r="AH168" s="47">
        <v>1.38</v>
      </c>
      <c r="AI168" s="47">
        <v>1.42</v>
      </c>
      <c r="AJ168" s="47">
        <v>1.551</v>
      </c>
      <c r="AK168" s="47">
        <v>1.805</v>
      </c>
      <c r="AL168" s="47">
        <v>2.162</v>
      </c>
      <c r="AM168" s="47">
        <v>2.65</v>
      </c>
      <c r="AN168" s="47">
        <v>3.3</v>
      </c>
      <c r="AO168" s="47">
        <v>4.166</v>
      </c>
      <c r="AP168" s="47">
        <v>4.166</v>
      </c>
      <c r="AQ168" s="49">
        <v>0.0</v>
      </c>
      <c r="AR168" s="47">
        <v>66.8</v>
      </c>
      <c r="AS168" s="47">
        <v>71.97</v>
      </c>
      <c r="AT168" s="47">
        <v>76.71</v>
      </c>
      <c r="AU168" s="47">
        <v>79.41</v>
      </c>
      <c r="AV168" s="47">
        <v>80.0</v>
      </c>
      <c r="AW168" s="47">
        <v>79.46</v>
      </c>
      <c r="AX168" s="47">
        <v>76.93</v>
      </c>
      <c r="AY168" s="47">
        <v>72.7</v>
      </c>
      <c r="AZ168" s="47">
        <v>72.7</v>
      </c>
      <c r="BA168" s="50">
        <v>1526.0</v>
      </c>
      <c r="BB168" s="51">
        <v>700.0</v>
      </c>
      <c r="BC168" s="51">
        <v>470.0</v>
      </c>
      <c r="BD168" s="51">
        <v>345.0</v>
      </c>
      <c r="BE168" s="51" t="s">
        <v>793</v>
      </c>
      <c r="BF168" s="51" t="s">
        <v>794</v>
      </c>
      <c r="BG168" s="51" t="s">
        <v>795</v>
      </c>
      <c r="BH168" s="51"/>
      <c r="BI168" s="51">
        <v>190.0</v>
      </c>
      <c r="BJ168" s="51">
        <v>248.0</v>
      </c>
      <c r="BK168" s="51">
        <v>365.0</v>
      </c>
      <c r="BL168" s="51">
        <v>266.0</v>
      </c>
      <c r="BM168" s="51">
        <v>366.0</v>
      </c>
      <c r="BN168" s="51">
        <v>140.0</v>
      </c>
      <c r="BO168" s="51">
        <v>63.0</v>
      </c>
      <c r="BP168" s="51" t="s">
        <v>735</v>
      </c>
      <c r="BQ168" s="51" t="s">
        <v>642</v>
      </c>
      <c r="BR168" s="52">
        <v>33.0</v>
      </c>
      <c r="BS168" s="53" t="s">
        <v>796</v>
      </c>
      <c r="BT168" s="53" t="s">
        <v>796</v>
      </c>
      <c r="BU168" s="52">
        <v>45.0</v>
      </c>
      <c r="BV168" s="47">
        <f>IFERROR(__xludf.DUMMYFUNCTION("IFERROR(INDEX(motors!E:E, MATCH(1, (motors!A:A=REGEXEXTRACT(A168,""^\S+""))*(motors!B:B=BU168), 0)), """")"),80.8)</f>
        <v>80.8</v>
      </c>
      <c r="BW168" s="47">
        <f>IFERROR(__xludf.DUMMYFUNCTION("IFERROR(INDEX(motors!F:F, MATCH(1, (motors!A:A=REGEXEXTRACT(A168,""^\S+""))*(motors!B:B=BU168), 0)), """")"),46.5)</f>
        <v>46.5</v>
      </c>
      <c r="BX168" s="51">
        <v>2.0</v>
      </c>
      <c r="BY168" s="52">
        <v>416.0</v>
      </c>
      <c r="BZ168" s="53" t="s">
        <v>841</v>
      </c>
      <c r="CA168" s="53" t="str">
        <f>IFERROR(__xludf.DUMMYFUNCTION("IFERROR(REGEXEXTRACT(BZ168, ""(?i)[A-Z]+-D-E-([^-]+)-E""), """")"),"HQQE")</f>
        <v>HQQE</v>
      </c>
    </row>
    <row r="169" ht="11.25" customHeight="1">
      <c r="A169" s="55" t="s">
        <v>842</v>
      </c>
      <c r="B169" s="55">
        <v>7.4122737E7</v>
      </c>
      <c r="C169" s="56">
        <v>0.0</v>
      </c>
      <c r="D169" s="56">
        <v>22.0</v>
      </c>
      <c r="E169" s="56">
        <v>25.0</v>
      </c>
      <c r="F169" s="56">
        <v>30.0</v>
      </c>
      <c r="G169" s="56">
        <v>35.0</v>
      </c>
      <c r="H169" s="56">
        <v>40.0</v>
      </c>
      <c r="I169" s="56">
        <v>45.0</v>
      </c>
      <c r="J169" s="56">
        <v>50.0</v>
      </c>
      <c r="K169" s="56">
        <v>55.0</v>
      </c>
      <c r="L169" s="56">
        <v>55.0</v>
      </c>
      <c r="M169" s="48">
        <v>313.8460991938</v>
      </c>
      <c r="N169" s="56">
        <v>299.9079582232</v>
      </c>
      <c r="O169" s="56">
        <v>295.2072921763</v>
      </c>
      <c r="P169" s="56">
        <v>285.5578192528</v>
      </c>
      <c r="Q169" s="56">
        <v>273.3886383143</v>
      </c>
      <c r="R169" s="56">
        <v>258.3647272858</v>
      </c>
      <c r="S169" s="56">
        <v>240.1005110923</v>
      </c>
      <c r="T169" s="56">
        <v>218.1598616588</v>
      </c>
      <c r="U169" s="56">
        <v>192.0560979103</v>
      </c>
      <c r="V169" s="56">
        <v>192.0560979103</v>
      </c>
      <c r="W169" s="49">
        <f>W147*12</f>
        <v>16.8</v>
      </c>
      <c r="X169" s="56">
        <v>28.571999999999996</v>
      </c>
      <c r="Y169" s="56">
        <v>30.107999999999997</v>
      </c>
      <c r="Z169" s="56">
        <v>32.436</v>
      </c>
      <c r="AA169" s="56">
        <v>34.452</v>
      </c>
      <c r="AB169" s="56">
        <v>36.168</v>
      </c>
      <c r="AC169" s="56">
        <v>37.571999999999996</v>
      </c>
      <c r="AD169" s="56">
        <v>38.688</v>
      </c>
      <c r="AE169" s="56">
        <v>39.492</v>
      </c>
      <c r="AF169" s="56">
        <v>39.492</v>
      </c>
      <c r="AG169" s="49">
        <v>1.134</v>
      </c>
      <c r="AH169" s="56">
        <v>1.38</v>
      </c>
      <c r="AI169" s="56">
        <v>1.42</v>
      </c>
      <c r="AJ169" s="56">
        <v>1.551</v>
      </c>
      <c r="AK169" s="56">
        <v>1.805</v>
      </c>
      <c r="AL169" s="56">
        <v>2.162</v>
      </c>
      <c r="AM169" s="56">
        <v>2.65</v>
      </c>
      <c r="AN169" s="56">
        <v>3.3</v>
      </c>
      <c r="AO169" s="56">
        <v>4.166</v>
      </c>
      <c r="AP169" s="56">
        <v>4.166</v>
      </c>
      <c r="AQ169" s="49">
        <v>0.0</v>
      </c>
      <c r="AR169" s="56">
        <v>66.8</v>
      </c>
      <c r="AS169" s="56">
        <v>71.97</v>
      </c>
      <c r="AT169" s="56">
        <v>76.71</v>
      </c>
      <c r="AU169" s="56">
        <v>79.41</v>
      </c>
      <c r="AV169" s="56">
        <v>80.0</v>
      </c>
      <c r="AW169" s="56">
        <v>79.46</v>
      </c>
      <c r="AX169" s="56">
        <v>76.93</v>
      </c>
      <c r="AY169" s="56">
        <v>72.7</v>
      </c>
      <c r="AZ169" s="56">
        <v>72.7</v>
      </c>
      <c r="BA169" s="50">
        <v>1526.0</v>
      </c>
      <c r="BB169" s="57">
        <v>700.0</v>
      </c>
      <c r="BC169" s="57">
        <v>470.0</v>
      </c>
      <c r="BD169" s="57">
        <v>345.0</v>
      </c>
      <c r="BE169" s="57" t="s">
        <v>793</v>
      </c>
      <c r="BF169" s="57" t="s">
        <v>794</v>
      </c>
      <c r="BG169" s="57" t="s">
        <v>795</v>
      </c>
      <c r="BH169" s="57"/>
      <c r="BI169" s="57">
        <v>190.0</v>
      </c>
      <c r="BJ169" s="57">
        <v>248.0</v>
      </c>
      <c r="BK169" s="57">
        <v>365.0</v>
      </c>
      <c r="BL169" s="57">
        <v>266.0</v>
      </c>
      <c r="BM169" s="57">
        <v>366.0</v>
      </c>
      <c r="BN169" s="57">
        <v>140.0</v>
      </c>
      <c r="BO169" s="57">
        <v>63.0</v>
      </c>
      <c r="BP169" s="57" t="s">
        <v>735</v>
      </c>
      <c r="BQ169" s="57" t="s">
        <v>642</v>
      </c>
      <c r="BR169" s="58">
        <v>33.0</v>
      </c>
      <c r="BS169" s="59" t="s">
        <v>796</v>
      </c>
      <c r="BT169" s="59" t="s">
        <v>796</v>
      </c>
      <c r="BU169" s="58">
        <v>45.0</v>
      </c>
      <c r="BV169" s="47">
        <f>IFERROR(__xludf.DUMMYFUNCTION("IFERROR(INDEX(motors!E:E, MATCH(1, (motors!A:A=REGEXEXTRACT(A169,""^\S+""))*(motors!B:B=BU169), 0)), """")"),80.8)</f>
        <v>80.8</v>
      </c>
      <c r="BW169" s="47">
        <f>IFERROR(__xludf.DUMMYFUNCTION("IFERROR(INDEX(motors!F:F, MATCH(1, (motors!A:A=REGEXEXTRACT(A169,""^\S+""))*(motors!B:B=BU169), 0)), """")"),46.5)</f>
        <v>46.5</v>
      </c>
      <c r="BX169" s="57">
        <v>2.0</v>
      </c>
      <c r="BY169" s="58">
        <v>416.0</v>
      </c>
      <c r="BZ169" s="59" t="s">
        <v>843</v>
      </c>
      <c r="CA169" s="53" t="str">
        <f>IFERROR(__xludf.DUMMYFUNCTION("IFERROR(REGEXEXTRACT(BZ169, ""(?i)[A-Z]+-D-E-([^-]+)-E""), """")"),"HQQE")</f>
        <v>HQQE</v>
      </c>
    </row>
    <row r="170" ht="11.25" customHeight="1">
      <c r="A170" s="46" t="s">
        <v>844</v>
      </c>
      <c r="B170" s="46">
        <v>7.4122738E7</v>
      </c>
      <c r="C170" s="47">
        <v>0.0</v>
      </c>
      <c r="D170" s="47">
        <v>22.0</v>
      </c>
      <c r="E170" s="47">
        <v>25.0</v>
      </c>
      <c r="F170" s="47">
        <v>30.0</v>
      </c>
      <c r="G170" s="47">
        <v>35.0</v>
      </c>
      <c r="H170" s="47">
        <v>40.0</v>
      </c>
      <c r="I170" s="47">
        <v>45.0</v>
      </c>
      <c r="J170" s="47">
        <v>50.0</v>
      </c>
      <c r="K170" s="47">
        <v>55.0</v>
      </c>
      <c r="L170" s="47">
        <v>55.0</v>
      </c>
      <c r="M170" s="48">
        <v>327.1952433217</v>
      </c>
      <c r="N170" s="47">
        <v>314.0005029629</v>
      </c>
      <c r="O170" s="47">
        <v>309.3087258992</v>
      </c>
      <c r="P170" s="47">
        <v>299.32055259969997</v>
      </c>
      <c r="Q170" s="47">
        <v>286.3365512202</v>
      </c>
      <c r="R170" s="47">
        <v>270.0596739857</v>
      </c>
      <c r="S170" s="47">
        <v>250.22839312119999</v>
      </c>
      <c r="T170" s="47">
        <v>226.6167008517</v>
      </c>
      <c r="U170" s="47">
        <v>199.0341094022</v>
      </c>
      <c r="V170" s="47">
        <v>199.0341094022</v>
      </c>
      <c r="W170" s="49">
        <f>W146*2+W147*11</f>
        <v>17.206</v>
      </c>
      <c r="X170" s="47">
        <v>29.962999999999997</v>
      </c>
      <c r="Y170" s="47">
        <v>31.631</v>
      </c>
      <c r="Z170" s="47">
        <v>34.138999999999996</v>
      </c>
      <c r="AA170" s="47">
        <v>36.287</v>
      </c>
      <c r="AB170" s="47">
        <v>38.083999999999996</v>
      </c>
      <c r="AC170" s="47">
        <v>39.520999999999994</v>
      </c>
      <c r="AD170" s="47">
        <v>40.62</v>
      </c>
      <c r="AE170" s="47">
        <v>41.359</v>
      </c>
      <c r="AF170" s="47">
        <v>41.359</v>
      </c>
      <c r="AG170" s="49">
        <v>1.134</v>
      </c>
      <c r="AH170" s="47">
        <v>1.38</v>
      </c>
      <c r="AI170" s="47">
        <v>1.42</v>
      </c>
      <c r="AJ170" s="47">
        <v>1.551</v>
      </c>
      <c r="AK170" s="47">
        <v>1.805</v>
      </c>
      <c r="AL170" s="47">
        <v>2.162</v>
      </c>
      <c r="AM170" s="47">
        <v>2.65</v>
      </c>
      <c r="AN170" s="47">
        <v>3.3</v>
      </c>
      <c r="AO170" s="47">
        <v>4.166</v>
      </c>
      <c r="AP170" s="47">
        <v>4.166</v>
      </c>
      <c r="AQ170" s="49">
        <v>0.0</v>
      </c>
      <c r="AR170" s="47">
        <v>66.8</v>
      </c>
      <c r="AS170" s="47">
        <v>71.97</v>
      </c>
      <c r="AT170" s="47">
        <v>76.71</v>
      </c>
      <c r="AU170" s="47">
        <v>79.41</v>
      </c>
      <c r="AV170" s="47">
        <v>80.0</v>
      </c>
      <c r="AW170" s="47">
        <v>79.46</v>
      </c>
      <c r="AX170" s="47">
        <v>76.93</v>
      </c>
      <c r="AY170" s="47">
        <v>72.7</v>
      </c>
      <c r="AZ170" s="47">
        <v>72.7</v>
      </c>
      <c r="BA170" s="50">
        <v>1606.0</v>
      </c>
      <c r="BB170" s="51">
        <v>700.0</v>
      </c>
      <c r="BC170" s="51">
        <v>470.0</v>
      </c>
      <c r="BD170" s="51">
        <v>345.0</v>
      </c>
      <c r="BE170" s="51" t="s">
        <v>793</v>
      </c>
      <c r="BF170" s="51" t="s">
        <v>794</v>
      </c>
      <c r="BG170" s="51" t="s">
        <v>795</v>
      </c>
      <c r="BH170" s="51"/>
      <c r="BI170" s="51">
        <v>190.0</v>
      </c>
      <c r="BJ170" s="51">
        <v>248.0</v>
      </c>
      <c r="BK170" s="51">
        <v>365.0</v>
      </c>
      <c r="BL170" s="51">
        <v>266.0</v>
      </c>
      <c r="BM170" s="51">
        <v>366.0</v>
      </c>
      <c r="BN170" s="51">
        <v>140.0</v>
      </c>
      <c r="BO170" s="51">
        <v>63.0</v>
      </c>
      <c r="BP170" s="51" t="s">
        <v>735</v>
      </c>
      <c r="BQ170" s="51" t="s">
        <v>642</v>
      </c>
      <c r="BR170" s="52">
        <v>33.0</v>
      </c>
      <c r="BS170" s="53" t="s">
        <v>796</v>
      </c>
      <c r="BT170" s="53" t="s">
        <v>796</v>
      </c>
      <c r="BU170" s="52">
        <v>45.0</v>
      </c>
      <c r="BV170" s="47">
        <f>IFERROR(__xludf.DUMMYFUNCTION("IFERROR(INDEX(motors!E:E, MATCH(1, (motors!A:A=REGEXEXTRACT(A170,""^\S+""))*(motors!B:B=BU170), 0)), """")"),80.8)</f>
        <v>80.8</v>
      </c>
      <c r="BW170" s="47">
        <f>IFERROR(__xludf.DUMMYFUNCTION("IFERROR(INDEX(motors!F:F, MATCH(1, (motors!A:A=REGEXEXTRACT(A170,""^\S+""))*(motors!B:B=BU170), 0)), """")"),46.5)</f>
        <v>46.5</v>
      </c>
      <c r="BX170" s="51">
        <v>2.0</v>
      </c>
      <c r="BY170" s="52">
        <v>420.0</v>
      </c>
      <c r="BZ170" s="53" t="s">
        <v>845</v>
      </c>
      <c r="CA170" s="53" t="str">
        <f>IFERROR(__xludf.DUMMYFUNCTION("IFERROR(REGEXEXTRACT(BZ170, ""(?i)[A-Z]+-D-E-([^-]+)-E""), """")"),"HQQE")</f>
        <v>HQQE</v>
      </c>
    </row>
    <row r="171" ht="11.25" customHeight="1">
      <c r="A171" s="55"/>
      <c r="B171" s="55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48"/>
      <c r="N171" s="56"/>
      <c r="O171" s="56"/>
      <c r="P171" s="56"/>
      <c r="Q171" s="56"/>
      <c r="R171" s="56"/>
      <c r="S171" s="56"/>
      <c r="T171" s="56"/>
      <c r="U171" s="56"/>
      <c r="V171" s="56"/>
      <c r="W171" s="49"/>
      <c r="X171" s="56"/>
      <c r="Y171" s="56"/>
      <c r="Z171" s="56"/>
      <c r="AA171" s="56"/>
      <c r="AB171" s="56"/>
      <c r="AC171" s="56"/>
      <c r="AD171" s="56"/>
      <c r="AE171" s="56"/>
      <c r="AF171" s="56"/>
      <c r="AG171" s="49"/>
      <c r="AH171" s="56"/>
      <c r="AI171" s="56"/>
      <c r="AJ171" s="56"/>
      <c r="AK171" s="56"/>
      <c r="AL171" s="56"/>
      <c r="AM171" s="56"/>
      <c r="AN171" s="56"/>
      <c r="AO171" s="56"/>
      <c r="AP171" s="56"/>
      <c r="AQ171" s="49"/>
      <c r="AR171" s="56"/>
      <c r="AS171" s="56"/>
      <c r="AT171" s="56"/>
      <c r="AU171" s="56"/>
      <c r="AV171" s="56"/>
      <c r="AW171" s="56"/>
      <c r="AX171" s="56"/>
      <c r="AY171" s="56"/>
      <c r="AZ171" s="56"/>
      <c r="BA171" s="50"/>
      <c r="BB171" s="57"/>
      <c r="BC171" s="57"/>
      <c r="BD171" s="57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/>
      <c r="BR171" s="59"/>
      <c r="BS171" s="59"/>
      <c r="BT171" s="59"/>
      <c r="BU171" s="59"/>
      <c r="BV171" s="47" t="str">
        <f>IFERROR(__xludf.DUMMYFUNCTION("IFERROR(INDEX(motors!E:E, MATCH(1, (motors!A:A=REGEXEXTRACT(A171,""^\S+""))*(motors!B:B=BU171), 0)), """")"),"")</f>
        <v/>
      </c>
      <c r="BW171" s="47" t="str">
        <f>IFERROR(__xludf.DUMMYFUNCTION("IFERROR(INDEX(motors!F:F, MATCH(1, (motors!A:A=REGEXEXTRACT(A171,""^\S+""))*(motors!B:B=BU171), 0)), """")"),"")</f>
        <v/>
      </c>
      <c r="BX171" s="57"/>
      <c r="BY171" s="59"/>
      <c r="BZ171" s="59"/>
      <c r="CA171" s="53" t="str">
        <f>IFERROR(__xludf.DUMMYFUNCTION("IFERROR(REGEXEXTRACT(BZ171, ""(?i)[A-Z]+-D-E-([^-]+)-E""), """")"),"")</f>
        <v/>
      </c>
    </row>
    <row r="172" ht="11.25" customHeight="1">
      <c r="A172" s="46" t="s">
        <v>846</v>
      </c>
      <c r="B172" s="46">
        <v>7.4123712E7</v>
      </c>
      <c r="C172" s="47">
        <v>0.0</v>
      </c>
      <c r="D172" s="47">
        <v>30.0</v>
      </c>
      <c r="E172" s="47">
        <v>40.0</v>
      </c>
      <c r="F172" s="47">
        <v>50.0</v>
      </c>
      <c r="G172" s="47">
        <v>60.0</v>
      </c>
      <c r="H172" s="47">
        <v>64.0</v>
      </c>
      <c r="I172" s="47">
        <v>70.0</v>
      </c>
      <c r="J172" s="47">
        <v>80.0</v>
      </c>
      <c r="K172" s="47">
        <v>80.0</v>
      </c>
      <c r="L172" s="47">
        <v>80.0</v>
      </c>
      <c r="M172" s="48">
        <v>20.9781997034</v>
      </c>
      <c r="N172" s="47">
        <v>18.95</v>
      </c>
      <c r="O172" s="47">
        <v>17.9</v>
      </c>
      <c r="P172" s="47">
        <v>16.4</v>
      </c>
      <c r="Q172" s="47">
        <v>14.55</v>
      </c>
      <c r="R172" s="47">
        <v>13.65</v>
      </c>
      <c r="S172" s="47">
        <v>12.15</v>
      </c>
      <c r="T172" s="47">
        <v>8.8</v>
      </c>
      <c r="U172" s="47">
        <v>8.8</v>
      </c>
      <c r="V172" s="47">
        <v>8.8</v>
      </c>
      <c r="W172" s="49">
        <v>1.331</v>
      </c>
      <c r="X172" s="47">
        <v>2.565</v>
      </c>
      <c r="Y172" s="47">
        <v>3.035</v>
      </c>
      <c r="Z172" s="47">
        <v>3.308</v>
      </c>
      <c r="AA172" s="47">
        <v>3.525</v>
      </c>
      <c r="AB172" s="47">
        <v>3.6</v>
      </c>
      <c r="AC172" s="47">
        <v>3.7</v>
      </c>
      <c r="AD172" s="47">
        <v>3.829</v>
      </c>
      <c r="AE172" s="47">
        <v>3.829</v>
      </c>
      <c r="AF172" s="47">
        <v>3.829</v>
      </c>
      <c r="AG172" s="49">
        <v>0.993</v>
      </c>
      <c r="AH172" s="47">
        <v>1.27</v>
      </c>
      <c r="AI172" s="47">
        <v>1.352</v>
      </c>
      <c r="AJ172" s="47">
        <v>1.62</v>
      </c>
      <c r="AK172" s="47">
        <v>2.174</v>
      </c>
      <c r="AL172" s="47">
        <v>2.499</v>
      </c>
      <c r="AM172" s="47">
        <v>3.13</v>
      </c>
      <c r="AN172" s="47">
        <v>4.763</v>
      </c>
      <c r="AO172" s="47">
        <v>4.763</v>
      </c>
      <c r="AP172" s="47">
        <v>4.763</v>
      </c>
      <c r="AQ172" s="49">
        <v>0.0</v>
      </c>
      <c r="AR172" s="47">
        <v>58.0</v>
      </c>
      <c r="AS172" s="47">
        <v>68.9</v>
      </c>
      <c r="AT172" s="47">
        <v>76.2</v>
      </c>
      <c r="AU172" s="47">
        <v>80.89</v>
      </c>
      <c r="AV172" s="47">
        <v>81.94</v>
      </c>
      <c r="AW172" s="47">
        <v>82.52</v>
      </c>
      <c r="AX172" s="47">
        <v>80.34</v>
      </c>
      <c r="AY172" s="47">
        <v>80.34</v>
      </c>
      <c r="AZ172" s="47">
        <v>80.34</v>
      </c>
      <c r="BA172" s="50">
        <v>480.0</v>
      </c>
      <c r="BB172" s="51">
        <v>323.0</v>
      </c>
      <c r="BC172" s="51">
        <v>200.0</v>
      </c>
      <c r="BD172" s="51">
        <v>146.0</v>
      </c>
      <c r="BE172" s="51" t="s">
        <v>847</v>
      </c>
      <c r="BF172" s="51" t="s">
        <v>848</v>
      </c>
      <c r="BG172" s="51" t="s">
        <v>849</v>
      </c>
      <c r="BH172" s="51"/>
      <c r="BI172" s="51">
        <v>190.0</v>
      </c>
      <c r="BJ172" s="51">
        <v>245.0</v>
      </c>
      <c r="BK172" s="51">
        <v>365.0</v>
      </c>
      <c r="BL172" s="51">
        <v>266.0</v>
      </c>
      <c r="BM172" s="51">
        <v>366.0</v>
      </c>
      <c r="BN172" s="51">
        <v>140.0</v>
      </c>
      <c r="BO172" s="51">
        <v>63.0</v>
      </c>
      <c r="BP172" s="51" t="s">
        <v>735</v>
      </c>
      <c r="BQ172" s="51" t="s">
        <v>642</v>
      </c>
      <c r="BR172" s="52">
        <v>16.0</v>
      </c>
      <c r="BS172" s="53" t="s">
        <v>850</v>
      </c>
      <c r="BT172" s="53" t="s">
        <v>850</v>
      </c>
      <c r="BU172" s="52">
        <v>4.0</v>
      </c>
      <c r="BV172" s="47">
        <f>IFERROR(__xludf.DUMMYFUNCTION("IFERROR(INDEX(motors!E:E, MATCH(1, (motors!A:A=REGEXEXTRACT(A172,""^\S+""))*(motors!B:B=BU172), 0)), """")"),7.8)</f>
        <v>7.8</v>
      </c>
      <c r="BW172" s="47">
        <f>IFERROR(__xludf.DUMMYFUNCTION("IFERROR(INDEX(motors!F:F, MATCH(1, (motors!A:A=REGEXEXTRACT(A172,""^\S+""))*(motors!B:B=BU172), 0)), """")"),4.5)</f>
        <v>4.5</v>
      </c>
      <c r="BX172" s="51">
        <v>2.0</v>
      </c>
      <c r="BY172" s="52">
        <v>106.0</v>
      </c>
      <c r="BZ172" s="53" t="s">
        <v>851</v>
      </c>
      <c r="CA172" s="53" t="str">
        <f>IFERROR(__xludf.DUMMYFUNCTION("IFERROR(REGEXEXTRACT(BZ172, ""(?i)[A-Z]+-D-E-([^-]+)-E""), """")"),"HQQE")</f>
        <v>HQQE</v>
      </c>
    </row>
    <row r="173" ht="11.25" customHeight="1">
      <c r="A173" s="61" t="s">
        <v>852</v>
      </c>
      <c r="B173" s="61">
        <v>7.4123713E7</v>
      </c>
      <c r="C173" s="62">
        <v>0.0</v>
      </c>
      <c r="D173" s="62">
        <v>30.0</v>
      </c>
      <c r="E173" s="62">
        <v>40.0</v>
      </c>
      <c r="F173" s="62">
        <v>50.0</v>
      </c>
      <c r="G173" s="62">
        <v>60.0</v>
      </c>
      <c r="H173" s="62">
        <v>64.0</v>
      </c>
      <c r="I173" s="62">
        <v>70.0</v>
      </c>
      <c r="J173" s="62">
        <v>80.0</v>
      </c>
      <c r="K173" s="62">
        <v>80.0</v>
      </c>
      <c r="L173" s="62">
        <v>80.0</v>
      </c>
      <c r="M173" s="48">
        <v>30.1</v>
      </c>
      <c r="N173" s="62">
        <v>26.65</v>
      </c>
      <c r="O173" s="62">
        <v>25.1</v>
      </c>
      <c r="P173" s="62">
        <v>23.0</v>
      </c>
      <c r="Q173" s="62">
        <v>20.5</v>
      </c>
      <c r="R173" s="62">
        <v>19.4</v>
      </c>
      <c r="S173" s="62">
        <v>17.35</v>
      </c>
      <c r="T173" s="62">
        <v>13.6</v>
      </c>
      <c r="U173" s="62">
        <v>13.6</v>
      </c>
      <c r="V173" s="62">
        <v>13.6</v>
      </c>
      <c r="W173" s="62">
        <v>3.008</v>
      </c>
      <c r="X173" s="62">
        <v>3.963</v>
      </c>
      <c r="Y173" s="62">
        <v>4.38</v>
      </c>
      <c r="Z173" s="62">
        <v>4.741</v>
      </c>
      <c r="AA173" s="62">
        <v>5.067</v>
      </c>
      <c r="AB173" s="62">
        <v>5.187</v>
      </c>
      <c r="AC173" s="62">
        <v>5.356</v>
      </c>
      <c r="AD173" s="62">
        <v>5.609</v>
      </c>
      <c r="AE173" s="62">
        <v>5.609</v>
      </c>
      <c r="AF173" s="62">
        <v>5.609</v>
      </c>
      <c r="AG173" s="62">
        <v>0.993</v>
      </c>
      <c r="AH173" s="62">
        <v>1.27</v>
      </c>
      <c r="AI173" s="62">
        <v>1.352</v>
      </c>
      <c r="AJ173" s="62">
        <v>1.62</v>
      </c>
      <c r="AK173" s="62">
        <v>2.174</v>
      </c>
      <c r="AL173" s="62">
        <v>2.499</v>
      </c>
      <c r="AM173" s="62">
        <v>3.13</v>
      </c>
      <c r="AN173" s="62">
        <v>4.763</v>
      </c>
      <c r="AO173" s="62">
        <v>4.763</v>
      </c>
      <c r="AP173" s="62">
        <v>4.763</v>
      </c>
      <c r="AQ173" s="62">
        <v>0.0</v>
      </c>
      <c r="AR173" s="62">
        <v>58.0</v>
      </c>
      <c r="AS173" s="62">
        <v>68.9</v>
      </c>
      <c r="AT173" s="62">
        <v>76.2</v>
      </c>
      <c r="AU173" s="62">
        <v>80.89</v>
      </c>
      <c r="AV173" s="62">
        <v>81.94</v>
      </c>
      <c r="AW173" s="62">
        <v>82.52</v>
      </c>
      <c r="AX173" s="62">
        <v>80.34</v>
      </c>
      <c r="AY173" s="62">
        <v>80.34</v>
      </c>
      <c r="AZ173" s="62">
        <v>80.34</v>
      </c>
      <c r="BA173" s="63">
        <v>480.0</v>
      </c>
      <c r="BB173" s="64">
        <v>379.0</v>
      </c>
      <c r="BC173" s="64">
        <v>212.0</v>
      </c>
      <c r="BD173" s="64">
        <v>160.0</v>
      </c>
      <c r="BE173" s="64" t="s">
        <v>847</v>
      </c>
      <c r="BF173" s="64" t="s">
        <v>848</v>
      </c>
      <c r="BG173" s="64" t="s">
        <v>849</v>
      </c>
      <c r="BH173" s="64"/>
      <c r="BI173" s="64">
        <v>190.0</v>
      </c>
      <c r="BJ173" s="64">
        <v>245.0</v>
      </c>
      <c r="BK173" s="64">
        <v>365.0</v>
      </c>
      <c r="BL173" s="64">
        <v>266.0</v>
      </c>
      <c r="BM173" s="64">
        <v>366.0</v>
      </c>
      <c r="BN173" s="64">
        <v>140.0</v>
      </c>
      <c r="BO173" s="64">
        <v>63.0</v>
      </c>
      <c r="BP173" s="64" t="s">
        <v>735</v>
      </c>
      <c r="BQ173" s="64" t="s">
        <v>642</v>
      </c>
      <c r="BR173" s="65">
        <v>16.0</v>
      </c>
      <c r="BS173" s="63" t="s">
        <v>850</v>
      </c>
      <c r="BT173" s="63" t="s">
        <v>850</v>
      </c>
      <c r="BU173" s="65">
        <v>5.5</v>
      </c>
      <c r="BV173" s="47">
        <f>IFERROR(__xludf.DUMMYFUNCTION("IFERROR(INDEX(motors!E:E, MATCH(1, (motors!A:A=REGEXEXTRACT(A173,""^\S+""))*(motors!B:B=BU173), 0)), """")"),10.6)</f>
        <v>10.6</v>
      </c>
      <c r="BW173" s="47">
        <f>IFERROR(__xludf.DUMMYFUNCTION("IFERROR(INDEX(motors!F:F, MATCH(1, (motors!A:A=REGEXEXTRACT(A173,""^\S+""))*(motors!B:B=BU173), 0)), """")"),6.1)</f>
        <v>6.1</v>
      </c>
      <c r="BX173" s="64">
        <v>2.0</v>
      </c>
      <c r="BY173" s="65">
        <v>111.0</v>
      </c>
      <c r="BZ173" s="63" t="s">
        <v>853</v>
      </c>
      <c r="CA173" s="53" t="str">
        <f>IFERROR(__xludf.DUMMYFUNCTION("IFERROR(REGEXEXTRACT(BZ173, ""(?i)[A-Z]+-D-E-([^-]+)-E""), """")"),"HQQE")</f>
        <v>HQQE</v>
      </c>
    </row>
    <row r="174" ht="11.25" customHeight="1">
      <c r="A174" s="61" t="s">
        <v>854</v>
      </c>
      <c r="B174" s="61">
        <v>7.4123714E7</v>
      </c>
      <c r="C174" s="62">
        <v>0.0</v>
      </c>
      <c r="D174" s="62">
        <v>30.0</v>
      </c>
      <c r="E174" s="62">
        <v>40.0</v>
      </c>
      <c r="F174" s="62">
        <v>50.0</v>
      </c>
      <c r="G174" s="62">
        <v>60.0</v>
      </c>
      <c r="H174" s="62">
        <v>64.0</v>
      </c>
      <c r="I174" s="62">
        <v>70.0</v>
      </c>
      <c r="J174" s="62">
        <v>80.0</v>
      </c>
      <c r="K174" s="62">
        <v>80.0</v>
      </c>
      <c r="L174" s="62">
        <v>80.0</v>
      </c>
      <c r="M174" s="48">
        <v>41.1192482535</v>
      </c>
      <c r="N174" s="62">
        <v>37.015948078499996</v>
      </c>
      <c r="O174" s="62">
        <v>34.9708025135</v>
      </c>
      <c r="P174" s="62">
        <v>32.0036865285</v>
      </c>
      <c r="Q174" s="62">
        <v>27.85</v>
      </c>
      <c r="R174" s="62">
        <v>26.080905271099997</v>
      </c>
      <c r="S174" s="62">
        <v>22.9294768985</v>
      </c>
      <c r="T174" s="62">
        <v>17.0017100535</v>
      </c>
      <c r="U174" s="62">
        <v>17.0017100535</v>
      </c>
      <c r="V174" s="62">
        <v>17.0017100535</v>
      </c>
      <c r="W174" s="62">
        <f>W172*2</f>
        <v>2.662</v>
      </c>
      <c r="X174" s="62">
        <v>5.13</v>
      </c>
      <c r="Y174" s="62">
        <v>6.07</v>
      </c>
      <c r="Z174" s="62">
        <v>6.616</v>
      </c>
      <c r="AA174" s="62">
        <v>7.05</v>
      </c>
      <c r="AB174" s="62">
        <v>7.2</v>
      </c>
      <c r="AC174" s="62">
        <v>7.4</v>
      </c>
      <c r="AD174" s="62">
        <v>7.658</v>
      </c>
      <c r="AE174" s="62">
        <v>7.658</v>
      </c>
      <c r="AF174" s="62">
        <v>7.658</v>
      </c>
      <c r="AG174" s="62">
        <v>0.993</v>
      </c>
      <c r="AH174" s="62">
        <v>1.27</v>
      </c>
      <c r="AI174" s="62">
        <v>1.352</v>
      </c>
      <c r="AJ174" s="62">
        <v>1.62</v>
      </c>
      <c r="AK174" s="62">
        <v>2.174</v>
      </c>
      <c r="AL174" s="62">
        <v>2.499</v>
      </c>
      <c r="AM174" s="62">
        <v>3.13</v>
      </c>
      <c r="AN174" s="62">
        <v>4.763</v>
      </c>
      <c r="AO174" s="62">
        <v>4.763</v>
      </c>
      <c r="AP174" s="62">
        <v>4.763</v>
      </c>
      <c r="AQ174" s="62">
        <v>0.0</v>
      </c>
      <c r="AR174" s="62">
        <v>58.0</v>
      </c>
      <c r="AS174" s="62">
        <v>68.9</v>
      </c>
      <c r="AT174" s="62">
        <v>76.2</v>
      </c>
      <c r="AU174" s="62">
        <v>80.89</v>
      </c>
      <c r="AV174" s="62">
        <v>81.94</v>
      </c>
      <c r="AW174" s="62">
        <v>82.52</v>
      </c>
      <c r="AX174" s="62">
        <v>80.34</v>
      </c>
      <c r="AY174" s="62">
        <v>80.34</v>
      </c>
      <c r="AZ174" s="62">
        <v>80.34</v>
      </c>
      <c r="BA174" s="63">
        <v>668.0</v>
      </c>
      <c r="BB174" s="64">
        <v>417.0</v>
      </c>
      <c r="BC174" s="64">
        <v>212.0</v>
      </c>
      <c r="BD174" s="64">
        <v>160.0</v>
      </c>
      <c r="BE174" s="64" t="s">
        <v>847</v>
      </c>
      <c r="BF174" s="64" t="s">
        <v>848</v>
      </c>
      <c r="BG174" s="64" t="s">
        <v>849</v>
      </c>
      <c r="BH174" s="64"/>
      <c r="BI174" s="64">
        <v>190.0</v>
      </c>
      <c r="BJ174" s="64">
        <v>245.0</v>
      </c>
      <c r="BK174" s="64">
        <v>365.0</v>
      </c>
      <c r="BL174" s="64">
        <v>266.0</v>
      </c>
      <c r="BM174" s="64">
        <v>366.0</v>
      </c>
      <c r="BN174" s="64">
        <v>140.0</v>
      </c>
      <c r="BO174" s="64">
        <v>63.0</v>
      </c>
      <c r="BP174" s="64" t="s">
        <v>735</v>
      </c>
      <c r="BQ174" s="64" t="s">
        <v>642</v>
      </c>
      <c r="BR174" s="65">
        <v>16.0</v>
      </c>
      <c r="BS174" s="63" t="s">
        <v>850</v>
      </c>
      <c r="BT174" s="63" t="s">
        <v>850</v>
      </c>
      <c r="BU174" s="65">
        <v>7.5</v>
      </c>
      <c r="BV174" s="47">
        <f>IFERROR(__xludf.DUMMYFUNCTION("IFERROR(INDEX(motors!E:E, MATCH(1, (motors!A:A=REGEXEXTRACT(A174,""^\S+""))*(motors!B:B=BU174), 0)), """")"),14.4)</f>
        <v>14.4</v>
      </c>
      <c r="BW174" s="47">
        <f>IFERROR(__xludf.DUMMYFUNCTION("IFERROR(INDEX(motors!F:F, MATCH(1, (motors!A:A=REGEXEXTRACT(A174,""^\S+""))*(motors!B:B=BU174), 0)), """")"),8.3)</f>
        <v>8.3</v>
      </c>
      <c r="BX174" s="64">
        <v>2.0</v>
      </c>
      <c r="BY174" s="65">
        <v>121.0</v>
      </c>
      <c r="BZ174" s="63" t="s">
        <v>855</v>
      </c>
      <c r="CA174" s="53" t="str">
        <f>IFERROR(__xludf.DUMMYFUNCTION("IFERROR(REGEXEXTRACT(BZ174, ""(?i)[A-Z]+-D-E-([^-]+)-E""), """")"),"HQQE")</f>
        <v>HQQE</v>
      </c>
    </row>
    <row r="175" ht="11.25" customHeight="1">
      <c r="A175" s="55" t="s">
        <v>856</v>
      </c>
      <c r="B175" s="55">
        <v>7.4123715E7</v>
      </c>
      <c r="C175" s="56">
        <v>0.0</v>
      </c>
      <c r="D175" s="56">
        <v>30.0</v>
      </c>
      <c r="E175" s="56">
        <v>40.0</v>
      </c>
      <c r="F175" s="56">
        <v>50.0</v>
      </c>
      <c r="G175" s="56">
        <v>60.0</v>
      </c>
      <c r="H175" s="56">
        <v>64.0</v>
      </c>
      <c r="I175" s="56">
        <v>70.0</v>
      </c>
      <c r="J175" s="56">
        <v>80.0</v>
      </c>
      <c r="K175" s="56">
        <v>80.0</v>
      </c>
      <c r="L175" s="56">
        <v>80.0</v>
      </c>
      <c r="M175" s="48">
        <v>52.2027217155</v>
      </c>
      <c r="N175" s="56">
        <v>46.9693938315</v>
      </c>
      <c r="O175" s="56">
        <v>43.9688864835</v>
      </c>
      <c r="P175" s="56">
        <v>40.2613167755</v>
      </c>
      <c r="Q175" s="56">
        <v>35.7663267075</v>
      </c>
      <c r="R175" s="56">
        <v>33.7256716035</v>
      </c>
      <c r="S175" s="56">
        <v>30.381598279499997</v>
      </c>
      <c r="T175" s="56">
        <v>23.982853491500002</v>
      </c>
      <c r="U175" s="56">
        <v>23.982853491500002</v>
      </c>
      <c r="V175" s="56">
        <v>23.982853491500002</v>
      </c>
      <c r="W175" s="49">
        <f>W172*1+W173</f>
        <v>4.339</v>
      </c>
      <c r="X175" s="56">
        <v>6.5280000000000005</v>
      </c>
      <c r="Y175" s="56">
        <v>7.415</v>
      </c>
      <c r="Z175" s="56">
        <v>8.049</v>
      </c>
      <c r="AA175" s="56">
        <v>8.592</v>
      </c>
      <c r="AB175" s="56">
        <v>8.787</v>
      </c>
      <c r="AC175" s="56">
        <v>9.056000000000001</v>
      </c>
      <c r="AD175" s="56">
        <v>9.438</v>
      </c>
      <c r="AE175" s="56">
        <v>9.438</v>
      </c>
      <c r="AF175" s="56">
        <v>9.438</v>
      </c>
      <c r="AG175" s="49">
        <v>0.993</v>
      </c>
      <c r="AH175" s="56">
        <v>1.27</v>
      </c>
      <c r="AI175" s="56">
        <v>1.352</v>
      </c>
      <c r="AJ175" s="56">
        <v>1.62</v>
      </c>
      <c r="AK175" s="56">
        <v>2.174</v>
      </c>
      <c r="AL175" s="56">
        <v>2.499</v>
      </c>
      <c r="AM175" s="56">
        <v>3.13</v>
      </c>
      <c r="AN175" s="56">
        <v>4.763</v>
      </c>
      <c r="AO175" s="56">
        <v>4.763</v>
      </c>
      <c r="AP175" s="56">
        <v>4.763</v>
      </c>
      <c r="AQ175" s="49">
        <v>0.0</v>
      </c>
      <c r="AR175" s="56">
        <v>58.0</v>
      </c>
      <c r="AS175" s="56">
        <v>68.9</v>
      </c>
      <c r="AT175" s="56">
        <v>76.2</v>
      </c>
      <c r="AU175" s="56">
        <v>80.89</v>
      </c>
      <c r="AV175" s="56">
        <v>81.94</v>
      </c>
      <c r="AW175" s="56">
        <v>82.52</v>
      </c>
      <c r="AX175" s="56">
        <v>80.34</v>
      </c>
      <c r="AY175" s="56">
        <v>80.34</v>
      </c>
      <c r="AZ175" s="56">
        <v>80.34</v>
      </c>
      <c r="BA175" s="50">
        <v>668.0</v>
      </c>
      <c r="BB175" s="57">
        <v>448.0</v>
      </c>
      <c r="BC175" s="57">
        <v>255.0</v>
      </c>
      <c r="BD175" s="57">
        <v>178.0</v>
      </c>
      <c r="BE175" s="57" t="s">
        <v>847</v>
      </c>
      <c r="BF175" s="57" t="s">
        <v>848</v>
      </c>
      <c r="BG175" s="57" t="s">
        <v>849</v>
      </c>
      <c r="BH175" s="57"/>
      <c r="BI175" s="57">
        <v>190.0</v>
      </c>
      <c r="BJ175" s="57">
        <v>245.0</v>
      </c>
      <c r="BK175" s="57">
        <v>365.0</v>
      </c>
      <c r="BL175" s="57">
        <v>266.0</v>
      </c>
      <c r="BM175" s="57">
        <v>366.0</v>
      </c>
      <c r="BN175" s="57">
        <v>140.0</v>
      </c>
      <c r="BO175" s="57">
        <v>63.0</v>
      </c>
      <c r="BP175" s="57" t="s">
        <v>735</v>
      </c>
      <c r="BQ175" s="57" t="s">
        <v>642</v>
      </c>
      <c r="BR175" s="58">
        <v>16.0</v>
      </c>
      <c r="BS175" s="59" t="s">
        <v>850</v>
      </c>
      <c r="BT175" s="59" t="s">
        <v>850</v>
      </c>
      <c r="BU175" s="58">
        <v>11.0</v>
      </c>
      <c r="BV175" s="47">
        <f>IFERROR(__xludf.DUMMYFUNCTION("IFERROR(INDEX(motors!E:E, MATCH(1, (motors!A:A=REGEXEXTRACT(A175,""^\S+""))*(motors!B:B=BU175), 0)), """")"),20.6)</f>
        <v>20.6</v>
      </c>
      <c r="BW175" s="47">
        <f>IFERROR(__xludf.DUMMYFUNCTION("IFERROR(INDEX(motors!F:F, MATCH(1, (motors!A:A=REGEXEXTRACT(A175,""^\S+""))*(motors!B:B=BU175), 0)), """")"),11.9)</f>
        <v>11.9</v>
      </c>
      <c r="BX175" s="57">
        <v>2.0</v>
      </c>
      <c r="BY175" s="58">
        <v>156.0</v>
      </c>
      <c r="BZ175" s="59" t="s">
        <v>857</v>
      </c>
      <c r="CA175" s="53" t="str">
        <f>IFERROR(__xludf.DUMMYFUNCTION("IFERROR(REGEXEXTRACT(BZ175, ""(?i)[A-Z]+-D-E-([^-]+)-E""), """")"),"HQQE")</f>
        <v>HQQE</v>
      </c>
    </row>
    <row r="176" ht="11.25" customHeight="1">
      <c r="A176" s="61" t="s">
        <v>858</v>
      </c>
      <c r="B176" s="61">
        <v>7.4123716E7</v>
      </c>
      <c r="C176" s="62">
        <v>0.0</v>
      </c>
      <c r="D176" s="62">
        <v>30.0</v>
      </c>
      <c r="E176" s="62">
        <v>40.0</v>
      </c>
      <c r="F176" s="62">
        <v>50.0</v>
      </c>
      <c r="G176" s="62">
        <v>60.0</v>
      </c>
      <c r="H176" s="62">
        <v>64.0</v>
      </c>
      <c r="I176" s="62">
        <v>70.0</v>
      </c>
      <c r="J176" s="62">
        <v>80.0</v>
      </c>
      <c r="K176" s="62">
        <v>80.0</v>
      </c>
      <c r="L176" s="62">
        <v>80.0</v>
      </c>
      <c r="M176" s="48">
        <v>61.1689099341</v>
      </c>
      <c r="N176" s="62">
        <v>54.8</v>
      </c>
      <c r="O176" s="62">
        <v>51.5</v>
      </c>
      <c r="P176" s="62">
        <v>47.4</v>
      </c>
      <c r="Q176" s="62">
        <v>42.4</v>
      </c>
      <c r="R176" s="62">
        <v>40.3</v>
      </c>
      <c r="S176" s="62">
        <v>36.790934606099995</v>
      </c>
      <c r="T176" s="62">
        <v>30.011281742100003</v>
      </c>
      <c r="U176" s="62">
        <v>30.011281742100003</v>
      </c>
      <c r="V176" s="62">
        <v>30.011281742100003</v>
      </c>
      <c r="W176" s="62">
        <f>W173*2</f>
        <v>6.016</v>
      </c>
      <c r="X176" s="62">
        <v>7.926</v>
      </c>
      <c r="Y176" s="62">
        <v>8.76</v>
      </c>
      <c r="Z176" s="62">
        <v>9.482</v>
      </c>
      <c r="AA176" s="62">
        <v>10.134</v>
      </c>
      <c r="AB176" s="62">
        <v>10.374</v>
      </c>
      <c r="AC176" s="62">
        <v>10.712</v>
      </c>
      <c r="AD176" s="62">
        <v>11.218</v>
      </c>
      <c r="AE176" s="62">
        <v>11.218</v>
      </c>
      <c r="AF176" s="62">
        <v>11.218</v>
      </c>
      <c r="AG176" s="62">
        <v>0.993</v>
      </c>
      <c r="AH176" s="62">
        <v>1.27</v>
      </c>
      <c r="AI176" s="62">
        <v>1.352</v>
      </c>
      <c r="AJ176" s="62">
        <v>1.62</v>
      </c>
      <c r="AK176" s="62">
        <v>2.174</v>
      </c>
      <c r="AL176" s="62">
        <v>2.499</v>
      </c>
      <c r="AM176" s="62">
        <v>3.13</v>
      </c>
      <c r="AN176" s="62">
        <v>4.763</v>
      </c>
      <c r="AO176" s="62">
        <v>4.763</v>
      </c>
      <c r="AP176" s="62">
        <v>4.763</v>
      </c>
      <c r="AQ176" s="62">
        <v>0.0</v>
      </c>
      <c r="AR176" s="62">
        <v>58.0</v>
      </c>
      <c r="AS176" s="62">
        <v>68.9</v>
      </c>
      <c r="AT176" s="62">
        <v>76.2</v>
      </c>
      <c r="AU176" s="62">
        <v>80.89</v>
      </c>
      <c r="AV176" s="62">
        <v>81.94</v>
      </c>
      <c r="AW176" s="62">
        <v>82.52</v>
      </c>
      <c r="AX176" s="62">
        <v>80.34</v>
      </c>
      <c r="AY176" s="62">
        <v>80.34</v>
      </c>
      <c r="AZ176" s="62">
        <v>80.34</v>
      </c>
      <c r="BA176" s="63">
        <v>726.0</v>
      </c>
      <c r="BB176" s="64">
        <v>448.0</v>
      </c>
      <c r="BC176" s="64">
        <v>255.0</v>
      </c>
      <c r="BD176" s="64">
        <v>178.0</v>
      </c>
      <c r="BE176" s="64" t="s">
        <v>847</v>
      </c>
      <c r="BF176" s="64" t="s">
        <v>848</v>
      </c>
      <c r="BG176" s="64" t="s">
        <v>849</v>
      </c>
      <c r="BH176" s="64"/>
      <c r="BI176" s="64">
        <v>190.0</v>
      </c>
      <c r="BJ176" s="64">
        <v>245.0</v>
      </c>
      <c r="BK176" s="64">
        <v>365.0</v>
      </c>
      <c r="BL176" s="64">
        <v>266.0</v>
      </c>
      <c r="BM176" s="64">
        <v>366.0</v>
      </c>
      <c r="BN176" s="64">
        <v>140.0</v>
      </c>
      <c r="BO176" s="64">
        <v>63.0</v>
      </c>
      <c r="BP176" s="64" t="s">
        <v>735</v>
      </c>
      <c r="BQ176" s="64" t="s">
        <v>642</v>
      </c>
      <c r="BR176" s="65">
        <v>16.0</v>
      </c>
      <c r="BS176" s="63" t="s">
        <v>850</v>
      </c>
      <c r="BT176" s="63" t="s">
        <v>850</v>
      </c>
      <c r="BU176" s="65">
        <v>11.0</v>
      </c>
      <c r="BV176" s="47">
        <f>IFERROR(__xludf.DUMMYFUNCTION("IFERROR(INDEX(motors!E:E, MATCH(1, (motors!A:A=REGEXEXTRACT(A176,""^\S+""))*(motors!B:B=BU176), 0)), """")"),20.6)</f>
        <v>20.6</v>
      </c>
      <c r="BW176" s="47">
        <f>IFERROR(__xludf.DUMMYFUNCTION("IFERROR(INDEX(motors!F:F, MATCH(1, (motors!A:A=REGEXEXTRACT(A176,""^\S+""))*(motors!B:B=BU176), 0)), """")"),11.9)</f>
        <v>11.9</v>
      </c>
      <c r="BX176" s="64">
        <v>2.0</v>
      </c>
      <c r="BY176" s="65">
        <v>156.0</v>
      </c>
      <c r="BZ176" s="63" t="s">
        <v>859</v>
      </c>
      <c r="CA176" s="53" t="str">
        <f>IFERROR(__xludf.DUMMYFUNCTION("IFERROR(REGEXEXTRACT(BZ176, ""(?i)[A-Z]+-D-E-([^-]+)-E""), """")"),"HQQE")</f>
        <v>HQQE</v>
      </c>
    </row>
    <row r="177" ht="11.25" customHeight="1">
      <c r="A177" s="55" t="s">
        <v>860</v>
      </c>
      <c r="B177" s="55">
        <v>7.4123717E7</v>
      </c>
      <c r="C177" s="56">
        <v>0.0</v>
      </c>
      <c r="D177" s="56">
        <v>30.0</v>
      </c>
      <c r="E177" s="56">
        <v>40.0</v>
      </c>
      <c r="F177" s="56">
        <v>50.0</v>
      </c>
      <c r="G177" s="56">
        <v>60.0</v>
      </c>
      <c r="H177" s="56">
        <v>64.0</v>
      </c>
      <c r="I177" s="56">
        <v>70.0</v>
      </c>
      <c r="J177" s="56">
        <v>80.0</v>
      </c>
      <c r="K177" s="56">
        <v>80.0</v>
      </c>
      <c r="L177" s="56">
        <v>80.0</v>
      </c>
      <c r="M177" s="48">
        <v>70.0</v>
      </c>
      <c r="N177" s="56">
        <v>65.3</v>
      </c>
      <c r="O177" s="56">
        <v>61.91498524170001</v>
      </c>
      <c r="P177" s="56">
        <v>56.5</v>
      </c>
      <c r="Q177" s="56">
        <v>49.8</v>
      </c>
      <c r="R177" s="56">
        <v>46.8</v>
      </c>
      <c r="S177" s="56">
        <v>41.7</v>
      </c>
      <c r="T177" s="56">
        <v>31.7</v>
      </c>
      <c r="U177" s="56">
        <v>31.7</v>
      </c>
      <c r="V177" s="56">
        <v>31.7</v>
      </c>
      <c r="W177" s="49">
        <f>W172*2+W173</f>
        <v>5.67</v>
      </c>
      <c r="X177" s="56">
        <v>9.093</v>
      </c>
      <c r="Y177" s="56">
        <v>10.45</v>
      </c>
      <c r="Z177" s="56">
        <v>11.357</v>
      </c>
      <c r="AA177" s="56">
        <v>12.117</v>
      </c>
      <c r="AB177" s="56">
        <v>12.387</v>
      </c>
      <c r="AC177" s="56">
        <v>12.756</v>
      </c>
      <c r="AD177" s="56">
        <v>13.267</v>
      </c>
      <c r="AE177" s="56">
        <v>13.267</v>
      </c>
      <c r="AF177" s="56">
        <v>13.267</v>
      </c>
      <c r="AG177" s="49">
        <v>0.993</v>
      </c>
      <c r="AH177" s="56">
        <v>1.27</v>
      </c>
      <c r="AI177" s="56">
        <v>1.352</v>
      </c>
      <c r="AJ177" s="56">
        <v>1.62</v>
      </c>
      <c r="AK177" s="56">
        <v>2.174</v>
      </c>
      <c r="AL177" s="56">
        <v>2.499</v>
      </c>
      <c r="AM177" s="56">
        <v>3.13</v>
      </c>
      <c r="AN177" s="56">
        <v>4.763</v>
      </c>
      <c r="AO177" s="56">
        <v>4.763</v>
      </c>
      <c r="AP177" s="56">
        <v>4.763</v>
      </c>
      <c r="AQ177" s="49">
        <v>0.0</v>
      </c>
      <c r="AR177" s="56">
        <v>58.0</v>
      </c>
      <c r="AS177" s="56">
        <v>68.9</v>
      </c>
      <c r="AT177" s="56">
        <v>76.2</v>
      </c>
      <c r="AU177" s="56">
        <v>80.89</v>
      </c>
      <c r="AV177" s="56">
        <v>81.94</v>
      </c>
      <c r="AW177" s="56">
        <v>82.52</v>
      </c>
      <c r="AX177" s="56">
        <v>80.34</v>
      </c>
      <c r="AY177" s="56">
        <v>80.34</v>
      </c>
      <c r="AZ177" s="56">
        <v>80.34</v>
      </c>
      <c r="BA177" s="50">
        <v>806.0</v>
      </c>
      <c r="BB177" s="57">
        <v>489.0</v>
      </c>
      <c r="BC177" s="57">
        <v>255.0</v>
      </c>
      <c r="BD177" s="57">
        <v>178.0</v>
      </c>
      <c r="BE177" s="57" t="s">
        <v>847</v>
      </c>
      <c r="BF177" s="57" t="s">
        <v>848</v>
      </c>
      <c r="BG177" s="57" t="s">
        <v>849</v>
      </c>
      <c r="BH177" s="57"/>
      <c r="BI177" s="57">
        <v>190.0</v>
      </c>
      <c r="BJ177" s="57">
        <v>245.0</v>
      </c>
      <c r="BK177" s="57">
        <v>365.0</v>
      </c>
      <c r="BL177" s="57">
        <v>266.0</v>
      </c>
      <c r="BM177" s="57">
        <v>366.0</v>
      </c>
      <c r="BN177" s="57">
        <v>140.0</v>
      </c>
      <c r="BO177" s="57">
        <v>63.0</v>
      </c>
      <c r="BP177" s="57" t="s">
        <v>735</v>
      </c>
      <c r="BQ177" s="57" t="s">
        <v>642</v>
      </c>
      <c r="BR177" s="58">
        <v>16.0</v>
      </c>
      <c r="BS177" s="59" t="s">
        <v>850</v>
      </c>
      <c r="BT177" s="59" t="s">
        <v>850</v>
      </c>
      <c r="BU177" s="58">
        <v>15.0</v>
      </c>
      <c r="BV177" s="47">
        <f>IFERROR(__xludf.DUMMYFUNCTION("IFERROR(INDEX(motors!E:E, MATCH(1, (motors!A:A=REGEXEXTRACT(A177,""^\S+""))*(motors!B:B=BU177), 0)), """")"),27.9)</f>
        <v>27.9</v>
      </c>
      <c r="BW177" s="47">
        <f>IFERROR(__xludf.DUMMYFUNCTION("IFERROR(INDEX(motors!F:F, MATCH(1, (motors!A:A=REGEXEXTRACT(A177,""^\S+""))*(motors!B:B=BU177), 0)), """")"),16.0)</f>
        <v>16</v>
      </c>
      <c r="BX177" s="57">
        <v>2.0</v>
      </c>
      <c r="BY177" s="58">
        <v>196.0</v>
      </c>
      <c r="BZ177" s="59" t="s">
        <v>861</v>
      </c>
      <c r="CA177" s="53" t="str">
        <f>IFERROR(__xludf.DUMMYFUNCTION("IFERROR(REGEXEXTRACT(BZ177, ""(?i)[A-Z]+-D-E-([^-]+)-E""), """")"),"HQQE")</f>
        <v>HQQE</v>
      </c>
    </row>
    <row r="178" ht="11.25" customHeight="1">
      <c r="A178" s="46" t="s">
        <v>862</v>
      </c>
      <c r="B178" s="46">
        <v>7.4123718E7</v>
      </c>
      <c r="C178" s="47">
        <v>0.0</v>
      </c>
      <c r="D178" s="47">
        <v>30.0</v>
      </c>
      <c r="E178" s="47">
        <v>40.0</v>
      </c>
      <c r="F178" s="47">
        <v>50.0</v>
      </c>
      <c r="G178" s="47">
        <v>60.0</v>
      </c>
      <c r="H178" s="47">
        <v>64.0</v>
      </c>
      <c r="I178" s="47">
        <v>70.0</v>
      </c>
      <c r="J178" s="47">
        <v>80.0</v>
      </c>
      <c r="K178" s="47">
        <v>80.0</v>
      </c>
      <c r="L178" s="47">
        <v>80.0</v>
      </c>
      <c r="M178" s="48">
        <v>79.8667335393</v>
      </c>
      <c r="N178" s="47">
        <v>73.08624160229999</v>
      </c>
      <c r="O178" s="47">
        <v>68.7986704233</v>
      </c>
      <c r="P178" s="47">
        <v>63.1225826443</v>
      </c>
      <c r="Q178" s="47">
        <v>56.0950264653</v>
      </c>
      <c r="R178" s="47">
        <v>52.9471400481</v>
      </c>
      <c r="S178" s="47">
        <v>47.9276740863</v>
      </c>
      <c r="T178" s="47">
        <v>38.7</v>
      </c>
      <c r="U178" s="47">
        <v>38.7</v>
      </c>
      <c r="V178" s="47">
        <v>38.7</v>
      </c>
      <c r="W178" s="49">
        <f>W172+W173*2</f>
        <v>7.347</v>
      </c>
      <c r="X178" s="47">
        <v>10.491</v>
      </c>
      <c r="Y178" s="47">
        <v>11.795</v>
      </c>
      <c r="Z178" s="47">
        <v>12.79</v>
      </c>
      <c r="AA178" s="47">
        <v>13.659</v>
      </c>
      <c r="AB178" s="47">
        <v>13.974</v>
      </c>
      <c r="AC178" s="47">
        <v>14.411999999999999</v>
      </c>
      <c r="AD178" s="47">
        <v>15.047</v>
      </c>
      <c r="AE178" s="47">
        <v>15.047</v>
      </c>
      <c r="AF178" s="47">
        <v>15.047</v>
      </c>
      <c r="AG178" s="49">
        <v>0.993</v>
      </c>
      <c r="AH178" s="47">
        <v>1.27</v>
      </c>
      <c r="AI178" s="47">
        <v>1.352</v>
      </c>
      <c r="AJ178" s="47">
        <v>1.62</v>
      </c>
      <c r="AK178" s="47">
        <v>2.174</v>
      </c>
      <c r="AL178" s="47">
        <v>2.499</v>
      </c>
      <c r="AM178" s="47">
        <v>3.13</v>
      </c>
      <c r="AN178" s="47">
        <v>4.763</v>
      </c>
      <c r="AO178" s="47">
        <v>4.763</v>
      </c>
      <c r="AP178" s="47">
        <v>4.763</v>
      </c>
      <c r="AQ178" s="49">
        <v>0.0</v>
      </c>
      <c r="AR178" s="47">
        <v>58.0</v>
      </c>
      <c r="AS178" s="47">
        <v>68.9</v>
      </c>
      <c r="AT178" s="47">
        <v>76.2</v>
      </c>
      <c r="AU178" s="47">
        <v>80.89</v>
      </c>
      <c r="AV178" s="47">
        <v>81.94</v>
      </c>
      <c r="AW178" s="47">
        <v>82.52</v>
      </c>
      <c r="AX178" s="47">
        <v>80.34</v>
      </c>
      <c r="AY178" s="47">
        <v>80.34</v>
      </c>
      <c r="AZ178" s="47">
        <v>80.34</v>
      </c>
      <c r="BA178" s="50">
        <v>806.0</v>
      </c>
      <c r="BB178" s="51">
        <v>489.0</v>
      </c>
      <c r="BC178" s="51">
        <v>255.0</v>
      </c>
      <c r="BD178" s="51">
        <v>178.0</v>
      </c>
      <c r="BE178" s="51" t="s">
        <v>847</v>
      </c>
      <c r="BF178" s="51" t="s">
        <v>848</v>
      </c>
      <c r="BG178" s="51" t="s">
        <v>849</v>
      </c>
      <c r="BH178" s="51"/>
      <c r="BI178" s="51">
        <v>190.0</v>
      </c>
      <c r="BJ178" s="51">
        <v>245.0</v>
      </c>
      <c r="BK178" s="51">
        <v>365.0</v>
      </c>
      <c r="BL178" s="51">
        <v>266.0</v>
      </c>
      <c r="BM178" s="51">
        <v>366.0</v>
      </c>
      <c r="BN178" s="51">
        <v>140.0</v>
      </c>
      <c r="BO178" s="51">
        <v>63.0</v>
      </c>
      <c r="BP178" s="51" t="s">
        <v>735</v>
      </c>
      <c r="BQ178" s="51" t="s">
        <v>642</v>
      </c>
      <c r="BR178" s="52">
        <v>16.0</v>
      </c>
      <c r="BS178" s="53" t="s">
        <v>850</v>
      </c>
      <c r="BT178" s="53" t="s">
        <v>850</v>
      </c>
      <c r="BU178" s="52">
        <v>15.0</v>
      </c>
      <c r="BV178" s="47">
        <f>IFERROR(__xludf.DUMMYFUNCTION("IFERROR(INDEX(motors!E:E, MATCH(1, (motors!A:A=REGEXEXTRACT(A178,""^\S+""))*(motors!B:B=BU178), 0)), """")"),27.9)</f>
        <v>27.9</v>
      </c>
      <c r="BW178" s="47">
        <f>IFERROR(__xludf.DUMMYFUNCTION("IFERROR(INDEX(motors!F:F, MATCH(1, (motors!A:A=REGEXEXTRACT(A178,""^\S+""))*(motors!B:B=BU178), 0)), """")"),16.0)</f>
        <v>16</v>
      </c>
      <c r="BX178" s="51">
        <v>2.0</v>
      </c>
      <c r="BY178" s="52">
        <v>196.0</v>
      </c>
      <c r="BZ178" s="53" t="s">
        <v>863</v>
      </c>
      <c r="CA178" s="53" t="str">
        <f>IFERROR(__xludf.DUMMYFUNCTION("IFERROR(REGEXEXTRACT(BZ178, ""(?i)[A-Z]+-D-E-([^-]+)-E""), """")"),"HQQE")</f>
        <v>HQQE</v>
      </c>
    </row>
    <row r="179" ht="11.25" customHeight="1">
      <c r="A179" s="61" t="s">
        <v>864</v>
      </c>
      <c r="B179" s="61">
        <v>7.4123719E7</v>
      </c>
      <c r="C179" s="62">
        <v>0.0</v>
      </c>
      <c r="D179" s="62">
        <v>30.0</v>
      </c>
      <c r="E179" s="62">
        <v>40.0</v>
      </c>
      <c r="F179" s="62">
        <v>50.0</v>
      </c>
      <c r="G179" s="62">
        <v>60.0</v>
      </c>
      <c r="H179" s="62">
        <v>64.0</v>
      </c>
      <c r="I179" s="62">
        <v>70.0</v>
      </c>
      <c r="J179" s="62">
        <v>80.0</v>
      </c>
      <c r="K179" s="62">
        <v>80.0</v>
      </c>
      <c r="L179" s="62">
        <v>80.0</v>
      </c>
      <c r="M179" s="48">
        <v>91.0446693859</v>
      </c>
      <c r="N179" s="62">
        <v>80.91708072189999</v>
      </c>
      <c r="O179" s="62">
        <v>76.0821989939</v>
      </c>
      <c r="P179" s="62">
        <v>70.2533598459</v>
      </c>
      <c r="Q179" s="62">
        <v>63.329206477899994</v>
      </c>
      <c r="R179" s="62">
        <v>60.23742802909999</v>
      </c>
      <c r="S179" s="62">
        <v>55.246590089899996</v>
      </c>
      <c r="T179" s="62">
        <v>45.7</v>
      </c>
      <c r="U179" s="62">
        <v>45.7</v>
      </c>
      <c r="V179" s="62">
        <v>45.7</v>
      </c>
      <c r="W179" s="62">
        <f>W173*3</f>
        <v>9.024</v>
      </c>
      <c r="X179" s="62">
        <v>11.889</v>
      </c>
      <c r="Y179" s="62">
        <v>13.14</v>
      </c>
      <c r="Z179" s="62">
        <v>14.222999999999999</v>
      </c>
      <c r="AA179" s="62">
        <v>15.201</v>
      </c>
      <c r="AB179" s="62">
        <v>15.561</v>
      </c>
      <c r="AC179" s="62">
        <v>16.067999999999998</v>
      </c>
      <c r="AD179" s="62">
        <v>16.826999999999998</v>
      </c>
      <c r="AE179" s="62">
        <v>16.826999999999998</v>
      </c>
      <c r="AF179" s="62">
        <v>16.826999999999998</v>
      </c>
      <c r="AG179" s="62">
        <v>0.993</v>
      </c>
      <c r="AH179" s="62">
        <v>1.27</v>
      </c>
      <c r="AI179" s="62">
        <v>1.352</v>
      </c>
      <c r="AJ179" s="62">
        <v>1.62</v>
      </c>
      <c r="AK179" s="62">
        <v>2.174</v>
      </c>
      <c r="AL179" s="62">
        <v>2.499</v>
      </c>
      <c r="AM179" s="62">
        <v>3.13</v>
      </c>
      <c r="AN179" s="62">
        <v>4.763</v>
      </c>
      <c r="AO179" s="62">
        <v>4.763</v>
      </c>
      <c r="AP179" s="62">
        <v>4.763</v>
      </c>
      <c r="AQ179" s="62">
        <v>0.0</v>
      </c>
      <c r="AR179" s="62">
        <v>58.0</v>
      </c>
      <c r="AS179" s="62">
        <v>68.9</v>
      </c>
      <c r="AT179" s="62">
        <v>76.2</v>
      </c>
      <c r="AU179" s="62">
        <v>80.89</v>
      </c>
      <c r="AV179" s="62">
        <v>81.94</v>
      </c>
      <c r="AW179" s="62">
        <v>82.52</v>
      </c>
      <c r="AX179" s="62">
        <v>80.34</v>
      </c>
      <c r="AY179" s="62">
        <v>80.34</v>
      </c>
      <c r="AZ179" s="62">
        <v>80.34</v>
      </c>
      <c r="BA179" s="63">
        <v>806.0</v>
      </c>
      <c r="BB179" s="64">
        <v>542.0</v>
      </c>
      <c r="BC179" s="64">
        <v>313.0</v>
      </c>
      <c r="BD179" s="64">
        <v>257.0</v>
      </c>
      <c r="BE179" s="64" t="s">
        <v>847</v>
      </c>
      <c r="BF179" s="64" t="s">
        <v>848</v>
      </c>
      <c r="BG179" s="64" t="s">
        <v>849</v>
      </c>
      <c r="BH179" s="64"/>
      <c r="BI179" s="64">
        <v>190.0</v>
      </c>
      <c r="BJ179" s="64">
        <v>245.0</v>
      </c>
      <c r="BK179" s="64">
        <v>365.0</v>
      </c>
      <c r="BL179" s="64">
        <v>266.0</v>
      </c>
      <c r="BM179" s="64">
        <v>366.0</v>
      </c>
      <c r="BN179" s="64">
        <v>140.0</v>
      </c>
      <c r="BO179" s="64">
        <v>63.0</v>
      </c>
      <c r="BP179" s="64" t="s">
        <v>735</v>
      </c>
      <c r="BQ179" s="64" t="s">
        <v>642</v>
      </c>
      <c r="BR179" s="65">
        <v>16.0</v>
      </c>
      <c r="BS179" s="63" t="s">
        <v>850</v>
      </c>
      <c r="BT179" s="63" t="s">
        <v>850</v>
      </c>
      <c r="BU179" s="65">
        <v>18.5</v>
      </c>
      <c r="BV179" s="47">
        <f>IFERROR(__xludf.DUMMYFUNCTION("IFERROR(INDEX(motors!E:E, MATCH(1, (motors!A:A=REGEXEXTRACT(A179,""^\S+""))*(motors!B:B=BU179), 0)), """")"),34.2)</f>
        <v>34.2</v>
      </c>
      <c r="BW179" s="47">
        <f>IFERROR(__xludf.DUMMYFUNCTION("IFERROR(INDEX(motors!F:F, MATCH(1, (motors!A:A=REGEXEXTRACT(A179,""^\S+""))*(motors!B:B=BU179), 0)), """")"),19.7)</f>
        <v>19.7</v>
      </c>
      <c r="BX179" s="64">
        <v>2.0</v>
      </c>
      <c r="BY179" s="65">
        <v>207.0</v>
      </c>
      <c r="BZ179" s="63" t="s">
        <v>865</v>
      </c>
      <c r="CA179" s="53" t="str">
        <f>IFERROR(__xludf.DUMMYFUNCTION("IFERROR(REGEXEXTRACT(BZ179, ""(?i)[A-Z]+-D-E-([^-]+)-E""), """")"),"HQQE")</f>
        <v>HQQE</v>
      </c>
    </row>
    <row r="180" ht="11.25" customHeight="1">
      <c r="A180" s="61" t="s">
        <v>866</v>
      </c>
      <c r="B180" s="61">
        <v>7.412372E7</v>
      </c>
      <c r="C180" s="62">
        <v>0.0</v>
      </c>
      <c r="D180" s="62">
        <v>30.0</v>
      </c>
      <c r="E180" s="62">
        <v>40.0</v>
      </c>
      <c r="F180" s="62">
        <v>50.0</v>
      </c>
      <c r="G180" s="62">
        <v>60.0</v>
      </c>
      <c r="H180" s="62">
        <v>64.0</v>
      </c>
      <c r="I180" s="62">
        <v>70.0</v>
      </c>
      <c r="J180" s="62">
        <v>80.0</v>
      </c>
      <c r="K180" s="62">
        <v>80.0</v>
      </c>
      <c r="L180" s="62">
        <v>80.0</v>
      </c>
      <c r="M180" s="48">
        <v>100.0018089877</v>
      </c>
      <c r="N180" s="62">
        <v>91.9492550917</v>
      </c>
      <c r="O180" s="62">
        <v>87.11694601970001</v>
      </c>
      <c r="P180" s="62">
        <v>79.9663727277</v>
      </c>
      <c r="Q180" s="62">
        <v>70.64050201570001</v>
      </c>
      <c r="R180" s="62">
        <v>66.4</v>
      </c>
      <c r="S180" s="62">
        <v>59.8</v>
      </c>
      <c r="T180" s="62">
        <v>47.6</v>
      </c>
      <c r="U180" s="62">
        <v>47.6</v>
      </c>
      <c r="V180" s="62">
        <v>47.6</v>
      </c>
      <c r="W180" s="62">
        <f>W172*2+W173*2</f>
        <v>8.678</v>
      </c>
      <c r="X180" s="62">
        <v>13.056000000000001</v>
      </c>
      <c r="Y180" s="62">
        <v>14.83</v>
      </c>
      <c r="Z180" s="62">
        <v>16.098</v>
      </c>
      <c r="AA180" s="62">
        <v>17.184</v>
      </c>
      <c r="AB180" s="62">
        <v>17.574</v>
      </c>
      <c r="AC180" s="62">
        <v>18.112000000000002</v>
      </c>
      <c r="AD180" s="62">
        <v>18.876</v>
      </c>
      <c r="AE180" s="62">
        <v>18.876</v>
      </c>
      <c r="AF180" s="62">
        <v>18.876</v>
      </c>
      <c r="AG180" s="62">
        <v>0.993</v>
      </c>
      <c r="AH180" s="62">
        <v>1.27</v>
      </c>
      <c r="AI180" s="62">
        <v>1.352</v>
      </c>
      <c r="AJ180" s="62">
        <v>1.62</v>
      </c>
      <c r="AK180" s="62">
        <v>2.174</v>
      </c>
      <c r="AL180" s="62">
        <v>2.499</v>
      </c>
      <c r="AM180" s="62">
        <v>3.13</v>
      </c>
      <c r="AN180" s="62">
        <v>4.763</v>
      </c>
      <c r="AO180" s="62">
        <v>4.763</v>
      </c>
      <c r="AP180" s="62">
        <v>4.763</v>
      </c>
      <c r="AQ180" s="62">
        <v>0.0</v>
      </c>
      <c r="AR180" s="62">
        <v>58.0</v>
      </c>
      <c r="AS180" s="62">
        <v>68.9</v>
      </c>
      <c r="AT180" s="62">
        <v>76.2</v>
      </c>
      <c r="AU180" s="62">
        <v>80.89</v>
      </c>
      <c r="AV180" s="62">
        <v>81.94</v>
      </c>
      <c r="AW180" s="62">
        <v>82.52</v>
      </c>
      <c r="AX180" s="62">
        <v>80.34</v>
      </c>
      <c r="AY180" s="62">
        <v>80.34</v>
      </c>
      <c r="AZ180" s="62">
        <v>80.34</v>
      </c>
      <c r="BA180" s="63">
        <v>886.0</v>
      </c>
      <c r="BB180" s="64">
        <v>542.0</v>
      </c>
      <c r="BC180" s="64">
        <v>313.0</v>
      </c>
      <c r="BD180" s="64">
        <v>257.0</v>
      </c>
      <c r="BE180" s="64" t="s">
        <v>847</v>
      </c>
      <c r="BF180" s="64" t="s">
        <v>848</v>
      </c>
      <c r="BG180" s="64" t="s">
        <v>849</v>
      </c>
      <c r="BH180" s="64"/>
      <c r="BI180" s="64">
        <v>190.0</v>
      </c>
      <c r="BJ180" s="64">
        <v>245.0</v>
      </c>
      <c r="BK180" s="64">
        <v>365.0</v>
      </c>
      <c r="BL180" s="64">
        <v>266.0</v>
      </c>
      <c r="BM180" s="64">
        <v>366.0</v>
      </c>
      <c r="BN180" s="64">
        <v>140.0</v>
      </c>
      <c r="BO180" s="64">
        <v>63.0</v>
      </c>
      <c r="BP180" s="64" t="s">
        <v>735</v>
      </c>
      <c r="BQ180" s="64" t="s">
        <v>642</v>
      </c>
      <c r="BR180" s="65">
        <v>16.0</v>
      </c>
      <c r="BS180" s="63" t="s">
        <v>850</v>
      </c>
      <c r="BT180" s="63" t="s">
        <v>850</v>
      </c>
      <c r="BU180" s="65">
        <v>18.5</v>
      </c>
      <c r="BV180" s="47">
        <f>IFERROR(__xludf.DUMMYFUNCTION("IFERROR(INDEX(motors!E:E, MATCH(1, (motors!A:A=REGEXEXTRACT(A180,""^\S+""))*(motors!B:B=BU180), 0)), """")"),34.2)</f>
        <v>34.2</v>
      </c>
      <c r="BW180" s="47">
        <f>IFERROR(__xludf.DUMMYFUNCTION("IFERROR(INDEX(motors!F:F, MATCH(1, (motors!A:A=REGEXEXTRACT(A180,""^\S+""))*(motors!B:B=BU180), 0)), """")"),19.7)</f>
        <v>19.7</v>
      </c>
      <c r="BX180" s="64">
        <v>2.0</v>
      </c>
      <c r="BY180" s="65">
        <v>210.0</v>
      </c>
      <c r="BZ180" s="63" t="s">
        <v>867</v>
      </c>
      <c r="CA180" s="53" t="str">
        <f>IFERROR(__xludf.DUMMYFUNCTION("IFERROR(REGEXEXTRACT(BZ180, ""(?i)[A-Z]+-D-E-([^-]+)-E""), """")"),"HQQE")</f>
        <v>HQQE</v>
      </c>
    </row>
    <row r="181" ht="11.25" customHeight="1">
      <c r="A181" s="55" t="s">
        <v>868</v>
      </c>
      <c r="B181" s="55">
        <v>7.4123721E7</v>
      </c>
      <c r="C181" s="56">
        <v>0.0</v>
      </c>
      <c r="D181" s="56">
        <v>30.0</v>
      </c>
      <c r="E181" s="56">
        <v>40.0</v>
      </c>
      <c r="F181" s="56">
        <v>50.0</v>
      </c>
      <c r="G181" s="56">
        <v>60.0</v>
      </c>
      <c r="H181" s="56">
        <v>64.0</v>
      </c>
      <c r="I181" s="56">
        <v>70.0</v>
      </c>
      <c r="J181" s="56">
        <v>80.0</v>
      </c>
      <c r="K181" s="56">
        <v>80.0</v>
      </c>
      <c r="L181" s="56">
        <v>80.0</v>
      </c>
      <c r="M181" s="48">
        <v>110.761703534</v>
      </c>
      <c r="N181" s="56">
        <v>99.936600557</v>
      </c>
      <c r="O181" s="56">
        <v>94.18508557800001</v>
      </c>
      <c r="P181" s="56">
        <v>86.83232593900001</v>
      </c>
      <c r="Q181" s="56">
        <v>77.71164704</v>
      </c>
      <c r="R181" s="56">
        <v>73.55020615800001</v>
      </c>
      <c r="S181" s="56">
        <v>66.75712628100001</v>
      </c>
      <c r="T181" s="56">
        <v>54.003593062000014</v>
      </c>
      <c r="U181" s="56">
        <v>54.003593062000014</v>
      </c>
      <c r="V181" s="56">
        <v>54.003593062000014</v>
      </c>
      <c r="W181" s="49">
        <f>W172+W173*3</f>
        <v>10.355</v>
      </c>
      <c r="X181" s="56">
        <v>14.453999999999999</v>
      </c>
      <c r="Y181" s="56">
        <v>16.175</v>
      </c>
      <c r="Z181" s="56">
        <v>17.531</v>
      </c>
      <c r="AA181" s="56">
        <v>18.726</v>
      </c>
      <c r="AB181" s="56">
        <v>19.161</v>
      </c>
      <c r="AC181" s="56">
        <v>19.767999999999997</v>
      </c>
      <c r="AD181" s="56">
        <v>20.656</v>
      </c>
      <c r="AE181" s="56">
        <v>20.656</v>
      </c>
      <c r="AF181" s="56">
        <v>20.656</v>
      </c>
      <c r="AG181" s="49">
        <v>0.993</v>
      </c>
      <c r="AH181" s="56">
        <v>1.27</v>
      </c>
      <c r="AI181" s="56">
        <v>1.352</v>
      </c>
      <c r="AJ181" s="56">
        <v>1.62</v>
      </c>
      <c r="AK181" s="56">
        <v>2.174</v>
      </c>
      <c r="AL181" s="56">
        <v>2.499</v>
      </c>
      <c r="AM181" s="56">
        <v>3.13</v>
      </c>
      <c r="AN181" s="56">
        <v>4.763</v>
      </c>
      <c r="AO181" s="56">
        <v>4.763</v>
      </c>
      <c r="AP181" s="56">
        <v>4.763</v>
      </c>
      <c r="AQ181" s="49">
        <v>0.0</v>
      </c>
      <c r="AR181" s="56">
        <v>58.0</v>
      </c>
      <c r="AS181" s="56">
        <v>68.9</v>
      </c>
      <c r="AT181" s="56">
        <v>76.2</v>
      </c>
      <c r="AU181" s="56">
        <v>80.89</v>
      </c>
      <c r="AV181" s="56">
        <v>81.94</v>
      </c>
      <c r="AW181" s="56">
        <v>82.52</v>
      </c>
      <c r="AX181" s="56">
        <v>80.34</v>
      </c>
      <c r="AY181" s="56">
        <v>80.34</v>
      </c>
      <c r="AZ181" s="56">
        <v>80.34</v>
      </c>
      <c r="BA181" s="50">
        <v>886.0</v>
      </c>
      <c r="BB181" s="57">
        <v>580.0</v>
      </c>
      <c r="BC181" s="57">
        <v>356.0</v>
      </c>
      <c r="BD181" s="57">
        <v>270.0</v>
      </c>
      <c r="BE181" s="57" t="s">
        <v>847</v>
      </c>
      <c r="BF181" s="57" t="s">
        <v>848</v>
      </c>
      <c r="BG181" s="57" t="s">
        <v>849</v>
      </c>
      <c r="BH181" s="57"/>
      <c r="BI181" s="57">
        <v>190.0</v>
      </c>
      <c r="BJ181" s="57">
        <v>245.0</v>
      </c>
      <c r="BK181" s="57">
        <v>365.0</v>
      </c>
      <c r="BL181" s="57">
        <v>266.0</v>
      </c>
      <c r="BM181" s="57">
        <v>366.0</v>
      </c>
      <c r="BN181" s="57">
        <v>140.0</v>
      </c>
      <c r="BO181" s="57">
        <v>63.0</v>
      </c>
      <c r="BP181" s="57" t="s">
        <v>735</v>
      </c>
      <c r="BQ181" s="57" t="s">
        <v>642</v>
      </c>
      <c r="BR181" s="58">
        <v>16.0</v>
      </c>
      <c r="BS181" s="59" t="s">
        <v>850</v>
      </c>
      <c r="BT181" s="59" t="s">
        <v>850</v>
      </c>
      <c r="BU181" s="58">
        <v>22.0</v>
      </c>
      <c r="BV181" s="47">
        <f>IFERROR(__xludf.DUMMYFUNCTION("IFERROR(INDEX(motors!E:E, MATCH(1, (motors!A:A=REGEXEXTRACT(A181,""^\S+""))*(motors!B:B=BU181), 0)), """")"),40.5)</f>
        <v>40.5</v>
      </c>
      <c r="BW181" s="47">
        <f>IFERROR(__xludf.DUMMYFUNCTION("IFERROR(INDEX(motors!F:F, MATCH(1, (motors!A:A=REGEXEXTRACT(A181,""^\S+""))*(motors!B:B=BU181), 0)), """")"),23.3)</f>
        <v>23.3</v>
      </c>
      <c r="BX181" s="57">
        <v>2.0</v>
      </c>
      <c r="BY181" s="58">
        <v>261.0</v>
      </c>
      <c r="BZ181" s="59" t="s">
        <v>869</v>
      </c>
      <c r="CA181" s="53" t="str">
        <f>IFERROR(__xludf.DUMMYFUNCTION("IFERROR(REGEXEXTRACT(BZ181, ""(?i)[A-Z]+-D-E-([^-]+)-E""), """")"),"HQQE")</f>
        <v>HQQE</v>
      </c>
    </row>
    <row r="182" ht="11.25" customHeight="1">
      <c r="A182" s="61" t="s">
        <v>870</v>
      </c>
      <c r="B182" s="61">
        <v>7.4123722E7</v>
      </c>
      <c r="C182" s="62">
        <v>0.0</v>
      </c>
      <c r="D182" s="62">
        <v>30.0</v>
      </c>
      <c r="E182" s="62">
        <v>40.0</v>
      </c>
      <c r="F182" s="62">
        <v>50.0</v>
      </c>
      <c r="G182" s="62">
        <v>60.0</v>
      </c>
      <c r="H182" s="62">
        <v>64.0</v>
      </c>
      <c r="I182" s="62">
        <v>70.0</v>
      </c>
      <c r="J182" s="62">
        <v>80.0</v>
      </c>
      <c r="K182" s="62">
        <v>80.0</v>
      </c>
      <c r="L182" s="62">
        <v>80.0</v>
      </c>
      <c r="M182" s="48">
        <v>119.6714050275</v>
      </c>
      <c r="N182" s="62">
        <v>106.9439358345</v>
      </c>
      <c r="O182" s="62">
        <v>101.1694659835</v>
      </c>
      <c r="P182" s="62">
        <v>93.83901407249999</v>
      </c>
      <c r="Q182" s="62">
        <v>84.7211169015</v>
      </c>
      <c r="R182" s="62">
        <v>80.5524109987</v>
      </c>
      <c r="S182" s="62">
        <v>73.7459992705</v>
      </c>
      <c r="T182" s="62">
        <v>61.00557397950001</v>
      </c>
      <c r="U182" s="62">
        <v>61.00557397950001</v>
      </c>
      <c r="V182" s="62">
        <v>61.00557397950001</v>
      </c>
      <c r="W182" s="62">
        <f>W173*4</f>
        <v>12.032</v>
      </c>
      <c r="X182" s="62">
        <v>15.852</v>
      </c>
      <c r="Y182" s="62">
        <v>17.52</v>
      </c>
      <c r="Z182" s="62">
        <v>18.964</v>
      </c>
      <c r="AA182" s="62">
        <v>20.268</v>
      </c>
      <c r="AB182" s="62">
        <v>20.748</v>
      </c>
      <c r="AC182" s="62">
        <v>21.424</v>
      </c>
      <c r="AD182" s="62">
        <v>22.436</v>
      </c>
      <c r="AE182" s="62">
        <v>22.436</v>
      </c>
      <c r="AF182" s="62">
        <v>22.436</v>
      </c>
      <c r="AG182" s="62">
        <v>0.993</v>
      </c>
      <c r="AH182" s="62">
        <v>1.27</v>
      </c>
      <c r="AI182" s="62">
        <v>1.352</v>
      </c>
      <c r="AJ182" s="62">
        <v>1.62</v>
      </c>
      <c r="AK182" s="62">
        <v>2.174</v>
      </c>
      <c r="AL182" s="62">
        <v>2.499</v>
      </c>
      <c r="AM182" s="62">
        <v>3.13</v>
      </c>
      <c r="AN182" s="62">
        <v>4.763</v>
      </c>
      <c r="AO182" s="62">
        <v>4.763</v>
      </c>
      <c r="AP182" s="62">
        <v>4.763</v>
      </c>
      <c r="AQ182" s="62">
        <v>0.0</v>
      </c>
      <c r="AR182" s="62">
        <v>58.0</v>
      </c>
      <c r="AS182" s="62">
        <v>68.9</v>
      </c>
      <c r="AT182" s="62">
        <v>76.2</v>
      </c>
      <c r="AU182" s="62">
        <v>80.89</v>
      </c>
      <c r="AV182" s="62">
        <v>81.94</v>
      </c>
      <c r="AW182" s="62">
        <v>82.52</v>
      </c>
      <c r="AX182" s="62">
        <v>80.34</v>
      </c>
      <c r="AY182" s="62">
        <v>80.34</v>
      </c>
      <c r="AZ182" s="62">
        <v>80.34</v>
      </c>
      <c r="BA182" s="63">
        <v>886.0</v>
      </c>
      <c r="BB182" s="64">
        <v>580.0</v>
      </c>
      <c r="BC182" s="64">
        <v>356.0</v>
      </c>
      <c r="BD182" s="64">
        <v>270.0</v>
      </c>
      <c r="BE182" s="64" t="s">
        <v>847</v>
      </c>
      <c r="BF182" s="64" t="s">
        <v>848</v>
      </c>
      <c r="BG182" s="64" t="s">
        <v>849</v>
      </c>
      <c r="BH182" s="64"/>
      <c r="BI182" s="64">
        <v>190.0</v>
      </c>
      <c r="BJ182" s="64">
        <v>245.0</v>
      </c>
      <c r="BK182" s="64">
        <v>365.0</v>
      </c>
      <c r="BL182" s="64">
        <v>266.0</v>
      </c>
      <c r="BM182" s="64">
        <v>366.0</v>
      </c>
      <c r="BN182" s="64">
        <v>140.0</v>
      </c>
      <c r="BO182" s="64">
        <v>63.0</v>
      </c>
      <c r="BP182" s="64" t="s">
        <v>735</v>
      </c>
      <c r="BQ182" s="64" t="s">
        <v>642</v>
      </c>
      <c r="BR182" s="65">
        <v>16.0</v>
      </c>
      <c r="BS182" s="63" t="s">
        <v>850</v>
      </c>
      <c r="BT182" s="63" t="s">
        <v>850</v>
      </c>
      <c r="BU182" s="65">
        <v>22.0</v>
      </c>
      <c r="BV182" s="47">
        <f>IFERROR(__xludf.DUMMYFUNCTION("IFERROR(INDEX(motors!E:E, MATCH(1, (motors!A:A=REGEXEXTRACT(A182,""^\S+""))*(motors!B:B=BU182), 0)), """")"),40.5)</f>
        <v>40.5</v>
      </c>
      <c r="BW182" s="47">
        <f>IFERROR(__xludf.DUMMYFUNCTION("IFERROR(INDEX(motors!F:F, MATCH(1, (motors!A:A=REGEXEXTRACT(A182,""^\S+""))*(motors!B:B=BU182), 0)), """")"),23.3)</f>
        <v>23.3</v>
      </c>
      <c r="BX182" s="64">
        <v>2.0</v>
      </c>
      <c r="BY182" s="65">
        <v>261.0</v>
      </c>
      <c r="BZ182" s="63" t="s">
        <v>871</v>
      </c>
      <c r="CA182" s="53" t="str">
        <f>IFERROR(__xludf.DUMMYFUNCTION("IFERROR(REGEXEXTRACT(BZ182, ""(?i)[A-Z]+-D-E-([^-]+)-E""), """")"),"HQQE")</f>
        <v>HQQE</v>
      </c>
    </row>
    <row r="183" ht="11.25" customHeight="1">
      <c r="A183" s="55" t="s">
        <v>872</v>
      </c>
      <c r="B183" s="55">
        <v>7.4123723E7</v>
      </c>
      <c r="C183" s="56">
        <v>0.0</v>
      </c>
      <c r="D183" s="56">
        <v>30.0</v>
      </c>
      <c r="E183" s="56">
        <v>40.0</v>
      </c>
      <c r="F183" s="56">
        <v>50.0</v>
      </c>
      <c r="G183" s="56">
        <v>60.0</v>
      </c>
      <c r="H183" s="56">
        <v>64.0</v>
      </c>
      <c r="I183" s="56">
        <v>70.0</v>
      </c>
      <c r="J183" s="56">
        <v>80.0</v>
      </c>
      <c r="K183" s="56">
        <v>80.0</v>
      </c>
      <c r="L183" s="56">
        <v>80.0</v>
      </c>
      <c r="M183" s="48">
        <v>130.3280816277</v>
      </c>
      <c r="N183" s="56">
        <v>118.83747765569998</v>
      </c>
      <c r="O183" s="56">
        <v>113.24492681169998</v>
      </c>
      <c r="P183" s="56">
        <v>105.1994232077</v>
      </c>
      <c r="Q183" s="56">
        <v>94.28717204369998</v>
      </c>
      <c r="R183" s="56">
        <v>89.09407448529998</v>
      </c>
      <c r="S183" s="56">
        <v>80.4472265197</v>
      </c>
      <c r="T183" s="56">
        <v>63.971487835699975</v>
      </c>
      <c r="U183" s="56">
        <v>63.971487835699975</v>
      </c>
      <c r="V183" s="56">
        <v>63.971487835699975</v>
      </c>
      <c r="W183" s="49">
        <f>W172*2+W173*3</f>
        <v>11.686</v>
      </c>
      <c r="X183" s="56">
        <v>17.019</v>
      </c>
      <c r="Y183" s="56">
        <v>19.21</v>
      </c>
      <c r="Z183" s="56">
        <v>20.839</v>
      </c>
      <c r="AA183" s="56">
        <v>22.251</v>
      </c>
      <c r="AB183" s="56">
        <v>22.761</v>
      </c>
      <c r="AC183" s="56">
        <v>23.467999999999996</v>
      </c>
      <c r="AD183" s="56">
        <v>24.485</v>
      </c>
      <c r="AE183" s="56">
        <v>24.485</v>
      </c>
      <c r="AF183" s="56">
        <v>24.485</v>
      </c>
      <c r="AG183" s="49">
        <v>0.993</v>
      </c>
      <c r="AH183" s="56">
        <v>1.27</v>
      </c>
      <c r="AI183" s="56">
        <v>1.352</v>
      </c>
      <c r="AJ183" s="56">
        <v>1.62</v>
      </c>
      <c r="AK183" s="56">
        <v>2.174</v>
      </c>
      <c r="AL183" s="56">
        <v>2.499</v>
      </c>
      <c r="AM183" s="56">
        <v>3.13</v>
      </c>
      <c r="AN183" s="56">
        <v>4.763</v>
      </c>
      <c r="AO183" s="56">
        <v>4.763</v>
      </c>
      <c r="AP183" s="56">
        <v>4.763</v>
      </c>
      <c r="AQ183" s="49">
        <v>0.0</v>
      </c>
      <c r="AR183" s="56">
        <v>58.0</v>
      </c>
      <c r="AS183" s="56">
        <v>68.9</v>
      </c>
      <c r="AT183" s="56">
        <v>76.2</v>
      </c>
      <c r="AU183" s="56">
        <v>80.89</v>
      </c>
      <c r="AV183" s="56">
        <v>81.94</v>
      </c>
      <c r="AW183" s="56">
        <v>82.52</v>
      </c>
      <c r="AX183" s="56">
        <v>80.34</v>
      </c>
      <c r="AY183" s="56">
        <v>80.34</v>
      </c>
      <c r="AZ183" s="56">
        <v>80.34</v>
      </c>
      <c r="BA183" s="50">
        <v>966.0</v>
      </c>
      <c r="BB183" s="57">
        <v>653.0</v>
      </c>
      <c r="BC183" s="57">
        <v>395.0</v>
      </c>
      <c r="BD183" s="57">
        <v>304.0</v>
      </c>
      <c r="BE183" s="57" t="s">
        <v>847</v>
      </c>
      <c r="BF183" s="57" t="s">
        <v>848</v>
      </c>
      <c r="BG183" s="57" t="s">
        <v>849</v>
      </c>
      <c r="BH183" s="57"/>
      <c r="BI183" s="57">
        <v>190.0</v>
      </c>
      <c r="BJ183" s="57">
        <v>245.0</v>
      </c>
      <c r="BK183" s="57">
        <v>365.0</v>
      </c>
      <c r="BL183" s="57">
        <v>266.0</v>
      </c>
      <c r="BM183" s="57">
        <v>366.0</v>
      </c>
      <c r="BN183" s="57">
        <v>140.0</v>
      </c>
      <c r="BO183" s="57">
        <v>63.0</v>
      </c>
      <c r="BP183" s="57" t="s">
        <v>735</v>
      </c>
      <c r="BQ183" s="57" t="s">
        <v>642</v>
      </c>
      <c r="BR183" s="58">
        <v>16.0</v>
      </c>
      <c r="BS183" s="59" t="s">
        <v>850</v>
      </c>
      <c r="BT183" s="59" t="s">
        <v>850</v>
      </c>
      <c r="BU183" s="58">
        <v>30.0</v>
      </c>
      <c r="BV183" s="47">
        <f>IFERROR(__xludf.DUMMYFUNCTION("IFERROR(INDEX(motors!E:E, MATCH(1, (motors!A:A=REGEXEXTRACT(A183,""^\S+""))*(motors!B:B=BU183), 0)), """")"),54.9)</f>
        <v>54.9</v>
      </c>
      <c r="BW183" s="47">
        <f>IFERROR(__xludf.DUMMYFUNCTION("IFERROR(INDEX(motors!F:F, MATCH(1, (motors!A:A=REGEXEXTRACT(A183,""^\S+""))*(motors!B:B=BU183), 0)), """")"),31.6)</f>
        <v>31.6</v>
      </c>
      <c r="BX183" s="57">
        <v>2.0</v>
      </c>
      <c r="BY183" s="58">
        <v>346.0</v>
      </c>
      <c r="BZ183" s="59" t="s">
        <v>873</v>
      </c>
      <c r="CA183" s="53" t="str">
        <f>IFERROR(__xludf.DUMMYFUNCTION("IFERROR(REGEXEXTRACT(BZ183, ""(?i)[A-Z]+-D-E-([^-]+)-E""), """")"),"HQQE")</f>
        <v>HQQE</v>
      </c>
    </row>
    <row r="184" ht="11.25" customHeight="1">
      <c r="A184" s="61" t="s">
        <v>874</v>
      </c>
      <c r="B184" s="61">
        <v>7.4123724E7</v>
      </c>
      <c r="C184" s="62">
        <v>0.0</v>
      </c>
      <c r="D184" s="62">
        <v>30.0</v>
      </c>
      <c r="E184" s="62">
        <v>40.0</v>
      </c>
      <c r="F184" s="62">
        <v>50.0</v>
      </c>
      <c r="G184" s="62">
        <v>60.0</v>
      </c>
      <c r="H184" s="62">
        <v>64.0</v>
      </c>
      <c r="I184" s="62">
        <v>70.0</v>
      </c>
      <c r="J184" s="62">
        <v>80.0</v>
      </c>
      <c r="K184" s="62">
        <v>80.0</v>
      </c>
      <c r="L184" s="62">
        <v>80.0</v>
      </c>
      <c r="M184" s="48">
        <v>138.7572954303</v>
      </c>
      <c r="N184" s="62">
        <v>127.87012989629999</v>
      </c>
      <c r="O184" s="62">
        <v>121.1376149983</v>
      </c>
      <c r="P184" s="62">
        <v>112.3434182403</v>
      </c>
      <c r="Q184" s="62">
        <v>101.21447242229999</v>
      </c>
      <c r="R184" s="62">
        <v>96.05217391989999</v>
      </c>
      <c r="S184" s="62">
        <v>87.49964634429999</v>
      </c>
      <c r="T184" s="62">
        <v>70.96974480629999</v>
      </c>
      <c r="U184" s="62">
        <v>70.96974480629999</v>
      </c>
      <c r="V184" s="62">
        <v>70.96974480629999</v>
      </c>
      <c r="W184" s="62">
        <f>W172+W173*4</f>
        <v>13.363</v>
      </c>
      <c r="X184" s="62">
        <v>18.417</v>
      </c>
      <c r="Y184" s="62">
        <v>20.555</v>
      </c>
      <c r="Z184" s="62">
        <v>22.272</v>
      </c>
      <c r="AA184" s="62">
        <v>23.793</v>
      </c>
      <c r="AB184" s="62">
        <v>24.348000000000003</v>
      </c>
      <c r="AC184" s="62">
        <v>25.124</v>
      </c>
      <c r="AD184" s="62">
        <v>26.265</v>
      </c>
      <c r="AE184" s="62">
        <v>26.265</v>
      </c>
      <c r="AF184" s="62">
        <v>26.265</v>
      </c>
      <c r="AG184" s="62">
        <v>0.993</v>
      </c>
      <c r="AH184" s="62">
        <v>1.27</v>
      </c>
      <c r="AI184" s="62">
        <v>1.352</v>
      </c>
      <c r="AJ184" s="62">
        <v>1.62</v>
      </c>
      <c r="AK184" s="62">
        <v>2.174</v>
      </c>
      <c r="AL184" s="62">
        <v>2.499</v>
      </c>
      <c r="AM184" s="62">
        <v>3.13</v>
      </c>
      <c r="AN184" s="62">
        <v>4.763</v>
      </c>
      <c r="AO184" s="62">
        <v>4.763</v>
      </c>
      <c r="AP184" s="62">
        <v>4.763</v>
      </c>
      <c r="AQ184" s="62">
        <v>0.0</v>
      </c>
      <c r="AR184" s="62">
        <v>58.0</v>
      </c>
      <c r="AS184" s="62">
        <v>68.9</v>
      </c>
      <c r="AT184" s="62">
        <v>76.2</v>
      </c>
      <c r="AU184" s="62">
        <v>80.89</v>
      </c>
      <c r="AV184" s="62">
        <v>81.94</v>
      </c>
      <c r="AW184" s="62">
        <v>82.52</v>
      </c>
      <c r="AX184" s="62">
        <v>80.34</v>
      </c>
      <c r="AY184" s="62">
        <v>80.34</v>
      </c>
      <c r="AZ184" s="62">
        <v>80.34</v>
      </c>
      <c r="BA184" s="63">
        <v>966.0</v>
      </c>
      <c r="BB184" s="64">
        <v>653.0</v>
      </c>
      <c r="BC184" s="64">
        <v>395.0</v>
      </c>
      <c r="BD184" s="64">
        <v>304.0</v>
      </c>
      <c r="BE184" s="64" t="s">
        <v>847</v>
      </c>
      <c r="BF184" s="64" t="s">
        <v>848</v>
      </c>
      <c r="BG184" s="64" t="s">
        <v>849</v>
      </c>
      <c r="BH184" s="64"/>
      <c r="BI184" s="64">
        <v>190.0</v>
      </c>
      <c r="BJ184" s="64">
        <v>245.0</v>
      </c>
      <c r="BK184" s="64">
        <v>365.0</v>
      </c>
      <c r="BL184" s="64">
        <v>266.0</v>
      </c>
      <c r="BM184" s="64">
        <v>366.0</v>
      </c>
      <c r="BN184" s="64">
        <v>140.0</v>
      </c>
      <c r="BO184" s="64">
        <v>63.0</v>
      </c>
      <c r="BP184" s="64" t="s">
        <v>735</v>
      </c>
      <c r="BQ184" s="64" t="s">
        <v>642</v>
      </c>
      <c r="BR184" s="65">
        <v>16.0</v>
      </c>
      <c r="BS184" s="63" t="s">
        <v>850</v>
      </c>
      <c r="BT184" s="63" t="s">
        <v>850</v>
      </c>
      <c r="BU184" s="65">
        <v>30.0</v>
      </c>
      <c r="BV184" s="47">
        <f>IFERROR(__xludf.DUMMYFUNCTION("IFERROR(INDEX(motors!E:E, MATCH(1, (motors!A:A=REGEXEXTRACT(A184,""^\S+""))*(motors!B:B=BU184), 0)), """")"),54.9)</f>
        <v>54.9</v>
      </c>
      <c r="BW184" s="47">
        <f>IFERROR(__xludf.DUMMYFUNCTION("IFERROR(INDEX(motors!F:F, MATCH(1, (motors!A:A=REGEXEXTRACT(A184,""^\S+""))*(motors!B:B=BU184), 0)), """")"),31.6)</f>
        <v>31.6</v>
      </c>
      <c r="BX184" s="64">
        <v>2.0</v>
      </c>
      <c r="BY184" s="65">
        <v>346.0</v>
      </c>
      <c r="BZ184" s="63" t="s">
        <v>875</v>
      </c>
      <c r="CA184" s="53" t="str">
        <f>IFERROR(__xludf.DUMMYFUNCTION("IFERROR(REGEXEXTRACT(BZ184, ""(?i)[A-Z]+-D-E-([^-]+)-E""), """")"),"HQQE")</f>
        <v>HQQE</v>
      </c>
    </row>
    <row r="185" ht="11.25" customHeight="1">
      <c r="A185" s="55" t="s">
        <v>876</v>
      </c>
      <c r="B185" s="55">
        <v>7.4123725E7</v>
      </c>
      <c r="C185" s="56">
        <v>0.0</v>
      </c>
      <c r="D185" s="56">
        <v>30.0</v>
      </c>
      <c r="E185" s="56">
        <v>40.0</v>
      </c>
      <c r="F185" s="56">
        <v>50.0</v>
      </c>
      <c r="G185" s="56">
        <v>60.0</v>
      </c>
      <c r="H185" s="56">
        <v>64.0</v>
      </c>
      <c r="I185" s="56">
        <v>70.0</v>
      </c>
      <c r="J185" s="56">
        <v>80.0</v>
      </c>
      <c r="K185" s="56">
        <v>80.0</v>
      </c>
      <c r="L185" s="56">
        <v>80.0</v>
      </c>
      <c r="M185" s="48">
        <v>148.9324081979</v>
      </c>
      <c r="N185" s="56">
        <v>136.0078034129</v>
      </c>
      <c r="O185" s="56">
        <v>128.7919201379</v>
      </c>
      <c r="P185" s="56">
        <v>119.6195770229</v>
      </c>
      <c r="Q185" s="56">
        <v>108.2362906679</v>
      </c>
      <c r="R185" s="56">
        <v>103.0128847739</v>
      </c>
      <c r="S185" s="56">
        <v>94.4189696729</v>
      </c>
      <c r="T185" s="56">
        <v>77.9759146379</v>
      </c>
      <c r="U185" s="56">
        <v>77.9759146379</v>
      </c>
      <c r="V185" s="56">
        <v>77.9759146379</v>
      </c>
      <c r="W185" s="49">
        <f>W173*5</f>
        <v>15.04</v>
      </c>
      <c r="X185" s="56">
        <v>19.815</v>
      </c>
      <c r="Y185" s="56">
        <v>21.9</v>
      </c>
      <c r="Z185" s="56">
        <v>23.705</v>
      </c>
      <c r="AA185" s="56">
        <v>25.335</v>
      </c>
      <c r="AB185" s="56">
        <v>25.935000000000002</v>
      </c>
      <c r="AC185" s="56">
        <v>26.78</v>
      </c>
      <c r="AD185" s="56">
        <v>28.045</v>
      </c>
      <c r="AE185" s="56">
        <v>28.045</v>
      </c>
      <c r="AF185" s="56">
        <v>28.045</v>
      </c>
      <c r="AG185" s="49">
        <v>0.993</v>
      </c>
      <c r="AH185" s="56">
        <v>1.27</v>
      </c>
      <c r="AI185" s="56">
        <v>1.352</v>
      </c>
      <c r="AJ185" s="56">
        <v>1.62</v>
      </c>
      <c r="AK185" s="56">
        <v>2.174</v>
      </c>
      <c r="AL185" s="56">
        <v>2.499</v>
      </c>
      <c r="AM185" s="56">
        <v>3.13</v>
      </c>
      <c r="AN185" s="56">
        <v>4.763</v>
      </c>
      <c r="AO185" s="56">
        <v>4.763</v>
      </c>
      <c r="AP185" s="56">
        <v>4.763</v>
      </c>
      <c r="AQ185" s="49">
        <v>0.0</v>
      </c>
      <c r="AR185" s="56">
        <v>58.0</v>
      </c>
      <c r="AS185" s="56">
        <v>68.9</v>
      </c>
      <c r="AT185" s="56">
        <v>76.2</v>
      </c>
      <c r="AU185" s="56">
        <v>80.89</v>
      </c>
      <c r="AV185" s="56">
        <v>81.94</v>
      </c>
      <c r="AW185" s="56">
        <v>82.52</v>
      </c>
      <c r="AX185" s="56">
        <v>80.34</v>
      </c>
      <c r="AY185" s="56">
        <v>80.34</v>
      </c>
      <c r="AZ185" s="56">
        <v>80.34</v>
      </c>
      <c r="BA185" s="50">
        <v>966.0</v>
      </c>
      <c r="BB185" s="57">
        <v>653.0</v>
      </c>
      <c r="BC185" s="57">
        <v>395.0</v>
      </c>
      <c r="BD185" s="57">
        <v>304.0</v>
      </c>
      <c r="BE185" s="57" t="s">
        <v>847</v>
      </c>
      <c r="BF185" s="57" t="s">
        <v>848</v>
      </c>
      <c r="BG185" s="57" t="s">
        <v>849</v>
      </c>
      <c r="BH185" s="57"/>
      <c r="BI185" s="57">
        <v>190.0</v>
      </c>
      <c r="BJ185" s="57">
        <v>245.0</v>
      </c>
      <c r="BK185" s="57">
        <v>365.0</v>
      </c>
      <c r="BL185" s="57">
        <v>266.0</v>
      </c>
      <c r="BM185" s="57">
        <v>366.0</v>
      </c>
      <c r="BN185" s="57">
        <v>140.0</v>
      </c>
      <c r="BO185" s="57">
        <v>63.0</v>
      </c>
      <c r="BP185" s="57" t="s">
        <v>735</v>
      </c>
      <c r="BQ185" s="57" t="s">
        <v>642</v>
      </c>
      <c r="BR185" s="58">
        <v>16.0</v>
      </c>
      <c r="BS185" s="59" t="s">
        <v>850</v>
      </c>
      <c r="BT185" s="59" t="s">
        <v>850</v>
      </c>
      <c r="BU185" s="58">
        <v>30.0</v>
      </c>
      <c r="BV185" s="47">
        <f>IFERROR(__xludf.DUMMYFUNCTION("IFERROR(INDEX(motors!E:E, MATCH(1, (motors!A:A=REGEXEXTRACT(A185,""^\S+""))*(motors!B:B=BU185), 0)), """")"),54.9)</f>
        <v>54.9</v>
      </c>
      <c r="BW185" s="47">
        <f>IFERROR(__xludf.DUMMYFUNCTION("IFERROR(INDEX(motors!F:F, MATCH(1, (motors!A:A=REGEXEXTRACT(A185,""^\S+""))*(motors!B:B=BU185), 0)), """")"),31.6)</f>
        <v>31.6</v>
      </c>
      <c r="BX185" s="57">
        <v>2.0</v>
      </c>
      <c r="BY185" s="58">
        <v>346.0</v>
      </c>
      <c r="BZ185" s="59" t="s">
        <v>877</v>
      </c>
      <c r="CA185" s="53" t="str">
        <f>IFERROR(__xludf.DUMMYFUNCTION("IFERROR(REGEXEXTRACT(BZ185, ""(?i)[A-Z]+-D-E-([^-]+)-E""), """")"),"HQQE")</f>
        <v>HQQE</v>
      </c>
    </row>
    <row r="186" ht="11.25" customHeight="1">
      <c r="A186" s="46" t="s">
        <v>878</v>
      </c>
      <c r="B186" s="46">
        <v>7.4123726E7</v>
      </c>
      <c r="C186" s="47">
        <v>0.0</v>
      </c>
      <c r="D186" s="47">
        <v>30.0</v>
      </c>
      <c r="E186" s="47">
        <v>40.0</v>
      </c>
      <c r="F186" s="47">
        <v>50.0</v>
      </c>
      <c r="G186" s="47">
        <v>60.0</v>
      </c>
      <c r="H186" s="47">
        <v>64.0</v>
      </c>
      <c r="I186" s="47">
        <v>70.0</v>
      </c>
      <c r="J186" s="47">
        <v>80.0</v>
      </c>
      <c r="K186" s="47">
        <v>80.0</v>
      </c>
      <c r="L186" s="47">
        <v>80.0</v>
      </c>
      <c r="M186" s="48">
        <v>159.8124888618</v>
      </c>
      <c r="N186" s="47">
        <v>146.98464967980001</v>
      </c>
      <c r="O186" s="47">
        <v>139.9097146458</v>
      </c>
      <c r="P186" s="47">
        <v>130.3540532918</v>
      </c>
      <c r="Q186" s="47">
        <v>117.71867841779999</v>
      </c>
      <c r="R186" s="47">
        <v>111.674350737</v>
      </c>
      <c r="S186" s="47">
        <v>101.4377708238</v>
      </c>
      <c r="T186" s="47">
        <v>80.97867930979999</v>
      </c>
      <c r="U186" s="47">
        <v>80.97867930979999</v>
      </c>
      <c r="V186" s="47">
        <v>80.97867930979999</v>
      </c>
      <c r="W186" s="49">
        <f>W172*2+W173*4</f>
        <v>14.694</v>
      </c>
      <c r="X186" s="47">
        <v>20.982</v>
      </c>
      <c r="Y186" s="47">
        <v>23.59</v>
      </c>
      <c r="Z186" s="47">
        <v>25.58</v>
      </c>
      <c r="AA186" s="47">
        <v>27.318</v>
      </c>
      <c r="AB186" s="47">
        <v>27.948</v>
      </c>
      <c r="AC186" s="47">
        <v>28.823999999999998</v>
      </c>
      <c r="AD186" s="47">
        <v>30.094</v>
      </c>
      <c r="AE186" s="47">
        <v>30.094</v>
      </c>
      <c r="AF186" s="47">
        <v>30.094</v>
      </c>
      <c r="AG186" s="49">
        <v>0.993</v>
      </c>
      <c r="AH186" s="47">
        <v>1.27</v>
      </c>
      <c r="AI186" s="47">
        <v>1.352</v>
      </c>
      <c r="AJ186" s="47">
        <v>1.62</v>
      </c>
      <c r="AK186" s="47">
        <v>2.174</v>
      </c>
      <c r="AL186" s="47">
        <v>2.499</v>
      </c>
      <c r="AM186" s="47">
        <v>3.13</v>
      </c>
      <c r="AN186" s="47">
        <v>4.763</v>
      </c>
      <c r="AO186" s="47">
        <v>4.763</v>
      </c>
      <c r="AP186" s="47">
        <v>4.763</v>
      </c>
      <c r="AQ186" s="49">
        <v>0.0</v>
      </c>
      <c r="AR186" s="47">
        <v>58.0</v>
      </c>
      <c r="AS186" s="47">
        <v>68.9</v>
      </c>
      <c r="AT186" s="47">
        <v>76.2</v>
      </c>
      <c r="AU186" s="47">
        <v>80.89</v>
      </c>
      <c r="AV186" s="47">
        <v>81.94</v>
      </c>
      <c r="AW186" s="47">
        <v>82.52</v>
      </c>
      <c r="AX186" s="47">
        <v>80.34</v>
      </c>
      <c r="AY186" s="47">
        <v>80.34</v>
      </c>
      <c r="AZ186" s="47">
        <v>80.34</v>
      </c>
      <c r="BA186" s="50">
        <v>1046.0</v>
      </c>
      <c r="BB186" s="51">
        <v>653.0</v>
      </c>
      <c r="BC186" s="51">
        <v>395.0</v>
      </c>
      <c r="BD186" s="51">
        <v>304.0</v>
      </c>
      <c r="BE186" s="51" t="s">
        <v>847</v>
      </c>
      <c r="BF186" s="51" t="s">
        <v>879</v>
      </c>
      <c r="BG186" s="51" t="s">
        <v>880</v>
      </c>
      <c r="BH186" s="51"/>
      <c r="BI186" s="51">
        <v>190.0</v>
      </c>
      <c r="BJ186" s="51">
        <v>245.0</v>
      </c>
      <c r="BK186" s="51">
        <v>365.0</v>
      </c>
      <c r="BL186" s="51">
        <v>266.0</v>
      </c>
      <c r="BM186" s="51">
        <v>366.0</v>
      </c>
      <c r="BN186" s="51">
        <v>140.0</v>
      </c>
      <c r="BO186" s="51">
        <v>63.0</v>
      </c>
      <c r="BP186" s="51" t="s">
        <v>881</v>
      </c>
      <c r="BQ186" s="51" t="s">
        <v>642</v>
      </c>
      <c r="BR186" s="52">
        <v>25.0</v>
      </c>
      <c r="BS186" s="53" t="s">
        <v>850</v>
      </c>
      <c r="BT186" s="53" t="s">
        <v>850</v>
      </c>
      <c r="BU186" s="52">
        <v>30.0</v>
      </c>
      <c r="BV186" s="47">
        <f>IFERROR(__xludf.DUMMYFUNCTION("IFERROR(INDEX(motors!E:E, MATCH(1, (motors!A:A=REGEXEXTRACT(A186,""^\S+""))*(motors!B:B=BU186), 0)), """")"),54.9)</f>
        <v>54.9</v>
      </c>
      <c r="BW186" s="47">
        <f>IFERROR(__xludf.DUMMYFUNCTION("IFERROR(INDEX(motors!F:F, MATCH(1, (motors!A:A=REGEXEXTRACT(A186,""^\S+""))*(motors!B:B=BU186), 0)), """")"),31.6)</f>
        <v>31.6</v>
      </c>
      <c r="BX186" s="51">
        <v>2.0</v>
      </c>
      <c r="BY186" s="52">
        <v>351.0</v>
      </c>
      <c r="BZ186" s="53" t="s">
        <v>882</v>
      </c>
      <c r="CA186" s="53" t="str">
        <f>IFERROR(__xludf.DUMMYFUNCTION("IFERROR(REGEXEXTRACT(BZ186, ""(?i)[A-Z]+-D-E-([^-]+)-E""), """")"),"HQQE")</f>
        <v>HQQE</v>
      </c>
    </row>
    <row r="187" ht="11.25" customHeight="1">
      <c r="A187" s="55" t="s">
        <v>883</v>
      </c>
      <c r="B187" s="55">
        <v>7.4123727E7</v>
      </c>
      <c r="C187" s="56">
        <v>0.0</v>
      </c>
      <c r="D187" s="56">
        <v>30.0</v>
      </c>
      <c r="E187" s="56">
        <v>40.0</v>
      </c>
      <c r="F187" s="56">
        <v>50.0</v>
      </c>
      <c r="G187" s="56">
        <v>60.0</v>
      </c>
      <c r="H187" s="56">
        <v>64.0</v>
      </c>
      <c r="I187" s="56">
        <v>70.0</v>
      </c>
      <c r="J187" s="56">
        <v>80.0</v>
      </c>
      <c r="K187" s="56">
        <v>80.0</v>
      </c>
      <c r="L187" s="56">
        <v>80.0</v>
      </c>
      <c r="M187" s="48">
        <v>169.7795783149</v>
      </c>
      <c r="N187" s="56">
        <v>157.0240246699</v>
      </c>
      <c r="O187" s="56">
        <v>148.9020548949</v>
      </c>
      <c r="P187" s="56">
        <v>138.1958208399</v>
      </c>
      <c r="Q187" s="56">
        <v>124.61508750489999</v>
      </c>
      <c r="R187" s="56">
        <v>118.32552468929998</v>
      </c>
      <c r="S187" s="56">
        <v>107.9358118899</v>
      </c>
      <c r="T187" s="56">
        <v>88.00014299489999</v>
      </c>
      <c r="U187" s="56">
        <v>88.00014299489999</v>
      </c>
      <c r="V187" s="56">
        <v>88.00014299489999</v>
      </c>
      <c r="W187" s="49">
        <f>W172+W173*5</f>
        <v>16.371</v>
      </c>
      <c r="X187" s="56">
        <v>22.380000000000003</v>
      </c>
      <c r="Y187" s="56">
        <v>24.935</v>
      </c>
      <c r="Z187" s="56">
        <v>27.012999999999998</v>
      </c>
      <c r="AA187" s="56">
        <v>28.86</v>
      </c>
      <c r="AB187" s="56">
        <v>29.535000000000004</v>
      </c>
      <c r="AC187" s="56">
        <v>30.48</v>
      </c>
      <c r="AD187" s="56">
        <v>31.874000000000002</v>
      </c>
      <c r="AE187" s="56">
        <v>31.874000000000002</v>
      </c>
      <c r="AF187" s="56">
        <v>31.874000000000002</v>
      </c>
      <c r="AG187" s="49">
        <v>0.993</v>
      </c>
      <c r="AH187" s="56">
        <v>1.27</v>
      </c>
      <c r="AI187" s="56">
        <v>1.352</v>
      </c>
      <c r="AJ187" s="56">
        <v>1.62</v>
      </c>
      <c r="AK187" s="56">
        <v>2.174</v>
      </c>
      <c r="AL187" s="56">
        <v>2.499</v>
      </c>
      <c r="AM187" s="56">
        <v>3.13</v>
      </c>
      <c r="AN187" s="56">
        <v>4.763</v>
      </c>
      <c r="AO187" s="56">
        <v>4.763</v>
      </c>
      <c r="AP187" s="56">
        <v>4.763</v>
      </c>
      <c r="AQ187" s="49">
        <v>0.0</v>
      </c>
      <c r="AR187" s="56">
        <v>58.0</v>
      </c>
      <c r="AS187" s="56">
        <v>68.9</v>
      </c>
      <c r="AT187" s="56">
        <v>76.2</v>
      </c>
      <c r="AU187" s="56">
        <v>80.89</v>
      </c>
      <c r="AV187" s="56">
        <v>81.94</v>
      </c>
      <c r="AW187" s="56">
        <v>82.52</v>
      </c>
      <c r="AX187" s="56">
        <v>80.34</v>
      </c>
      <c r="AY187" s="56">
        <v>80.34</v>
      </c>
      <c r="AZ187" s="56">
        <v>80.34</v>
      </c>
      <c r="BA187" s="50">
        <v>1046.0</v>
      </c>
      <c r="BB187" s="57">
        <v>653.0</v>
      </c>
      <c r="BC187" s="57">
        <v>395.0</v>
      </c>
      <c r="BD187" s="57">
        <v>304.0</v>
      </c>
      <c r="BE187" s="57" t="s">
        <v>847</v>
      </c>
      <c r="BF187" s="57" t="s">
        <v>879</v>
      </c>
      <c r="BG187" s="57" t="s">
        <v>880</v>
      </c>
      <c r="BH187" s="57"/>
      <c r="BI187" s="57">
        <v>190.0</v>
      </c>
      <c r="BJ187" s="57">
        <v>245.0</v>
      </c>
      <c r="BK187" s="57">
        <v>365.0</v>
      </c>
      <c r="BL187" s="57">
        <v>266.0</v>
      </c>
      <c r="BM187" s="57">
        <v>366.0</v>
      </c>
      <c r="BN187" s="57">
        <v>140.0</v>
      </c>
      <c r="BO187" s="57">
        <v>63.0</v>
      </c>
      <c r="BP187" s="57" t="s">
        <v>881</v>
      </c>
      <c r="BQ187" s="57" t="s">
        <v>642</v>
      </c>
      <c r="BR187" s="58">
        <v>25.0</v>
      </c>
      <c r="BS187" s="59" t="s">
        <v>850</v>
      </c>
      <c r="BT187" s="59" t="s">
        <v>850</v>
      </c>
      <c r="BU187" s="58">
        <v>37.0</v>
      </c>
      <c r="BV187" s="47">
        <f>IFERROR(__xludf.DUMMYFUNCTION("IFERROR(INDEX(motors!E:E, MATCH(1, (motors!A:A=REGEXEXTRACT(A187,""^\S+""))*(motors!B:B=BU187), 0)), """")"),67.4)</f>
        <v>67.4</v>
      </c>
      <c r="BW187" s="47">
        <f>IFERROR(__xludf.DUMMYFUNCTION("IFERROR(INDEX(motors!F:F, MATCH(1, (motors!A:A=REGEXEXTRACT(A187,""^\S+""))*(motors!B:B=BU187), 0)), """")"),38.8)</f>
        <v>38.8</v>
      </c>
      <c r="BX187" s="57">
        <v>2.0</v>
      </c>
      <c r="BY187" s="58">
        <v>371.0</v>
      </c>
      <c r="BZ187" s="59" t="s">
        <v>884</v>
      </c>
      <c r="CA187" s="53" t="str">
        <f>IFERROR(__xludf.DUMMYFUNCTION("IFERROR(REGEXEXTRACT(BZ187, ""(?i)[A-Z]+-D-E-([^-]+)-E""), """")"),"HQQE")</f>
        <v>HQQE</v>
      </c>
    </row>
    <row r="188" ht="11.25" customHeight="1">
      <c r="A188" s="46" t="s">
        <v>885</v>
      </c>
      <c r="B188" s="46">
        <v>7.4123728E7</v>
      </c>
      <c r="C188" s="47">
        <v>0.0</v>
      </c>
      <c r="D188" s="47">
        <v>30.0</v>
      </c>
      <c r="E188" s="47">
        <v>40.0</v>
      </c>
      <c r="F188" s="47">
        <v>50.0</v>
      </c>
      <c r="G188" s="47">
        <v>60.0</v>
      </c>
      <c r="H188" s="47">
        <v>64.0</v>
      </c>
      <c r="I188" s="47">
        <v>70.0</v>
      </c>
      <c r="J188" s="47">
        <v>80.0</v>
      </c>
      <c r="K188" s="47">
        <v>80.0</v>
      </c>
      <c r="L188" s="47">
        <v>80.0</v>
      </c>
      <c r="M188" s="48">
        <v>179.0292266711</v>
      </c>
      <c r="N188" s="47">
        <v>164.03266572409999</v>
      </c>
      <c r="O188" s="47">
        <v>155.88365695509998</v>
      </c>
      <c r="P188" s="47">
        <v>145.2037076261</v>
      </c>
      <c r="Q188" s="47">
        <v>131.6262639371</v>
      </c>
      <c r="R188" s="47">
        <v>125.32815061989999</v>
      </c>
      <c r="S188" s="47">
        <v>114.92274808809998</v>
      </c>
      <c r="T188" s="47">
        <v>95.00255827909999</v>
      </c>
      <c r="U188" s="47">
        <v>95.00255827909999</v>
      </c>
      <c r="V188" s="47">
        <v>95.00255827909999</v>
      </c>
      <c r="W188" s="49">
        <f>W173*6</f>
        <v>18.048</v>
      </c>
      <c r="X188" s="47">
        <v>23.778</v>
      </c>
      <c r="Y188" s="47">
        <v>26.28</v>
      </c>
      <c r="Z188" s="47">
        <v>28.445999999999998</v>
      </c>
      <c r="AA188" s="47">
        <v>30.402</v>
      </c>
      <c r="AB188" s="47">
        <v>31.122</v>
      </c>
      <c r="AC188" s="47">
        <v>32.135999999999996</v>
      </c>
      <c r="AD188" s="47">
        <v>33.653999999999996</v>
      </c>
      <c r="AE188" s="47">
        <v>33.653999999999996</v>
      </c>
      <c r="AF188" s="47">
        <v>33.653999999999996</v>
      </c>
      <c r="AG188" s="49">
        <v>0.993</v>
      </c>
      <c r="AH188" s="47">
        <v>1.27</v>
      </c>
      <c r="AI188" s="47">
        <v>1.352</v>
      </c>
      <c r="AJ188" s="47">
        <v>1.62</v>
      </c>
      <c r="AK188" s="47">
        <v>2.174</v>
      </c>
      <c r="AL188" s="47">
        <v>2.499</v>
      </c>
      <c r="AM188" s="47">
        <v>3.13</v>
      </c>
      <c r="AN188" s="47">
        <v>4.763</v>
      </c>
      <c r="AO188" s="47">
        <v>4.763</v>
      </c>
      <c r="AP188" s="47">
        <v>4.763</v>
      </c>
      <c r="AQ188" s="49">
        <v>0.0</v>
      </c>
      <c r="AR188" s="47">
        <v>58.0</v>
      </c>
      <c r="AS188" s="47">
        <v>68.9</v>
      </c>
      <c r="AT188" s="47">
        <v>76.2</v>
      </c>
      <c r="AU188" s="47">
        <v>80.89</v>
      </c>
      <c r="AV188" s="47">
        <v>81.94</v>
      </c>
      <c r="AW188" s="47">
        <v>82.52</v>
      </c>
      <c r="AX188" s="47">
        <v>80.34</v>
      </c>
      <c r="AY188" s="47">
        <v>80.34</v>
      </c>
      <c r="AZ188" s="47">
        <v>80.34</v>
      </c>
      <c r="BA188" s="50">
        <v>1046.0</v>
      </c>
      <c r="BB188" s="51">
        <v>653.0</v>
      </c>
      <c r="BC188" s="51">
        <v>395.0</v>
      </c>
      <c r="BD188" s="51">
        <v>304.0</v>
      </c>
      <c r="BE188" s="51" t="s">
        <v>847</v>
      </c>
      <c r="BF188" s="51" t="s">
        <v>879</v>
      </c>
      <c r="BG188" s="51" t="s">
        <v>880</v>
      </c>
      <c r="BH188" s="51"/>
      <c r="BI188" s="51">
        <v>190.0</v>
      </c>
      <c r="BJ188" s="51">
        <v>245.0</v>
      </c>
      <c r="BK188" s="51">
        <v>365.0</v>
      </c>
      <c r="BL188" s="51">
        <v>266.0</v>
      </c>
      <c r="BM188" s="51">
        <v>366.0</v>
      </c>
      <c r="BN188" s="51">
        <v>140.0</v>
      </c>
      <c r="BO188" s="51">
        <v>63.0</v>
      </c>
      <c r="BP188" s="51" t="s">
        <v>881</v>
      </c>
      <c r="BQ188" s="51" t="s">
        <v>642</v>
      </c>
      <c r="BR188" s="52">
        <v>25.0</v>
      </c>
      <c r="BS188" s="53" t="s">
        <v>850</v>
      </c>
      <c r="BT188" s="53" t="s">
        <v>850</v>
      </c>
      <c r="BU188" s="52">
        <v>37.0</v>
      </c>
      <c r="BV188" s="47">
        <f>IFERROR(__xludf.DUMMYFUNCTION("IFERROR(INDEX(motors!E:E, MATCH(1, (motors!A:A=REGEXEXTRACT(A188,""^\S+""))*(motors!B:B=BU188), 0)), """")"),67.4)</f>
        <v>67.4</v>
      </c>
      <c r="BW188" s="47">
        <f>IFERROR(__xludf.DUMMYFUNCTION("IFERROR(INDEX(motors!F:F, MATCH(1, (motors!A:A=REGEXEXTRACT(A188,""^\S+""))*(motors!B:B=BU188), 0)), """")"),38.8)</f>
        <v>38.8</v>
      </c>
      <c r="BX188" s="51">
        <v>2.0</v>
      </c>
      <c r="BY188" s="52">
        <v>371.0</v>
      </c>
      <c r="BZ188" s="53" t="s">
        <v>886</v>
      </c>
      <c r="CA188" s="53" t="str">
        <f>IFERROR(__xludf.DUMMYFUNCTION("IFERROR(REGEXEXTRACT(BZ188, ""(?i)[A-Z]+-D-E-([^-]+)-E""), """")"),"HQQE")</f>
        <v>HQQE</v>
      </c>
    </row>
    <row r="189" ht="11.25" customHeight="1">
      <c r="A189" s="55" t="s">
        <v>887</v>
      </c>
      <c r="B189" s="55">
        <v>7.4123729E7</v>
      </c>
      <c r="C189" s="56">
        <v>0.0</v>
      </c>
      <c r="D189" s="56">
        <v>30.0</v>
      </c>
      <c r="E189" s="56">
        <v>40.0</v>
      </c>
      <c r="F189" s="56">
        <v>50.0</v>
      </c>
      <c r="G189" s="56">
        <v>60.0</v>
      </c>
      <c r="H189" s="56">
        <v>64.0</v>
      </c>
      <c r="I189" s="56">
        <v>70.0</v>
      </c>
      <c r="J189" s="56">
        <v>80.0</v>
      </c>
      <c r="K189" s="56">
        <v>80.0</v>
      </c>
      <c r="L189" s="56">
        <v>80.0</v>
      </c>
      <c r="M189" s="48">
        <v>189.0854687146</v>
      </c>
      <c r="N189" s="56">
        <v>175.8395403556</v>
      </c>
      <c r="O189" s="56">
        <v>167.42135374260002</v>
      </c>
      <c r="P189" s="56">
        <v>155.6091405496</v>
      </c>
      <c r="Q189" s="56">
        <v>140.13287197660003</v>
      </c>
      <c r="R189" s="56">
        <v>132.9277264362</v>
      </c>
      <c r="S189" s="56">
        <v>121.0995352236</v>
      </c>
      <c r="T189" s="56">
        <v>98.9931334906</v>
      </c>
      <c r="U189" s="56">
        <v>98.9931334906</v>
      </c>
      <c r="V189" s="56">
        <v>98.9931334906</v>
      </c>
      <c r="W189" s="49">
        <f>W172*2+W173*5</f>
        <v>17.702</v>
      </c>
      <c r="X189" s="56">
        <v>24.945</v>
      </c>
      <c r="Y189" s="56">
        <v>27.97</v>
      </c>
      <c r="Z189" s="56">
        <v>30.320999999999998</v>
      </c>
      <c r="AA189" s="56">
        <v>32.385</v>
      </c>
      <c r="AB189" s="56">
        <v>33.135000000000005</v>
      </c>
      <c r="AC189" s="56">
        <v>34.18</v>
      </c>
      <c r="AD189" s="56">
        <v>35.703</v>
      </c>
      <c r="AE189" s="56">
        <v>35.703</v>
      </c>
      <c r="AF189" s="56">
        <v>35.703</v>
      </c>
      <c r="AG189" s="49">
        <v>0.993</v>
      </c>
      <c r="AH189" s="56">
        <v>1.27</v>
      </c>
      <c r="AI189" s="56">
        <v>1.352</v>
      </c>
      <c r="AJ189" s="56">
        <v>1.62</v>
      </c>
      <c r="AK189" s="56">
        <v>2.174</v>
      </c>
      <c r="AL189" s="56">
        <v>2.499</v>
      </c>
      <c r="AM189" s="56">
        <v>3.13</v>
      </c>
      <c r="AN189" s="56">
        <v>4.763</v>
      </c>
      <c r="AO189" s="56">
        <v>4.763</v>
      </c>
      <c r="AP189" s="56">
        <v>4.763</v>
      </c>
      <c r="AQ189" s="49">
        <v>0.0</v>
      </c>
      <c r="AR189" s="56">
        <v>58.0</v>
      </c>
      <c r="AS189" s="56">
        <v>68.9</v>
      </c>
      <c r="AT189" s="56">
        <v>76.2</v>
      </c>
      <c r="AU189" s="56">
        <v>80.89</v>
      </c>
      <c r="AV189" s="56">
        <v>81.94</v>
      </c>
      <c r="AW189" s="56">
        <v>82.52</v>
      </c>
      <c r="AX189" s="56">
        <v>80.34</v>
      </c>
      <c r="AY189" s="56">
        <v>80.34</v>
      </c>
      <c r="AZ189" s="56">
        <v>80.34</v>
      </c>
      <c r="BA189" s="50">
        <v>1126.0</v>
      </c>
      <c r="BB189" s="57">
        <v>653.0</v>
      </c>
      <c r="BC189" s="57">
        <v>395.0</v>
      </c>
      <c r="BD189" s="57">
        <v>304.0</v>
      </c>
      <c r="BE189" s="57" t="s">
        <v>847</v>
      </c>
      <c r="BF189" s="57" t="s">
        <v>879</v>
      </c>
      <c r="BG189" s="57" t="s">
        <v>880</v>
      </c>
      <c r="BH189" s="57"/>
      <c r="BI189" s="57">
        <v>190.0</v>
      </c>
      <c r="BJ189" s="57">
        <v>245.0</v>
      </c>
      <c r="BK189" s="57">
        <v>365.0</v>
      </c>
      <c r="BL189" s="57">
        <v>266.0</v>
      </c>
      <c r="BM189" s="57">
        <v>366.0</v>
      </c>
      <c r="BN189" s="57">
        <v>140.0</v>
      </c>
      <c r="BO189" s="57">
        <v>63.0</v>
      </c>
      <c r="BP189" s="57" t="s">
        <v>881</v>
      </c>
      <c r="BQ189" s="57" t="s">
        <v>642</v>
      </c>
      <c r="BR189" s="58">
        <v>25.0</v>
      </c>
      <c r="BS189" s="59" t="s">
        <v>850</v>
      </c>
      <c r="BT189" s="59" t="s">
        <v>850</v>
      </c>
      <c r="BU189" s="58">
        <v>37.0</v>
      </c>
      <c r="BV189" s="47">
        <f>IFERROR(__xludf.DUMMYFUNCTION("IFERROR(INDEX(motors!E:E, MATCH(1, (motors!A:A=REGEXEXTRACT(A189,""^\S+""))*(motors!B:B=BU189), 0)), """")"),67.4)</f>
        <v>67.4</v>
      </c>
      <c r="BW189" s="47">
        <f>IFERROR(__xludf.DUMMYFUNCTION("IFERROR(INDEX(motors!F:F, MATCH(1, (motors!A:A=REGEXEXTRACT(A189,""^\S+""))*(motors!B:B=BU189), 0)), """")"),38.8)</f>
        <v>38.8</v>
      </c>
      <c r="BX189" s="57">
        <v>2.0</v>
      </c>
      <c r="BY189" s="58">
        <v>376.0</v>
      </c>
      <c r="BZ189" s="59" t="s">
        <v>888</v>
      </c>
      <c r="CA189" s="53" t="str">
        <f>IFERROR(__xludf.DUMMYFUNCTION("IFERROR(REGEXEXTRACT(BZ189, ""(?i)[A-Z]+-D-E-([^-]+)-E""), """")"),"HQQE")</f>
        <v>HQQE</v>
      </c>
    </row>
    <row r="190" ht="11.25" customHeight="1">
      <c r="A190" s="46" t="s">
        <v>889</v>
      </c>
      <c r="B190" s="46">
        <v>7.412373E7</v>
      </c>
      <c r="C190" s="47">
        <v>0.0</v>
      </c>
      <c r="D190" s="47">
        <v>30.0</v>
      </c>
      <c r="E190" s="47">
        <v>40.0</v>
      </c>
      <c r="F190" s="47">
        <v>50.0</v>
      </c>
      <c r="G190" s="47">
        <v>60.0</v>
      </c>
      <c r="H190" s="47">
        <v>64.0</v>
      </c>
      <c r="I190" s="47">
        <v>70.0</v>
      </c>
      <c r="J190" s="47">
        <v>80.0</v>
      </c>
      <c r="K190" s="47">
        <v>80.0</v>
      </c>
      <c r="L190" s="47">
        <v>80.0</v>
      </c>
      <c r="M190" s="48">
        <v>199.0462240598</v>
      </c>
      <c r="N190" s="47">
        <v>185.1019842428</v>
      </c>
      <c r="O190" s="47">
        <v>175.7580508638</v>
      </c>
      <c r="P190" s="47">
        <v>163.1504727648</v>
      </c>
      <c r="Q190" s="47">
        <v>147.1615311458</v>
      </c>
      <c r="R190" s="47">
        <v>139.8476023446</v>
      </c>
      <c r="S190" s="47">
        <v>127.96131520680002</v>
      </c>
      <c r="T190" s="47">
        <v>106.00772214780001</v>
      </c>
      <c r="U190" s="47">
        <v>106.00772214780001</v>
      </c>
      <c r="V190" s="47">
        <v>106.00772214780001</v>
      </c>
      <c r="W190" s="49">
        <f>W172+W173*6</f>
        <v>19.379</v>
      </c>
      <c r="X190" s="47">
        <v>26.343</v>
      </c>
      <c r="Y190" s="47">
        <v>29.315</v>
      </c>
      <c r="Z190" s="47">
        <v>31.753999999999998</v>
      </c>
      <c r="AA190" s="47">
        <v>33.927</v>
      </c>
      <c r="AB190" s="47">
        <v>34.722</v>
      </c>
      <c r="AC190" s="47">
        <v>35.836</v>
      </c>
      <c r="AD190" s="47">
        <v>37.483</v>
      </c>
      <c r="AE190" s="47">
        <v>37.483</v>
      </c>
      <c r="AF190" s="47">
        <v>37.483</v>
      </c>
      <c r="AG190" s="49">
        <v>0.993</v>
      </c>
      <c r="AH190" s="47">
        <v>1.27</v>
      </c>
      <c r="AI190" s="47">
        <v>1.352</v>
      </c>
      <c r="AJ190" s="47">
        <v>1.62</v>
      </c>
      <c r="AK190" s="47">
        <v>2.174</v>
      </c>
      <c r="AL190" s="47">
        <v>2.499</v>
      </c>
      <c r="AM190" s="47">
        <v>3.13</v>
      </c>
      <c r="AN190" s="47">
        <v>4.763</v>
      </c>
      <c r="AO190" s="47">
        <v>4.763</v>
      </c>
      <c r="AP190" s="47">
        <v>4.763</v>
      </c>
      <c r="AQ190" s="49">
        <v>0.0</v>
      </c>
      <c r="AR190" s="47">
        <v>58.0</v>
      </c>
      <c r="AS190" s="47">
        <v>68.9</v>
      </c>
      <c r="AT190" s="47">
        <v>76.2</v>
      </c>
      <c r="AU190" s="47">
        <v>80.89</v>
      </c>
      <c r="AV190" s="47">
        <v>81.94</v>
      </c>
      <c r="AW190" s="47">
        <v>82.52</v>
      </c>
      <c r="AX190" s="47">
        <v>80.34</v>
      </c>
      <c r="AY190" s="47">
        <v>80.34</v>
      </c>
      <c r="AZ190" s="47">
        <v>80.34</v>
      </c>
      <c r="BA190" s="50">
        <v>1126.0</v>
      </c>
      <c r="BB190" s="51">
        <v>653.0</v>
      </c>
      <c r="BC190" s="51">
        <v>395.0</v>
      </c>
      <c r="BD190" s="51">
        <v>304.0</v>
      </c>
      <c r="BE190" s="51" t="s">
        <v>847</v>
      </c>
      <c r="BF190" s="51" t="s">
        <v>879</v>
      </c>
      <c r="BG190" s="51" t="s">
        <v>880</v>
      </c>
      <c r="BH190" s="51"/>
      <c r="BI190" s="51">
        <v>190.0</v>
      </c>
      <c r="BJ190" s="51">
        <v>245.0</v>
      </c>
      <c r="BK190" s="51">
        <v>365.0</v>
      </c>
      <c r="BL190" s="51">
        <v>266.0</v>
      </c>
      <c r="BM190" s="51">
        <v>366.0</v>
      </c>
      <c r="BN190" s="51">
        <v>140.0</v>
      </c>
      <c r="BO190" s="51">
        <v>63.0</v>
      </c>
      <c r="BP190" s="51" t="s">
        <v>881</v>
      </c>
      <c r="BQ190" s="51" t="s">
        <v>642</v>
      </c>
      <c r="BR190" s="52">
        <v>25.0</v>
      </c>
      <c r="BS190" s="53" t="s">
        <v>850</v>
      </c>
      <c r="BT190" s="53" t="s">
        <v>850</v>
      </c>
      <c r="BU190" s="52">
        <v>37.0</v>
      </c>
      <c r="BV190" s="47">
        <f>IFERROR(__xludf.DUMMYFUNCTION("IFERROR(INDEX(motors!E:E, MATCH(1, (motors!A:A=REGEXEXTRACT(A190,""^\S+""))*(motors!B:B=BU190), 0)), """")"),67.4)</f>
        <v>67.4</v>
      </c>
      <c r="BW190" s="47">
        <f>IFERROR(__xludf.DUMMYFUNCTION("IFERROR(INDEX(motors!F:F, MATCH(1, (motors!A:A=REGEXEXTRACT(A190,""^\S+""))*(motors!B:B=BU190), 0)), """")"),38.8)</f>
        <v>38.8</v>
      </c>
      <c r="BX190" s="51">
        <v>2.0</v>
      </c>
      <c r="BY190" s="52">
        <v>376.0</v>
      </c>
      <c r="BZ190" s="53" t="s">
        <v>890</v>
      </c>
      <c r="CA190" s="53" t="str">
        <f>IFERROR(__xludf.DUMMYFUNCTION("IFERROR(REGEXEXTRACT(BZ190, ""(?i)[A-Z]+-D-E-([^-]+)-E""), """")"),"HQQE")</f>
        <v>HQQE</v>
      </c>
    </row>
    <row r="191" ht="11.25" customHeight="1">
      <c r="A191" s="55" t="s">
        <v>891</v>
      </c>
      <c r="B191" s="55">
        <v>7.4123731E7</v>
      </c>
      <c r="C191" s="56">
        <v>0.0</v>
      </c>
      <c r="D191" s="56">
        <v>30.0</v>
      </c>
      <c r="E191" s="56">
        <v>40.0</v>
      </c>
      <c r="F191" s="56">
        <v>50.0</v>
      </c>
      <c r="G191" s="56">
        <v>60.0</v>
      </c>
      <c r="H191" s="56">
        <v>64.0</v>
      </c>
      <c r="I191" s="56">
        <v>70.0</v>
      </c>
      <c r="J191" s="56">
        <v>80.0</v>
      </c>
      <c r="K191" s="56">
        <v>80.0</v>
      </c>
      <c r="L191" s="56">
        <v>80.0</v>
      </c>
      <c r="M191" s="48">
        <v>209.8425466189</v>
      </c>
      <c r="N191" s="56">
        <v>192.9670041259</v>
      </c>
      <c r="O191" s="56">
        <v>182.9822098949</v>
      </c>
      <c r="P191" s="56">
        <v>170.2696069639</v>
      </c>
      <c r="Q191" s="56">
        <v>154.46356613289998</v>
      </c>
      <c r="R191" s="56">
        <v>147.1884115469</v>
      </c>
      <c r="S191" s="56">
        <v>135.1739062019</v>
      </c>
      <c r="T191" s="56">
        <v>111.98589397090001</v>
      </c>
      <c r="U191" s="56">
        <v>111.98589397090001</v>
      </c>
      <c r="V191" s="56">
        <v>111.98589397090001</v>
      </c>
      <c r="W191" s="49">
        <f>W173*7</f>
        <v>21.056</v>
      </c>
      <c r="X191" s="56">
        <v>27.741</v>
      </c>
      <c r="Y191" s="56">
        <v>30.66</v>
      </c>
      <c r="Z191" s="56">
        <v>33.187</v>
      </c>
      <c r="AA191" s="56">
        <v>35.469</v>
      </c>
      <c r="AB191" s="56">
        <v>36.309000000000005</v>
      </c>
      <c r="AC191" s="56">
        <v>37.492</v>
      </c>
      <c r="AD191" s="56">
        <v>39.263</v>
      </c>
      <c r="AE191" s="56">
        <v>39.263</v>
      </c>
      <c r="AF191" s="56">
        <v>39.263</v>
      </c>
      <c r="AG191" s="49">
        <v>0.993</v>
      </c>
      <c r="AH191" s="56">
        <v>1.27</v>
      </c>
      <c r="AI191" s="56">
        <v>1.352</v>
      </c>
      <c r="AJ191" s="56">
        <v>1.62</v>
      </c>
      <c r="AK191" s="56">
        <v>2.174</v>
      </c>
      <c r="AL191" s="56">
        <v>2.499</v>
      </c>
      <c r="AM191" s="56">
        <v>3.13</v>
      </c>
      <c r="AN191" s="56">
        <v>4.763</v>
      </c>
      <c r="AO191" s="56">
        <v>4.763</v>
      </c>
      <c r="AP191" s="56">
        <v>4.763</v>
      </c>
      <c r="AQ191" s="49">
        <v>0.0</v>
      </c>
      <c r="AR191" s="56">
        <v>58.0</v>
      </c>
      <c r="AS191" s="56">
        <v>68.9</v>
      </c>
      <c r="AT191" s="56">
        <v>76.2</v>
      </c>
      <c r="AU191" s="56">
        <v>80.89</v>
      </c>
      <c r="AV191" s="56">
        <v>81.94</v>
      </c>
      <c r="AW191" s="56">
        <v>82.52</v>
      </c>
      <c r="AX191" s="56">
        <v>80.34</v>
      </c>
      <c r="AY191" s="56">
        <v>80.34</v>
      </c>
      <c r="AZ191" s="56">
        <v>80.34</v>
      </c>
      <c r="BA191" s="50">
        <v>1126.0</v>
      </c>
      <c r="BB191" s="57">
        <v>700.0</v>
      </c>
      <c r="BC191" s="57">
        <v>470.0</v>
      </c>
      <c r="BD191" s="57">
        <v>345.0</v>
      </c>
      <c r="BE191" s="57" t="s">
        <v>847</v>
      </c>
      <c r="BF191" s="57" t="s">
        <v>879</v>
      </c>
      <c r="BG191" s="57" t="s">
        <v>880</v>
      </c>
      <c r="BH191" s="57"/>
      <c r="BI191" s="57">
        <v>190.0</v>
      </c>
      <c r="BJ191" s="57">
        <v>245.0</v>
      </c>
      <c r="BK191" s="57">
        <v>365.0</v>
      </c>
      <c r="BL191" s="57">
        <v>266.0</v>
      </c>
      <c r="BM191" s="57">
        <v>366.0</v>
      </c>
      <c r="BN191" s="57">
        <v>140.0</v>
      </c>
      <c r="BO191" s="57">
        <v>63.0</v>
      </c>
      <c r="BP191" s="57" t="s">
        <v>881</v>
      </c>
      <c r="BQ191" s="57" t="s">
        <v>642</v>
      </c>
      <c r="BR191" s="58">
        <v>25.0</v>
      </c>
      <c r="BS191" s="59" t="s">
        <v>850</v>
      </c>
      <c r="BT191" s="59" t="s">
        <v>850</v>
      </c>
      <c r="BU191" s="58">
        <v>45.0</v>
      </c>
      <c r="BV191" s="47">
        <f>IFERROR(__xludf.DUMMYFUNCTION("IFERROR(INDEX(motors!E:E, MATCH(1, (motors!A:A=REGEXEXTRACT(A191,""^\S+""))*(motors!B:B=BU191), 0)), """")"),80.8)</f>
        <v>80.8</v>
      </c>
      <c r="BW191" s="47">
        <f>IFERROR(__xludf.DUMMYFUNCTION("IFERROR(INDEX(motors!F:F, MATCH(1, (motors!A:A=REGEXEXTRACT(A191,""^\S+""))*(motors!B:B=BU191), 0)), """")"),46.5)</f>
        <v>46.5</v>
      </c>
      <c r="BX191" s="57">
        <v>2.0</v>
      </c>
      <c r="BY191" s="58">
        <v>437.0</v>
      </c>
      <c r="BZ191" s="59" t="s">
        <v>892</v>
      </c>
      <c r="CA191" s="53" t="str">
        <f>IFERROR(__xludf.DUMMYFUNCTION("IFERROR(REGEXEXTRACT(BZ191, ""(?i)[A-Z]+-D-E-([^-]+)-E""), """")"),"HQQE")</f>
        <v>HQQE</v>
      </c>
    </row>
    <row r="192" ht="11.25" customHeight="1">
      <c r="A192" s="46" t="s">
        <v>893</v>
      </c>
      <c r="B192" s="46">
        <v>7.4123732E7</v>
      </c>
      <c r="C192" s="47">
        <v>0.0</v>
      </c>
      <c r="D192" s="47">
        <v>30.0</v>
      </c>
      <c r="E192" s="47">
        <v>40.0</v>
      </c>
      <c r="F192" s="47">
        <v>50.0</v>
      </c>
      <c r="G192" s="47">
        <v>60.0</v>
      </c>
      <c r="H192" s="47">
        <v>64.0</v>
      </c>
      <c r="I192" s="47">
        <v>70.0</v>
      </c>
      <c r="J192" s="47">
        <v>80.0</v>
      </c>
      <c r="K192" s="47">
        <v>80.0</v>
      </c>
      <c r="L192" s="47">
        <v>80.0</v>
      </c>
      <c r="M192" s="48">
        <v>218.9236825434</v>
      </c>
      <c r="N192" s="47">
        <v>203.9030794164</v>
      </c>
      <c r="O192" s="47">
        <v>194.2169541074</v>
      </c>
      <c r="P192" s="47">
        <v>180.9241389984</v>
      </c>
      <c r="Q192" s="47">
        <v>163.5788934894</v>
      </c>
      <c r="R192" s="47">
        <v>155.44618890499999</v>
      </c>
      <c r="S192" s="47">
        <v>141.9451409804</v>
      </c>
      <c r="T192" s="47">
        <v>115.9964688714</v>
      </c>
      <c r="U192" s="47">
        <v>115.9964688714</v>
      </c>
      <c r="V192" s="47">
        <v>115.9964688714</v>
      </c>
      <c r="W192" s="49">
        <f>W172*2+W173*6</f>
        <v>20.71</v>
      </c>
      <c r="X192" s="47">
        <v>28.907999999999998</v>
      </c>
      <c r="Y192" s="47">
        <v>32.35</v>
      </c>
      <c r="Z192" s="47">
        <v>35.062</v>
      </c>
      <c r="AA192" s="47">
        <v>37.452</v>
      </c>
      <c r="AB192" s="47">
        <v>38.322</v>
      </c>
      <c r="AC192" s="47">
        <v>39.535999999999994</v>
      </c>
      <c r="AD192" s="47">
        <v>41.312</v>
      </c>
      <c r="AE192" s="47">
        <v>41.312</v>
      </c>
      <c r="AF192" s="47">
        <v>41.312</v>
      </c>
      <c r="AG192" s="49">
        <v>0.993</v>
      </c>
      <c r="AH192" s="47">
        <v>1.27</v>
      </c>
      <c r="AI192" s="47">
        <v>1.352</v>
      </c>
      <c r="AJ192" s="47">
        <v>1.62</v>
      </c>
      <c r="AK192" s="47">
        <v>2.174</v>
      </c>
      <c r="AL192" s="47">
        <v>2.499</v>
      </c>
      <c r="AM192" s="47">
        <v>3.13</v>
      </c>
      <c r="AN192" s="47">
        <v>4.763</v>
      </c>
      <c r="AO192" s="47">
        <v>4.763</v>
      </c>
      <c r="AP192" s="47">
        <v>4.763</v>
      </c>
      <c r="AQ192" s="49">
        <v>0.0</v>
      </c>
      <c r="AR192" s="47">
        <v>58.0</v>
      </c>
      <c r="AS192" s="47">
        <v>68.9</v>
      </c>
      <c r="AT192" s="47">
        <v>76.2</v>
      </c>
      <c r="AU192" s="47">
        <v>80.89</v>
      </c>
      <c r="AV192" s="47">
        <v>81.94</v>
      </c>
      <c r="AW192" s="47">
        <v>82.52</v>
      </c>
      <c r="AX192" s="47">
        <v>80.34</v>
      </c>
      <c r="AY192" s="47">
        <v>80.34</v>
      </c>
      <c r="AZ192" s="47">
        <v>80.34</v>
      </c>
      <c r="BA192" s="50">
        <v>1206.0</v>
      </c>
      <c r="BB192" s="51">
        <v>700.0</v>
      </c>
      <c r="BC192" s="51">
        <v>470.0</v>
      </c>
      <c r="BD192" s="51">
        <v>345.0</v>
      </c>
      <c r="BE192" s="51" t="s">
        <v>847</v>
      </c>
      <c r="BF192" s="51" t="s">
        <v>879</v>
      </c>
      <c r="BG192" s="51" t="s">
        <v>880</v>
      </c>
      <c r="BH192" s="51"/>
      <c r="BI192" s="51">
        <v>190.0</v>
      </c>
      <c r="BJ192" s="51">
        <v>245.0</v>
      </c>
      <c r="BK192" s="51">
        <v>365.0</v>
      </c>
      <c r="BL192" s="51">
        <v>266.0</v>
      </c>
      <c r="BM192" s="51">
        <v>366.0</v>
      </c>
      <c r="BN192" s="51">
        <v>140.0</v>
      </c>
      <c r="BO192" s="51">
        <v>63.0</v>
      </c>
      <c r="BP192" s="51" t="s">
        <v>881</v>
      </c>
      <c r="BQ192" s="51" t="s">
        <v>642</v>
      </c>
      <c r="BR192" s="52">
        <v>25.0</v>
      </c>
      <c r="BS192" s="53" t="s">
        <v>850</v>
      </c>
      <c r="BT192" s="53" t="s">
        <v>850</v>
      </c>
      <c r="BU192" s="52">
        <v>45.0</v>
      </c>
      <c r="BV192" s="47">
        <f>IFERROR(__xludf.DUMMYFUNCTION("IFERROR(INDEX(motors!E:E, MATCH(1, (motors!A:A=REGEXEXTRACT(A192,""^\S+""))*(motors!B:B=BU192), 0)), """")"),80.8)</f>
        <v>80.8</v>
      </c>
      <c r="BW192" s="47">
        <f>IFERROR(__xludf.DUMMYFUNCTION("IFERROR(INDEX(motors!F:F, MATCH(1, (motors!A:A=REGEXEXTRACT(A192,""^\S+""))*(motors!B:B=BU192), 0)), """")"),46.5)</f>
        <v>46.5</v>
      </c>
      <c r="BX192" s="51">
        <v>2.0</v>
      </c>
      <c r="BY192" s="52">
        <v>443.0</v>
      </c>
      <c r="BZ192" s="53" t="s">
        <v>894</v>
      </c>
      <c r="CA192" s="53" t="str">
        <f>IFERROR(__xludf.DUMMYFUNCTION("IFERROR(REGEXEXTRACT(BZ192, ""(?i)[A-Z]+-D-E-([^-]+)-E""), """")"),"HQQE")</f>
        <v>HQQE</v>
      </c>
    </row>
    <row r="193" ht="11.25" customHeight="1">
      <c r="A193" s="55" t="s">
        <v>895</v>
      </c>
      <c r="B193" s="55">
        <v>7.4123733E7</v>
      </c>
      <c r="C193" s="56">
        <v>0.0</v>
      </c>
      <c r="D193" s="56">
        <v>30.0</v>
      </c>
      <c r="E193" s="56">
        <v>40.0</v>
      </c>
      <c r="F193" s="56">
        <v>50.0</v>
      </c>
      <c r="G193" s="56">
        <v>60.0</v>
      </c>
      <c r="H193" s="56">
        <v>64.0</v>
      </c>
      <c r="I193" s="56">
        <v>70.0</v>
      </c>
      <c r="J193" s="56">
        <v>80.0</v>
      </c>
      <c r="K193" s="56">
        <v>80.0</v>
      </c>
      <c r="L193" s="56">
        <v>80.0</v>
      </c>
      <c r="M193" s="48">
        <v>229.6367934871</v>
      </c>
      <c r="N193" s="56">
        <v>214.0302920821</v>
      </c>
      <c r="O193" s="56">
        <v>203.06942330709998</v>
      </c>
      <c r="P193" s="56">
        <v>188.6092357121</v>
      </c>
      <c r="Q193" s="56">
        <v>170.4659204971</v>
      </c>
      <c r="R193" s="56">
        <v>162.1600308055</v>
      </c>
      <c r="S193" s="56">
        <v>148.5811168621</v>
      </c>
      <c r="T193" s="56">
        <v>123.02191200709998</v>
      </c>
      <c r="U193" s="56">
        <v>123.02191200709998</v>
      </c>
      <c r="V193" s="56">
        <v>123.02191200709998</v>
      </c>
      <c r="W193" s="49">
        <f>W172+W173*7</f>
        <v>22.387</v>
      </c>
      <c r="X193" s="56">
        <v>30.306</v>
      </c>
      <c r="Y193" s="56">
        <v>33.695</v>
      </c>
      <c r="Z193" s="56">
        <v>36.495</v>
      </c>
      <c r="AA193" s="56">
        <v>38.994</v>
      </c>
      <c r="AB193" s="56">
        <v>39.909000000000006</v>
      </c>
      <c r="AC193" s="56">
        <v>41.192</v>
      </c>
      <c r="AD193" s="56">
        <v>43.092</v>
      </c>
      <c r="AE193" s="56">
        <v>43.092</v>
      </c>
      <c r="AF193" s="56">
        <v>43.092</v>
      </c>
      <c r="AG193" s="49">
        <v>0.993</v>
      </c>
      <c r="AH193" s="56">
        <v>1.27</v>
      </c>
      <c r="AI193" s="56">
        <v>1.352</v>
      </c>
      <c r="AJ193" s="56">
        <v>1.62</v>
      </c>
      <c r="AK193" s="56">
        <v>2.174</v>
      </c>
      <c r="AL193" s="56">
        <v>2.499</v>
      </c>
      <c r="AM193" s="56">
        <v>3.13</v>
      </c>
      <c r="AN193" s="56">
        <v>4.763</v>
      </c>
      <c r="AO193" s="56">
        <v>4.763</v>
      </c>
      <c r="AP193" s="56">
        <v>4.763</v>
      </c>
      <c r="AQ193" s="49">
        <v>0.0</v>
      </c>
      <c r="AR193" s="56">
        <v>58.0</v>
      </c>
      <c r="AS193" s="56">
        <v>68.9</v>
      </c>
      <c r="AT193" s="56">
        <v>76.2</v>
      </c>
      <c r="AU193" s="56">
        <v>80.89</v>
      </c>
      <c r="AV193" s="56">
        <v>81.94</v>
      </c>
      <c r="AW193" s="56">
        <v>82.52</v>
      </c>
      <c r="AX193" s="56">
        <v>80.34</v>
      </c>
      <c r="AY193" s="56">
        <v>80.34</v>
      </c>
      <c r="AZ193" s="56">
        <v>80.34</v>
      </c>
      <c r="BA193" s="50">
        <v>1206.0</v>
      </c>
      <c r="BB193" s="57">
        <v>700.0</v>
      </c>
      <c r="BC193" s="57">
        <v>470.0</v>
      </c>
      <c r="BD193" s="57">
        <v>345.0</v>
      </c>
      <c r="BE193" s="57" t="s">
        <v>847</v>
      </c>
      <c r="BF193" s="57" t="s">
        <v>879</v>
      </c>
      <c r="BG193" s="57" t="s">
        <v>880</v>
      </c>
      <c r="BH193" s="57"/>
      <c r="BI193" s="57">
        <v>190.0</v>
      </c>
      <c r="BJ193" s="57">
        <v>245.0</v>
      </c>
      <c r="BK193" s="57">
        <v>365.0</v>
      </c>
      <c r="BL193" s="57">
        <v>266.0</v>
      </c>
      <c r="BM193" s="57">
        <v>366.0</v>
      </c>
      <c r="BN193" s="57">
        <v>140.0</v>
      </c>
      <c r="BO193" s="57">
        <v>63.0</v>
      </c>
      <c r="BP193" s="57" t="s">
        <v>881</v>
      </c>
      <c r="BQ193" s="57" t="s">
        <v>642</v>
      </c>
      <c r="BR193" s="58">
        <v>25.0</v>
      </c>
      <c r="BS193" s="59" t="s">
        <v>850</v>
      </c>
      <c r="BT193" s="59" t="s">
        <v>850</v>
      </c>
      <c r="BU193" s="58">
        <v>45.0</v>
      </c>
      <c r="BV193" s="47">
        <f>IFERROR(__xludf.DUMMYFUNCTION("IFERROR(INDEX(motors!E:E, MATCH(1, (motors!A:A=REGEXEXTRACT(A193,""^\S+""))*(motors!B:B=BU193), 0)), """")"),80.8)</f>
        <v>80.8</v>
      </c>
      <c r="BW193" s="47">
        <f>IFERROR(__xludf.DUMMYFUNCTION("IFERROR(INDEX(motors!F:F, MATCH(1, (motors!A:A=REGEXEXTRACT(A193,""^\S+""))*(motors!B:B=BU193), 0)), """")"),46.5)</f>
        <v>46.5</v>
      </c>
      <c r="BX193" s="57">
        <v>2.0</v>
      </c>
      <c r="BY193" s="58">
        <v>443.0</v>
      </c>
      <c r="BZ193" s="59" t="s">
        <v>896</v>
      </c>
      <c r="CA193" s="53" t="str">
        <f>IFERROR(__xludf.DUMMYFUNCTION("IFERROR(REGEXEXTRACT(BZ193, ""(?i)[A-Z]+-D-E-([^-]+)-E""), """")"),"HQQE")</f>
        <v>HQQE</v>
      </c>
    </row>
    <row r="194" ht="11.25" customHeight="1">
      <c r="A194" s="46"/>
      <c r="B194" s="46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8"/>
      <c r="N194" s="47"/>
      <c r="O194" s="47"/>
      <c r="P194" s="47"/>
      <c r="Q194" s="47"/>
      <c r="R194" s="47"/>
      <c r="S194" s="47"/>
      <c r="T194" s="47"/>
      <c r="U194" s="47"/>
      <c r="V194" s="47"/>
      <c r="W194" s="49"/>
      <c r="X194" s="47"/>
      <c r="Y194" s="47"/>
      <c r="Z194" s="47"/>
      <c r="AA194" s="47"/>
      <c r="AB194" s="47"/>
      <c r="AC194" s="47"/>
      <c r="AD194" s="47"/>
      <c r="AE194" s="47"/>
      <c r="AF194" s="47"/>
      <c r="AG194" s="49"/>
      <c r="AH194" s="47"/>
      <c r="AI194" s="47"/>
      <c r="AJ194" s="47"/>
      <c r="AK194" s="47"/>
      <c r="AL194" s="47"/>
      <c r="AM194" s="47"/>
      <c r="AN194" s="47"/>
      <c r="AO194" s="47"/>
      <c r="AP194" s="47"/>
      <c r="AQ194" s="49"/>
      <c r="AR194" s="47"/>
      <c r="AS194" s="47"/>
      <c r="AT194" s="47"/>
      <c r="AU194" s="47"/>
      <c r="AV194" s="47"/>
      <c r="AW194" s="47"/>
      <c r="AX194" s="47"/>
      <c r="AY194" s="47"/>
      <c r="AZ194" s="47"/>
      <c r="BA194" s="50"/>
      <c r="BB194" s="51"/>
      <c r="BC194" s="51"/>
      <c r="BD194" s="51"/>
      <c r="BE194" s="51"/>
      <c r="BF194" s="51"/>
      <c r="BG194" s="51"/>
      <c r="BH194" s="51"/>
      <c r="BI194" s="51"/>
      <c r="BJ194" s="51"/>
      <c r="BK194" s="51"/>
      <c r="BL194" s="51"/>
      <c r="BM194" s="51"/>
      <c r="BN194" s="51"/>
      <c r="BO194" s="51"/>
      <c r="BP194" s="51"/>
      <c r="BQ194" s="51"/>
      <c r="BR194" s="53"/>
      <c r="BS194" s="53"/>
      <c r="BT194" s="53"/>
      <c r="BU194" s="53"/>
      <c r="BV194" s="47" t="str">
        <f>IFERROR(__xludf.DUMMYFUNCTION("IFERROR(INDEX(motors!E:E, MATCH(1, (motors!A:A=REGEXEXTRACT(A194,""^\S+""))*(motors!B:B=BU194), 0)), """")"),"")</f>
        <v/>
      </c>
      <c r="BW194" s="47" t="str">
        <f>IFERROR(__xludf.DUMMYFUNCTION("IFERROR(INDEX(motors!F:F, MATCH(1, (motors!A:A=REGEXEXTRACT(A194,""^\S+""))*(motors!B:B=BU194), 0)), """")"),"")</f>
        <v/>
      </c>
      <c r="BX194" s="51"/>
      <c r="BY194" s="53"/>
      <c r="BZ194" s="53"/>
      <c r="CA194" s="53" t="str">
        <f>IFERROR(__xludf.DUMMYFUNCTION("IFERROR(REGEXEXTRACT(BZ194, ""(?i)[A-Z]+-D-E-([^-]+)-E""), """")"),"")</f>
        <v/>
      </c>
    </row>
    <row r="195" ht="11.25" customHeight="1">
      <c r="A195" s="55" t="s">
        <v>897</v>
      </c>
      <c r="B195" s="55">
        <v>7.4124702E7</v>
      </c>
      <c r="C195" s="56">
        <v>0.0</v>
      </c>
      <c r="D195" s="56">
        <v>45.0</v>
      </c>
      <c r="E195" s="56">
        <v>50.0</v>
      </c>
      <c r="F195" s="56">
        <v>60.0</v>
      </c>
      <c r="G195" s="56">
        <v>70.0</v>
      </c>
      <c r="H195" s="56">
        <v>80.0</v>
      </c>
      <c r="I195" s="56">
        <v>85.0</v>
      </c>
      <c r="J195" s="56">
        <v>90.0</v>
      </c>
      <c r="K195" s="56">
        <v>100.0</v>
      </c>
      <c r="L195" s="56">
        <v>110.0</v>
      </c>
      <c r="M195" s="48">
        <v>26.0817023784</v>
      </c>
      <c r="N195" s="56">
        <v>22.3</v>
      </c>
      <c r="O195" s="56">
        <v>21.7</v>
      </c>
      <c r="P195" s="56">
        <v>20.108951666399996</v>
      </c>
      <c r="Q195" s="56">
        <v>18.125583914399996</v>
      </c>
      <c r="R195" s="56">
        <v>15.8947307624</v>
      </c>
      <c r="S195" s="56">
        <v>14.645516973899994</v>
      </c>
      <c r="T195" s="56">
        <v>13.276774610399993</v>
      </c>
      <c r="U195" s="56">
        <v>10.06424985839999</v>
      </c>
      <c r="V195" s="56">
        <v>5.9818429063999865</v>
      </c>
      <c r="W195" s="49">
        <v>2.428</v>
      </c>
      <c r="X195" s="56">
        <v>3.829</v>
      </c>
      <c r="Y195" s="56">
        <v>3.982</v>
      </c>
      <c r="Z195" s="56">
        <v>4.289</v>
      </c>
      <c r="AA195" s="56">
        <v>4.565</v>
      </c>
      <c r="AB195" s="56">
        <v>4.798</v>
      </c>
      <c r="AC195" s="56">
        <v>4.897</v>
      </c>
      <c r="AD195" s="56">
        <v>4.98</v>
      </c>
      <c r="AE195" s="56">
        <v>5.094</v>
      </c>
      <c r="AF195" s="56">
        <v>5.111</v>
      </c>
      <c r="AG195" s="49">
        <v>1.018</v>
      </c>
      <c r="AH195" s="56">
        <v>1.125</v>
      </c>
      <c r="AI195" s="56">
        <v>1.137</v>
      </c>
      <c r="AJ195" s="56">
        <v>1.298</v>
      </c>
      <c r="AK195" s="56">
        <v>1.652</v>
      </c>
      <c r="AL195" s="56">
        <v>2.205</v>
      </c>
      <c r="AM195" s="56">
        <v>2.562</v>
      </c>
      <c r="AN195" s="56">
        <v>2.979</v>
      </c>
      <c r="AO195" s="56">
        <v>4.013</v>
      </c>
      <c r="AP195" s="56">
        <v>5.363</v>
      </c>
      <c r="AQ195" s="49">
        <v>0.0</v>
      </c>
      <c r="AR195" s="56">
        <v>62.0</v>
      </c>
      <c r="AS195" s="56">
        <v>66.96</v>
      </c>
      <c r="AT195" s="56">
        <v>73.26</v>
      </c>
      <c r="AU195" s="56">
        <v>77.64</v>
      </c>
      <c r="AV195" s="56">
        <v>79.84</v>
      </c>
      <c r="AW195" s="56">
        <v>80.03</v>
      </c>
      <c r="AX195" s="56">
        <v>79.57</v>
      </c>
      <c r="AY195" s="56">
        <v>76.51</v>
      </c>
      <c r="AZ195" s="56">
        <v>70.27</v>
      </c>
      <c r="BA195" s="50">
        <v>639.0</v>
      </c>
      <c r="BB195" s="57">
        <v>379.0</v>
      </c>
      <c r="BC195" s="57">
        <v>212.0</v>
      </c>
      <c r="BD195" s="57">
        <v>160.0</v>
      </c>
      <c r="BE195" s="57" t="s">
        <v>847</v>
      </c>
      <c r="BF195" s="57" t="s">
        <v>848</v>
      </c>
      <c r="BG195" s="57" t="s">
        <v>849</v>
      </c>
      <c r="BH195" s="57"/>
      <c r="BI195" s="57">
        <v>199.0</v>
      </c>
      <c r="BJ195" s="57">
        <v>250.0</v>
      </c>
      <c r="BK195" s="57">
        <v>380.0</v>
      </c>
      <c r="BL195" s="57">
        <v>280.0</v>
      </c>
      <c r="BM195" s="57">
        <v>384.0</v>
      </c>
      <c r="BN195" s="57">
        <v>140.0</v>
      </c>
      <c r="BO195" s="57">
        <v>63.0</v>
      </c>
      <c r="BP195" s="57" t="s">
        <v>735</v>
      </c>
      <c r="BQ195" s="57" t="s">
        <v>642</v>
      </c>
      <c r="BR195" s="58">
        <v>16.0</v>
      </c>
      <c r="BS195" s="59" t="s">
        <v>850</v>
      </c>
      <c r="BT195" s="59" t="s">
        <v>850</v>
      </c>
      <c r="BU195" s="58">
        <v>5.5</v>
      </c>
      <c r="BV195" s="47">
        <f>IFERROR(__xludf.DUMMYFUNCTION("IFERROR(INDEX(motors!E:E, MATCH(1, (motors!A:A=REGEXEXTRACT(A195,""^\S+""))*(motors!B:B=BU195), 0)), """")"),10.6)</f>
        <v>10.6</v>
      </c>
      <c r="BW195" s="47">
        <f>IFERROR(__xludf.DUMMYFUNCTION("IFERROR(INDEX(motors!F:F, MATCH(1, (motors!A:A=REGEXEXTRACT(A195,""^\S+""))*(motors!B:B=BU195), 0)), """")"),6.1)</f>
        <v>6.1</v>
      </c>
      <c r="BX195" s="57">
        <v>2.0</v>
      </c>
      <c r="BY195" s="58">
        <v>122.0</v>
      </c>
      <c r="BZ195" s="59" t="s">
        <v>898</v>
      </c>
      <c r="CA195" s="53" t="str">
        <f>IFERROR(__xludf.DUMMYFUNCTION("IFERROR(REGEXEXTRACT(BZ195, ""(?i)[A-Z]+-D-E-([^-]+)-E""), """")"),"HQQE")</f>
        <v>HQQE</v>
      </c>
    </row>
    <row r="196" ht="11.25" customHeight="1">
      <c r="A196" s="46" t="s">
        <v>899</v>
      </c>
      <c r="B196" s="46">
        <v>7.4124703E7</v>
      </c>
      <c r="C196" s="47">
        <v>0.0</v>
      </c>
      <c r="D196" s="47">
        <v>45.0</v>
      </c>
      <c r="E196" s="47">
        <v>50.0</v>
      </c>
      <c r="F196" s="47">
        <v>60.0</v>
      </c>
      <c r="G196" s="47">
        <v>70.0</v>
      </c>
      <c r="H196" s="47">
        <v>80.0</v>
      </c>
      <c r="I196" s="47">
        <v>85.0</v>
      </c>
      <c r="J196" s="47">
        <v>90.0</v>
      </c>
      <c r="K196" s="47">
        <v>100.0</v>
      </c>
      <c r="L196" s="47">
        <v>110.0</v>
      </c>
      <c r="M196" s="48">
        <v>35.1460839447</v>
      </c>
      <c r="N196" s="47">
        <v>30.594916456200004</v>
      </c>
      <c r="O196" s="47">
        <v>29.663486979700004</v>
      </c>
      <c r="P196" s="47">
        <v>27.575064206700002</v>
      </c>
      <c r="Q196" s="47">
        <v>25.164656173700003</v>
      </c>
      <c r="R196" s="47">
        <v>22.384081680700007</v>
      </c>
      <c r="S196" s="47">
        <v>20.832831324200004</v>
      </c>
      <c r="T196" s="47">
        <v>19.159215527700002</v>
      </c>
      <c r="U196" s="47">
        <v>15.389988514700004</v>
      </c>
      <c r="V196" s="47">
        <v>10.950387441700002</v>
      </c>
      <c r="W196" s="49">
        <v>4.785</v>
      </c>
      <c r="X196" s="47">
        <v>5.559</v>
      </c>
      <c r="Y196" s="47">
        <v>5.695</v>
      </c>
      <c r="Z196" s="47">
        <v>5.951</v>
      </c>
      <c r="AA196" s="47">
        <v>6.184</v>
      </c>
      <c r="AB196" s="47">
        <v>6.394</v>
      </c>
      <c r="AC196" s="47">
        <v>6.491</v>
      </c>
      <c r="AD196" s="47">
        <v>6.582</v>
      </c>
      <c r="AE196" s="47">
        <v>6.747</v>
      </c>
      <c r="AF196" s="47">
        <v>6.889</v>
      </c>
      <c r="AG196" s="49">
        <v>1.018</v>
      </c>
      <c r="AH196" s="47">
        <v>1.125</v>
      </c>
      <c r="AI196" s="47">
        <v>1.137</v>
      </c>
      <c r="AJ196" s="47">
        <v>1.298</v>
      </c>
      <c r="AK196" s="47">
        <v>1.652</v>
      </c>
      <c r="AL196" s="47">
        <v>2.205</v>
      </c>
      <c r="AM196" s="47">
        <v>2.562</v>
      </c>
      <c r="AN196" s="47">
        <v>2.979</v>
      </c>
      <c r="AO196" s="47">
        <v>4.013</v>
      </c>
      <c r="AP196" s="47">
        <v>5.363</v>
      </c>
      <c r="AQ196" s="49">
        <v>0.0</v>
      </c>
      <c r="AR196" s="47">
        <v>62.0</v>
      </c>
      <c r="AS196" s="47">
        <v>66.96</v>
      </c>
      <c r="AT196" s="47">
        <v>73.26</v>
      </c>
      <c r="AU196" s="47">
        <v>77.64</v>
      </c>
      <c r="AV196" s="47">
        <v>79.84</v>
      </c>
      <c r="AW196" s="47">
        <v>80.03</v>
      </c>
      <c r="AX196" s="47">
        <v>79.57</v>
      </c>
      <c r="AY196" s="47">
        <v>76.51</v>
      </c>
      <c r="AZ196" s="47">
        <v>70.27</v>
      </c>
      <c r="BA196" s="50">
        <v>639.0</v>
      </c>
      <c r="BB196" s="51">
        <v>417.0</v>
      </c>
      <c r="BC196" s="51">
        <v>212.0</v>
      </c>
      <c r="BD196" s="51">
        <v>160.0</v>
      </c>
      <c r="BE196" s="51" t="s">
        <v>847</v>
      </c>
      <c r="BF196" s="51" t="s">
        <v>848</v>
      </c>
      <c r="BG196" s="51" t="s">
        <v>849</v>
      </c>
      <c r="BH196" s="51"/>
      <c r="BI196" s="51">
        <v>199.0</v>
      </c>
      <c r="BJ196" s="51">
        <v>250.0</v>
      </c>
      <c r="BK196" s="51">
        <v>380.0</v>
      </c>
      <c r="BL196" s="51">
        <v>280.0</v>
      </c>
      <c r="BM196" s="51">
        <v>384.0</v>
      </c>
      <c r="BN196" s="51">
        <v>140.0</v>
      </c>
      <c r="BO196" s="51">
        <v>63.0</v>
      </c>
      <c r="BP196" s="51" t="s">
        <v>735</v>
      </c>
      <c r="BQ196" s="51" t="s">
        <v>642</v>
      </c>
      <c r="BR196" s="52">
        <v>16.0</v>
      </c>
      <c r="BS196" s="53" t="s">
        <v>850</v>
      </c>
      <c r="BT196" s="53" t="s">
        <v>850</v>
      </c>
      <c r="BU196" s="52">
        <v>7.5</v>
      </c>
      <c r="BV196" s="47">
        <f>IFERROR(__xludf.DUMMYFUNCTION("IFERROR(INDEX(motors!E:E, MATCH(1, (motors!A:A=REGEXEXTRACT(A196,""^\S+""))*(motors!B:B=BU196), 0)), """")"),14.4)</f>
        <v>14.4</v>
      </c>
      <c r="BW196" s="47">
        <f>IFERROR(__xludf.DUMMYFUNCTION("IFERROR(INDEX(motors!F:F, MATCH(1, (motors!A:A=REGEXEXTRACT(A196,""^\S+""))*(motors!B:B=BU196), 0)), """")"),8.3)</f>
        <v>8.3</v>
      </c>
      <c r="BX196" s="51">
        <v>2.0</v>
      </c>
      <c r="BY196" s="52">
        <v>124.0</v>
      </c>
      <c r="BZ196" s="53" t="s">
        <v>900</v>
      </c>
      <c r="CA196" s="53" t="str">
        <f>IFERROR(__xludf.DUMMYFUNCTION("IFERROR(REGEXEXTRACT(BZ196, ""(?i)[A-Z]+-D-E-([^-]+)-E""), """")"),"HQQE")</f>
        <v>HQQE</v>
      </c>
    </row>
    <row r="197" ht="11.25" customHeight="1">
      <c r="A197" s="55" t="s">
        <v>901</v>
      </c>
      <c r="B197" s="55">
        <v>7.4124704E7</v>
      </c>
      <c r="C197" s="56">
        <v>0.0</v>
      </c>
      <c r="D197" s="56">
        <v>45.0</v>
      </c>
      <c r="E197" s="56">
        <v>50.0</v>
      </c>
      <c r="F197" s="56">
        <v>60.0</v>
      </c>
      <c r="G197" s="56">
        <v>70.0</v>
      </c>
      <c r="H197" s="56">
        <v>80.0</v>
      </c>
      <c r="I197" s="56">
        <v>85.0</v>
      </c>
      <c r="J197" s="56">
        <v>90.0</v>
      </c>
      <c r="K197" s="56">
        <v>100.0</v>
      </c>
      <c r="L197" s="56">
        <v>110.0</v>
      </c>
      <c r="M197" s="48">
        <v>47.9983049134</v>
      </c>
      <c r="N197" s="56">
        <v>42.0657412399</v>
      </c>
      <c r="O197" s="56">
        <v>41.1033244984</v>
      </c>
      <c r="P197" s="56">
        <v>38.817721515399995</v>
      </c>
      <c r="Q197" s="56">
        <v>35.9307110324</v>
      </c>
      <c r="R197" s="56">
        <v>32.2852142494</v>
      </c>
      <c r="S197" s="56">
        <v>30.125002307899997</v>
      </c>
      <c r="T197" s="56">
        <v>27.709728366399997</v>
      </c>
      <c r="U197" s="56">
        <v>22.018326583399997</v>
      </c>
      <c r="V197" s="56">
        <v>15.010658100399993</v>
      </c>
      <c r="W197" s="49">
        <f t="shared" ref="W197:W198" si="3">W195*2</f>
        <v>4.856</v>
      </c>
      <c r="X197" s="56">
        <v>7.658</v>
      </c>
      <c r="Y197" s="56">
        <v>7.964</v>
      </c>
      <c r="Z197" s="56">
        <v>8.578</v>
      </c>
      <c r="AA197" s="56">
        <v>9.13</v>
      </c>
      <c r="AB197" s="56">
        <v>9.596</v>
      </c>
      <c r="AC197" s="56">
        <v>9.794</v>
      </c>
      <c r="AD197" s="56">
        <v>9.96</v>
      </c>
      <c r="AE197" s="56">
        <v>10.188</v>
      </c>
      <c r="AF197" s="56">
        <v>10.222</v>
      </c>
      <c r="AG197" s="49">
        <v>1.018</v>
      </c>
      <c r="AH197" s="56">
        <v>1.125</v>
      </c>
      <c r="AI197" s="56">
        <v>1.137</v>
      </c>
      <c r="AJ197" s="56">
        <v>1.298</v>
      </c>
      <c r="AK197" s="56">
        <v>1.652</v>
      </c>
      <c r="AL197" s="56">
        <v>2.205</v>
      </c>
      <c r="AM197" s="56">
        <v>2.562</v>
      </c>
      <c r="AN197" s="56">
        <v>2.979</v>
      </c>
      <c r="AO197" s="56">
        <v>4.013</v>
      </c>
      <c r="AP197" s="56">
        <v>5.363</v>
      </c>
      <c r="AQ197" s="49">
        <v>0.0</v>
      </c>
      <c r="AR197" s="56">
        <v>62.0</v>
      </c>
      <c r="AS197" s="56">
        <v>66.96</v>
      </c>
      <c r="AT197" s="56">
        <v>73.26</v>
      </c>
      <c r="AU197" s="56">
        <v>77.64</v>
      </c>
      <c r="AV197" s="56">
        <v>79.84</v>
      </c>
      <c r="AW197" s="56">
        <v>80.03</v>
      </c>
      <c r="AX197" s="56">
        <v>79.57</v>
      </c>
      <c r="AY197" s="56">
        <v>76.51</v>
      </c>
      <c r="AZ197" s="56">
        <v>70.27</v>
      </c>
      <c r="BA197" s="50">
        <v>761.0</v>
      </c>
      <c r="BB197" s="57">
        <v>448.0</v>
      </c>
      <c r="BC197" s="57">
        <v>255.0</v>
      </c>
      <c r="BD197" s="57">
        <v>178.0</v>
      </c>
      <c r="BE197" s="57" t="s">
        <v>847</v>
      </c>
      <c r="BF197" s="57" t="s">
        <v>848</v>
      </c>
      <c r="BG197" s="57" t="s">
        <v>849</v>
      </c>
      <c r="BH197" s="57"/>
      <c r="BI197" s="57">
        <v>199.0</v>
      </c>
      <c r="BJ197" s="57">
        <v>250.0</v>
      </c>
      <c r="BK197" s="57">
        <v>380.0</v>
      </c>
      <c r="BL197" s="57">
        <v>280.0</v>
      </c>
      <c r="BM197" s="57">
        <v>384.0</v>
      </c>
      <c r="BN197" s="57">
        <v>140.0</v>
      </c>
      <c r="BO197" s="57">
        <v>63.0</v>
      </c>
      <c r="BP197" s="57" t="s">
        <v>735</v>
      </c>
      <c r="BQ197" s="57" t="s">
        <v>642</v>
      </c>
      <c r="BR197" s="58">
        <v>16.0</v>
      </c>
      <c r="BS197" s="59" t="s">
        <v>850</v>
      </c>
      <c r="BT197" s="59" t="s">
        <v>850</v>
      </c>
      <c r="BU197" s="58">
        <v>11.0</v>
      </c>
      <c r="BV197" s="47">
        <f>IFERROR(__xludf.DUMMYFUNCTION("IFERROR(INDEX(motors!E:E, MATCH(1, (motors!A:A=REGEXEXTRACT(A197,""^\S+""))*(motors!B:B=BU197), 0)), """")"),20.6)</f>
        <v>20.6</v>
      </c>
      <c r="BW197" s="47">
        <f>IFERROR(__xludf.DUMMYFUNCTION("IFERROR(INDEX(motors!F:F, MATCH(1, (motors!A:A=REGEXEXTRACT(A197,""^\S+""))*(motors!B:B=BU197), 0)), """")"),11.9)</f>
        <v>11.9</v>
      </c>
      <c r="BX197" s="57">
        <v>2.0</v>
      </c>
      <c r="BY197" s="58">
        <v>167.0</v>
      </c>
      <c r="BZ197" s="59" t="s">
        <v>902</v>
      </c>
      <c r="CA197" s="53" t="str">
        <f>IFERROR(__xludf.DUMMYFUNCTION("IFERROR(REGEXEXTRACT(BZ197, ""(?i)[A-Z]+-D-E-([^-]+)-E""), """")"),"HQQE")</f>
        <v>HQQE</v>
      </c>
    </row>
    <row r="198" ht="11.25" customHeight="1">
      <c r="A198" s="46" t="s">
        <v>903</v>
      </c>
      <c r="B198" s="46">
        <v>7.4124705E7</v>
      </c>
      <c r="C198" s="47">
        <v>0.0</v>
      </c>
      <c r="D198" s="47">
        <v>45.0</v>
      </c>
      <c r="E198" s="47">
        <v>50.0</v>
      </c>
      <c r="F198" s="47">
        <v>60.0</v>
      </c>
      <c r="G198" s="47">
        <v>70.0</v>
      </c>
      <c r="H198" s="47">
        <v>80.0</v>
      </c>
      <c r="I198" s="47">
        <v>85.0</v>
      </c>
      <c r="J198" s="47">
        <v>90.0</v>
      </c>
      <c r="K198" s="47">
        <v>100.0</v>
      </c>
      <c r="L198" s="47">
        <v>110.0</v>
      </c>
      <c r="M198" s="48">
        <v>66.0009690598</v>
      </c>
      <c r="N198" s="47">
        <v>57.4</v>
      </c>
      <c r="O198" s="47">
        <v>56.25</v>
      </c>
      <c r="P198" s="47">
        <v>52.9331082658</v>
      </c>
      <c r="Q198" s="47">
        <v>49.2486765868</v>
      </c>
      <c r="R198" s="47">
        <v>44.962806827799994</v>
      </c>
      <c r="S198" s="47">
        <v>42.6257212933</v>
      </c>
      <c r="T198" s="47">
        <v>40.1856235888</v>
      </c>
      <c r="U198" s="47">
        <v>35.10469946980001</v>
      </c>
      <c r="V198" s="47">
        <v>29.4</v>
      </c>
      <c r="W198" s="49">
        <f t="shared" si="3"/>
        <v>9.57</v>
      </c>
      <c r="X198" s="47">
        <v>11.118</v>
      </c>
      <c r="Y198" s="47">
        <v>11.39</v>
      </c>
      <c r="Z198" s="47">
        <v>11.902</v>
      </c>
      <c r="AA198" s="47">
        <v>12.368</v>
      </c>
      <c r="AB198" s="47">
        <v>12.788</v>
      </c>
      <c r="AC198" s="47">
        <v>12.982</v>
      </c>
      <c r="AD198" s="47">
        <v>13.164</v>
      </c>
      <c r="AE198" s="47">
        <v>13.494</v>
      </c>
      <c r="AF198" s="47">
        <v>13.778</v>
      </c>
      <c r="AG198" s="49">
        <v>1.018</v>
      </c>
      <c r="AH198" s="47">
        <v>1.125</v>
      </c>
      <c r="AI198" s="47">
        <v>1.137</v>
      </c>
      <c r="AJ198" s="47">
        <v>1.298</v>
      </c>
      <c r="AK198" s="47">
        <v>1.652</v>
      </c>
      <c r="AL198" s="47">
        <v>2.205</v>
      </c>
      <c r="AM198" s="47">
        <v>2.562</v>
      </c>
      <c r="AN198" s="47">
        <v>2.979</v>
      </c>
      <c r="AO198" s="47">
        <v>4.013</v>
      </c>
      <c r="AP198" s="47">
        <v>5.363</v>
      </c>
      <c r="AQ198" s="49">
        <v>0.0</v>
      </c>
      <c r="AR198" s="47">
        <v>62.0</v>
      </c>
      <c r="AS198" s="47">
        <v>66.96</v>
      </c>
      <c r="AT198" s="47">
        <v>73.26</v>
      </c>
      <c r="AU198" s="47">
        <v>77.64</v>
      </c>
      <c r="AV198" s="47">
        <v>79.84</v>
      </c>
      <c r="AW198" s="47">
        <v>80.03</v>
      </c>
      <c r="AX198" s="47">
        <v>79.57</v>
      </c>
      <c r="AY198" s="47">
        <v>76.51</v>
      </c>
      <c r="AZ198" s="47">
        <v>70.27</v>
      </c>
      <c r="BA198" s="50">
        <v>761.0</v>
      </c>
      <c r="BB198" s="51">
        <v>489.0</v>
      </c>
      <c r="BC198" s="51">
        <v>255.0</v>
      </c>
      <c r="BD198" s="51">
        <v>178.0</v>
      </c>
      <c r="BE198" s="51" t="s">
        <v>847</v>
      </c>
      <c r="BF198" s="51" t="s">
        <v>848</v>
      </c>
      <c r="BG198" s="51" t="s">
        <v>849</v>
      </c>
      <c r="BH198" s="51"/>
      <c r="BI198" s="51">
        <v>199.0</v>
      </c>
      <c r="BJ198" s="51">
        <v>250.0</v>
      </c>
      <c r="BK198" s="51">
        <v>380.0</v>
      </c>
      <c r="BL198" s="51">
        <v>280.0</v>
      </c>
      <c r="BM198" s="51">
        <v>384.0</v>
      </c>
      <c r="BN198" s="51">
        <v>140.0</v>
      </c>
      <c r="BO198" s="51">
        <v>63.0</v>
      </c>
      <c r="BP198" s="51" t="s">
        <v>735</v>
      </c>
      <c r="BQ198" s="51" t="s">
        <v>642</v>
      </c>
      <c r="BR198" s="52">
        <v>16.0</v>
      </c>
      <c r="BS198" s="53" t="s">
        <v>850</v>
      </c>
      <c r="BT198" s="53" t="s">
        <v>850</v>
      </c>
      <c r="BU198" s="52">
        <v>15.0</v>
      </c>
      <c r="BV198" s="47">
        <f>IFERROR(__xludf.DUMMYFUNCTION("IFERROR(INDEX(motors!E:E, MATCH(1, (motors!A:A=REGEXEXTRACT(A198,""^\S+""))*(motors!B:B=BU198), 0)), """")"),27.9)</f>
        <v>27.9</v>
      </c>
      <c r="BW198" s="47">
        <f>IFERROR(__xludf.DUMMYFUNCTION("IFERROR(INDEX(motors!F:F, MATCH(1, (motors!A:A=REGEXEXTRACT(A198,""^\S+""))*(motors!B:B=BU198), 0)), """")"),16.0)</f>
        <v>16</v>
      </c>
      <c r="BX198" s="51">
        <v>2.0</v>
      </c>
      <c r="BY198" s="52">
        <v>200.0</v>
      </c>
      <c r="BZ198" s="53" t="s">
        <v>904</v>
      </c>
      <c r="CA198" s="53" t="str">
        <f>IFERROR(__xludf.DUMMYFUNCTION("IFERROR(REGEXEXTRACT(BZ198, ""(?i)[A-Z]+-D-E-([^-]+)-E""), """")"),"HQQE")</f>
        <v>HQQE</v>
      </c>
    </row>
    <row r="199" ht="11.25" customHeight="1">
      <c r="A199" s="55" t="s">
        <v>905</v>
      </c>
      <c r="B199" s="55">
        <v>7.4124706E7</v>
      </c>
      <c r="C199" s="56">
        <v>0.0</v>
      </c>
      <c r="D199" s="56">
        <v>45.0</v>
      </c>
      <c r="E199" s="56">
        <v>50.0</v>
      </c>
      <c r="F199" s="56">
        <v>60.0</v>
      </c>
      <c r="G199" s="56">
        <v>70.0</v>
      </c>
      <c r="H199" s="56">
        <v>80.0</v>
      </c>
      <c r="I199" s="56">
        <v>85.0</v>
      </c>
      <c r="J199" s="56">
        <v>90.0</v>
      </c>
      <c r="K199" s="56">
        <v>100.0</v>
      </c>
      <c r="L199" s="56">
        <v>110.0</v>
      </c>
      <c r="M199" s="48">
        <v>80.2897310552</v>
      </c>
      <c r="N199" s="56">
        <v>69.5055533117</v>
      </c>
      <c r="O199" s="56">
        <v>68.08824864019999</v>
      </c>
      <c r="P199" s="56">
        <v>64.6791226772</v>
      </c>
      <c r="Q199" s="56">
        <v>60.36274955419999</v>
      </c>
      <c r="R199" s="56">
        <v>55.0326172712</v>
      </c>
      <c r="S199" s="56">
        <v>51.97378081970001</v>
      </c>
      <c r="T199" s="56">
        <v>48.6541658282</v>
      </c>
      <c r="U199" s="56">
        <v>41.26478722520001</v>
      </c>
      <c r="V199" s="56">
        <v>32.97382546220001</v>
      </c>
      <c r="W199" s="49">
        <f>W195*2+W196</f>
        <v>9.641</v>
      </c>
      <c r="X199" s="56">
        <v>13.217</v>
      </c>
      <c r="Y199" s="56">
        <v>13.659</v>
      </c>
      <c r="Z199" s="56">
        <v>14.529</v>
      </c>
      <c r="AA199" s="56">
        <v>15.314</v>
      </c>
      <c r="AB199" s="56">
        <v>15.99</v>
      </c>
      <c r="AC199" s="56">
        <v>16.285</v>
      </c>
      <c r="AD199" s="56">
        <v>16.542</v>
      </c>
      <c r="AE199" s="56">
        <v>16.935000000000002</v>
      </c>
      <c r="AF199" s="56">
        <v>17.111</v>
      </c>
      <c r="AG199" s="49">
        <v>1.018</v>
      </c>
      <c r="AH199" s="56">
        <v>1.125</v>
      </c>
      <c r="AI199" s="56">
        <v>1.137</v>
      </c>
      <c r="AJ199" s="56">
        <v>1.298</v>
      </c>
      <c r="AK199" s="56">
        <v>1.652</v>
      </c>
      <c r="AL199" s="56">
        <v>2.205</v>
      </c>
      <c r="AM199" s="56">
        <v>2.562</v>
      </c>
      <c r="AN199" s="56">
        <v>2.979</v>
      </c>
      <c r="AO199" s="56">
        <v>4.013</v>
      </c>
      <c r="AP199" s="56">
        <v>5.363</v>
      </c>
      <c r="AQ199" s="49">
        <v>0.0</v>
      </c>
      <c r="AR199" s="56">
        <v>62.0</v>
      </c>
      <c r="AS199" s="56">
        <v>66.96</v>
      </c>
      <c r="AT199" s="56">
        <v>73.26</v>
      </c>
      <c r="AU199" s="56">
        <v>77.64</v>
      </c>
      <c r="AV199" s="56">
        <v>79.84</v>
      </c>
      <c r="AW199" s="56">
        <v>80.03</v>
      </c>
      <c r="AX199" s="56">
        <v>79.57</v>
      </c>
      <c r="AY199" s="56">
        <v>76.51</v>
      </c>
      <c r="AZ199" s="56">
        <v>70.27</v>
      </c>
      <c r="BA199" s="50">
        <v>853.0</v>
      </c>
      <c r="BB199" s="57">
        <v>542.0</v>
      </c>
      <c r="BC199" s="57">
        <v>313.0</v>
      </c>
      <c r="BD199" s="57">
        <v>257.0</v>
      </c>
      <c r="BE199" s="57" t="s">
        <v>847</v>
      </c>
      <c r="BF199" s="57" t="s">
        <v>848</v>
      </c>
      <c r="BG199" s="57" t="s">
        <v>849</v>
      </c>
      <c r="BH199" s="57"/>
      <c r="BI199" s="57">
        <v>199.0</v>
      </c>
      <c r="BJ199" s="57">
        <v>250.0</v>
      </c>
      <c r="BK199" s="57">
        <v>380.0</v>
      </c>
      <c r="BL199" s="57">
        <v>280.0</v>
      </c>
      <c r="BM199" s="57">
        <v>384.0</v>
      </c>
      <c r="BN199" s="57">
        <v>140.0</v>
      </c>
      <c r="BO199" s="57">
        <v>63.0</v>
      </c>
      <c r="BP199" s="57" t="s">
        <v>735</v>
      </c>
      <c r="BQ199" s="57" t="s">
        <v>642</v>
      </c>
      <c r="BR199" s="58">
        <v>16.0</v>
      </c>
      <c r="BS199" s="59" t="s">
        <v>850</v>
      </c>
      <c r="BT199" s="59" t="s">
        <v>850</v>
      </c>
      <c r="BU199" s="58">
        <v>18.5</v>
      </c>
      <c r="BV199" s="47">
        <f>IFERROR(__xludf.DUMMYFUNCTION("IFERROR(INDEX(motors!E:E, MATCH(1, (motors!A:A=REGEXEXTRACT(A199,""^\S+""))*(motors!B:B=BU199), 0)), """")"),34.2)</f>
        <v>34.2</v>
      </c>
      <c r="BW199" s="47">
        <f>IFERROR(__xludf.DUMMYFUNCTION("IFERROR(INDEX(motors!F:F, MATCH(1, (motors!A:A=REGEXEXTRACT(A199,""^\S+""))*(motors!B:B=BU199), 0)), """")"),19.7)</f>
        <v>19.7</v>
      </c>
      <c r="BX199" s="57">
        <v>2.0</v>
      </c>
      <c r="BY199" s="58">
        <v>214.0</v>
      </c>
      <c r="BZ199" s="59" t="s">
        <v>906</v>
      </c>
      <c r="CA199" s="53" t="str">
        <f>IFERROR(__xludf.DUMMYFUNCTION("IFERROR(REGEXEXTRACT(BZ199, ""(?i)[A-Z]+-D-E-([^-]+)-E""), """")"),"HQQE")</f>
        <v>HQQE</v>
      </c>
    </row>
    <row r="200" ht="11.25" customHeight="1">
      <c r="A200" s="46" t="s">
        <v>907</v>
      </c>
      <c r="B200" s="46">
        <v>7.4124707E7</v>
      </c>
      <c r="C200" s="47">
        <v>0.0</v>
      </c>
      <c r="D200" s="47">
        <v>45.0</v>
      </c>
      <c r="E200" s="47">
        <v>50.0</v>
      </c>
      <c r="F200" s="47">
        <v>60.0</v>
      </c>
      <c r="G200" s="47">
        <v>70.0</v>
      </c>
      <c r="H200" s="47">
        <v>80.0</v>
      </c>
      <c r="I200" s="47">
        <v>85.0</v>
      </c>
      <c r="J200" s="47">
        <v>90.0</v>
      </c>
      <c r="K200" s="47">
        <v>100.0</v>
      </c>
      <c r="L200" s="47">
        <v>110.0</v>
      </c>
      <c r="M200" s="48">
        <v>97.277136314</v>
      </c>
      <c r="N200" s="47">
        <v>85.2786136175</v>
      </c>
      <c r="O200" s="47">
        <v>83.205055329</v>
      </c>
      <c r="P200" s="47">
        <v>78.534960692</v>
      </c>
      <c r="Q200" s="47">
        <v>73.188879975</v>
      </c>
      <c r="R200" s="47">
        <v>67.231433778</v>
      </c>
      <c r="S200" s="47">
        <v>64.0558422495</v>
      </c>
      <c r="T200" s="47">
        <v>60.771858701</v>
      </c>
      <c r="U200" s="47">
        <v>53.964007343999995</v>
      </c>
      <c r="V200" s="47">
        <v>46.0</v>
      </c>
      <c r="W200" s="49">
        <f>W196*3</f>
        <v>14.355</v>
      </c>
      <c r="X200" s="47">
        <v>16.677</v>
      </c>
      <c r="Y200" s="47">
        <v>17.085</v>
      </c>
      <c r="Z200" s="47">
        <v>17.852999999999998</v>
      </c>
      <c r="AA200" s="47">
        <v>18.552</v>
      </c>
      <c r="AB200" s="47">
        <v>19.182000000000002</v>
      </c>
      <c r="AC200" s="47">
        <v>19.473</v>
      </c>
      <c r="AD200" s="47">
        <v>19.746</v>
      </c>
      <c r="AE200" s="47">
        <v>20.241</v>
      </c>
      <c r="AF200" s="47">
        <v>20.667</v>
      </c>
      <c r="AG200" s="49">
        <v>1.018</v>
      </c>
      <c r="AH200" s="47">
        <v>1.125</v>
      </c>
      <c r="AI200" s="47">
        <v>1.137</v>
      </c>
      <c r="AJ200" s="47">
        <v>1.298</v>
      </c>
      <c r="AK200" s="47">
        <v>1.652</v>
      </c>
      <c r="AL200" s="47">
        <v>2.205</v>
      </c>
      <c r="AM200" s="47">
        <v>2.562</v>
      </c>
      <c r="AN200" s="47">
        <v>2.979</v>
      </c>
      <c r="AO200" s="47">
        <v>4.013</v>
      </c>
      <c r="AP200" s="47">
        <v>5.363</v>
      </c>
      <c r="AQ200" s="49">
        <v>0.0</v>
      </c>
      <c r="AR200" s="47">
        <v>62.0</v>
      </c>
      <c r="AS200" s="47">
        <v>66.96</v>
      </c>
      <c r="AT200" s="47">
        <v>73.26</v>
      </c>
      <c r="AU200" s="47">
        <v>77.64</v>
      </c>
      <c r="AV200" s="47">
        <v>79.84</v>
      </c>
      <c r="AW200" s="47">
        <v>80.03</v>
      </c>
      <c r="AX200" s="47">
        <v>79.57</v>
      </c>
      <c r="AY200" s="47">
        <v>76.51</v>
      </c>
      <c r="AZ200" s="47">
        <v>70.27</v>
      </c>
      <c r="BA200" s="50">
        <v>853.0</v>
      </c>
      <c r="BB200" s="51">
        <v>580.0</v>
      </c>
      <c r="BC200" s="51">
        <v>356.0</v>
      </c>
      <c r="BD200" s="51">
        <v>270.0</v>
      </c>
      <c r="BE200" s="51" t="s">
        <v>847</v>
      </c>
      <c r="BF200" s="51" t="s">
        <v>848</v>
      </c>
      <c r="BG200" s="51" t="s">
        <v>849</v>
      </c>
      <c r="BH200" s="51"/>
      <c r="BI200" s="51">
        <v>199.0</v>
      </c>
      <c r="BJ200" s="51">
        <v>250.0</v>
      </c>
      <c r="BK200" s="51">
        <v>380.0</v>
      </c>
      <c r="BL200" s="51">
        <v>280.0</v>
      </c>
      <c r="BM200" s="51">
        <v>384.0</v>
      </c>
      <c r="BN200" s="51">
        <v>140.0</v>
      </c>
      <c r="BO200" s="51">
        <v>63.0</v>
      </c>
      <c r="BP200" s="51" t="s">
        <v>735</v>
      </c>
      <c r="BQ200" s="51" t="s">
        <v>642</v>
      </c>
      <c r="BR200" s="52">
        <v>16.0</v>
      </c>
      <c r="BS200" s="53" t="s">
        <v>850</v>
      </c>
      <c r="BT200" s="53" t="s">
        <v>850</v>
      </c>
      <c r="BU200" s="52">
        <v>22.0</v>
      </c>
      <c r="BV200" s="47">
        <f>IFERROR(__xludf.DUMMYFUNCTION("IFERROR(INDEX(motors!E:E, MATCH(1, (motors!A:A=REGEXEXTRACT(A200,""^\S+""))*(motors!B:B=BU200), 0)), """")"),40.5)</f>
        <v>40.5</v>
      </c>
      <c r="BW200" s="47">
        <f>IFERROR(__xludf.DUMMYFUNCTION("IFERROR(INDEX(motors!F:F, MATCH(1, (motors!A:A=REGEXEXTRACT(A200,""^\S+""))*(motors!B:B=BU200), 0)), """")"),23.3)</f>
        <v>23.3</v>
      </c>
      <c r="BX200" s="51">
        <v>2.0</v>
      </c>
      <c r="BY200" s="52">
        <v>268.0</v>
      </c>
      <c r="BZ200" s="53" t="s">
        <v>908</v>
      </c>
      <c r="CA200" s="53" t="str">
        <f>IFERROR(__xludf.DUMMYFUNCTION("IFERROR(REGEXEXTRACT(BZ200, ""(?i)[A-Z]+-D-E-([^-]+)-E""), """")"),"HQQE")</f>
        <v>HQQE</v>
      </c>
    </row>
    <row r="201" ht="11.25" customHeight="1">
      <c r="A201" s="55" t="s">
        <v>909</v>
      </c>
      <c r="B201" s="55">
        <v>7.4124708E7</v>
      </c>
      <c r="C201" s="56">
        <v>0.0</v>
      </c>
      <c r="D201" s="56">
        <v>45.0</v>
      </c>
      <c r="E201" s="56">
        <v>50.0</v>
      </c>
      <c r="F201" s="56">
        <v>60.0</v>
      </c>
      <c r="G201" s="56">
        <v>70.0</v>
      </c>
      <c r="H201" s="56">
        <v>80.0</v>
      </c>
      <c r="I201" s="56">
        <v>85.0</v>
      </c>
      <c r="J201" s="56">
        <v>90.0</v>
      </c>
      <c r="K201" s="56">
        <v>100.0</v>
      </c>
      <c r="L201" s="56">
        <v>110.0</v>
      </c>
      <c r="M201" s="48">
        <v>112.1991849135</v>
      </c>
      <c r="N201" s="56">
        <v>100.3518860895</v>
      </c>
      <c r="O201" s="56">
        <v>98.04791632850001</v>
      </c>
      <c r="P201" s="56">
        <v>92.9138564715</v>
      </c>
      <c r="Q201" s="56">
        <v>86.9820748345</v>
      </c>
      <c r="R201" s="56">
        <v>80.05721381750001</v>
      </c>
      <c r="S201" s="56">
        <v>76.1363655415</v>
      </c>
      <c r="T201" s="56">
        <v>71.85261982050001</v>
      </c>
      <c r="U201" s="56">
        <v>61.990343243500014</v>
      </c>
      <c r="V201" s="56">
        <v>50.00113848650001</v>
      </c>
      <c r="W201" s="49">
        <f>W195*2+W196*2</f>
        <v>14.426</v>
      </c>
      <c r="X201" s="56">
        <v>18.776</v>
      </c>
      <c r="Y201" s="56">
        <v>19.354</v>
      </c>
      <c r="Z201" s="56">
        <v>20.479999999999997</v>
      </c>
      <c r="AA201" s="56">
        <v>21.498</v>
      </c>
      <c r="AB201" s="56">
        <v>22.384</v>
      </c>
      <c r="AC201" s="56">
        <v>22.776</v>
      </c>
      <c r="AD201" s="56">
        <v>23.124000000000002</v>
      </c>
      <c r="AE201" s="56">
        <v>23.682000000000002</v>
      </c>
      <c r="AF201" s="56">
        <v>24.0</v>
      </c>
      <c r="AG201" s="49">
        <v>1.018</v>
      </c>
      <c r="AH201" s="56">
        <v>1.125</v>
      </c>
      <c r="AI201" s="56">
        <v>1.137</v>
      </c>
      <c r="AJ201" s="56">
        <v>1.298</v>
      </c>
      <c r="AK201" s="56">
        <v>1.652</v>
      </c>
      <c r="AL201" s="56">
        <v>2.205</v>
      </c>
      <c r="AM201" s="56">
        <v>2.562</v>
      </c>
      <c r="AN201" s="56">
        <v>2.979</v>
      </c>
      <c r="AO201" s="56">
        <v>4.013</v>
      </c>
      <c r="AP201" s="56">
        <v>5.363</v>
      </c>
      <c r="AQ201" s="49">
        <v>0.0</v>
      </c>
      <c r="AR201" s="56">
        <v>62.0</v>
      </c>
      <c r="AS201" s="56">
        <v>66.96</v>
      </c>
      <c r="AT201" s="56">
        <v>73.26</v>
      </c>
      <c r="AU201" s="56">
        <v>77.64</v>
      </c>
      <c r="AV201" s="56">
        <v>79.84</v>
      </c>
      <c r="AW201" s="56">
        <v>80.03</v>
      </c>
      <c r="AX201" s="56">
        <v>79.57</v>
      </c>
      <c r="AY201" s="56">
        <v>76.51</v>
      </c>
      <c r="AZ201" s="56">
        <v>70.27</v>
      </c>
      <c r="BA201" s="50">
        <v>945.0</v>
      </c>
      <c r="BB201" s="57">
        <v>653.0</v>
      </c>
      <c r="BC201" s="57">
        <v>395.0</v>
      </c>
      <c r="BD201" s="57">
        <v>304.0</v>
      </c>
      <c r="BE201" s="57" t="s">
        <v>847</v>
      </c>
      <c r="BF201" s="57" t="s">
        <v>848</v>
      </c>
      <c r="BG201" s="57" t="s">
        <v>849</v>
      </c>
      <c r="BH201" s="57"/>
      <c r="BI201" s="57">
        <v>199.0</v>
      </c>
      <c r="BJ201" s="57">
        <v>250.0</v>
      </c>
      <c r="BK201" s="57">
        <v>380.0</v>
      </c>
      <c r="BL201" s="57">
        <v>280.0</v>
      </c>
      <c r="BM201" s="57">
        <v>384.0</v>
      </c>
      <c r="BN201" s="57">
        <v>140.0</v>
      </c>
      <c r="BO201" s="57">
        <v>63.0</v>
      </c>
      <c r="BP201" s="57" t="s">
        <v>735</v>
      </c>
      <c r="BQ201" s="57" t="s">
        <v>642</v>
      </c>
      <c r="BR201" s="58">
        <v>16.0</v>
      </c>
      <c r="BS201" s="59" t="s">
        <v>850</v>
      </c>
      <c r="BT201" s="59" t="s">
        <v>850</v>
      </c>
      <c r="BU201" s="58">
        <v>30.0</v>
      </c>
      <c r="BV201" s="47">
        <f>IFERROR(__xludf.DUMMYFUNCTION("IFERROR(INDEX(motors!E:E, MATCH(1, (motors!A:A=REGEXEXTRACT(A201,""^\S+""))*(motors!B:B=BU201), 0)), """")"),54.9)</f>
        <v>54.9</v>
      </c>
      <c r="BW201" s="47">
        <f>IFERROR(__xludf.DUMMYFUNCTION("IFERROR(INDEX(motors!F:F, MATCH(1, (motors!A:A=REGEXEXTRACT(A201,""^\S+""))*(motors!B:B=BU201), 0)), """")"),31.6)</f>
        <v>31.6</v>
      </c>
      <c r="BX201" s="57">
        <v>2.0</v>
      </c>
      <c r="BY201" s="58">
        <v>350.0</v>
      </c>
      <c r="BZ201" s="59" t="s">
        <v>910</v>
      </c>
      <c r="CA201" s="53" t="str">
        <f>IFERROR(__xludf.DUMMYFUNCTION("IFERROR(REGEXEXTRACT(BZ201, ""(?i)[A-Z]+-D-E-([^-]+)-E""), """")"),"HQQE")</f>
        <v>HQQE</v>
      </c>
    </row>
    <row r="202" ht="11.25" customHeight="1">
      <c r="A202" s="46" t="s">
        <v>911</v>
      </c>
      <c r="B202" s="46">
        <v>7.4124709E7</v>
      </c>
      <c r="C202" s="47">
        <v>0.0</v>
      </c>
      <c r="D202" s="47">
        <v>45.0</v>
      </c>
      <c r="E202" s="47">
        <v>50.0</v>
      </c>
      <c r="F202" s="47">
        <v>60.0</v>
      </c>
      <c r="G202" s="47">
        <v>70.0</v>
      </c>
      <c r="H202" s="47">
        <v>80.0</v>
      </c>
      <c r="I202" s="47">
        <v>85.0</v>
      </c>
      <c r="J202" s="47">
        <v>90.0</v>
      </c>
      <c r="K202" s="47">
        <v>100.0</v>
      </c>
      <c r="L202" s="47">
        <v>110.0</v>
      </c>
      <c r="M202" s="48">
        <v>128.2590020848</v>
      </c>
      <c r="N202" s="47">
        <v>111.92177557029999</v>
      </c>
      <c r="O202" s="47">
        <v>109.96758860479999</v>
      </c>
      <c r="P202" s="47">
        <v>105.28400742879998</v>
      </c>
      <c r="Q202" s="47">
        <v>99.40526909279998</v>
      </c>
      <c r="R202" s="47">
        <v>92.27120259679998</v>
      </c>
      <c r="S202" s="47">
        <v>88.25639472629999</v>
      </c>
      <c r="T202" s="47">
        <v>83.97442094079997</v>
      </c>
      <c r="U202" s="47">
        <v>74.76032112479999</v>
      </c>
      <c r="V202" s="47">
        <v>64.5</v>
      </c>
      <c r="W202" s="49">
        <f>W196*4</f>
        <v>19.14</v>
      </c>
      <c r="X202" s="47">
        <v>22.236</v>
      </c>
      <c r="Y202" s="47">
        <v>22.78</v>
      </c>
      <c r="Z202" s="47">
        <v>23.804</v>
      </c>
      <c r="AA202" s="47">
        <v>24.736</v>
      </c>
      <c r="AB202" s="47">
        <v>25.576</v>
      </c>
      <c r="AC202" s="47">
        <v>25.964</v>
      </c>
      <c r="AD202" s="47">
        <v>26.328</v>
      </c>
      <c r="AE202" s="47">
        <v>26.988</v>
      </c>
      <c r="AF202" s="47">
        <v>27.556</v>
      </c>
      <c r="AG202" s="49">
        <v>1.018</v>
      </c>
      <c r="AH202" s="47">
        <v>1.125</v>
      </c>
      <c r="AI202" s="47">
        <v>1.137</v>
      </c>
      <c r="AJ202" s="47">
        <v>1.298</v>
      </c>
      <c r="AK202" s="47">
        <v>1.652</v>
      </c>
      <c r="AL202" s="47">
        <v>2.205</v>
      </c>
      <c r="AM202" s="47">
        <v>2.562</v>
      </c>
      <c r="AN202" s="47">
        <v>2.979</v>
      </c>
      <c r="AO202" s="47">
        <v>4.013</v>
      </c>
      <c r="AP202" s="47">
        <v>5.363</v>
      </c>
      <c r="AQ202" s="49">
        <v>0.0</v>
      </c>
      <c r="AR202" s="47">
        <v>62.0</v>
      </c>
      <c r="AS202" s="47">
        <v>66.96</v>
      </c>
      <c r="AT202" s="47">
        <v>73.26</v>
      </c>
      <c r="AU202" s="47">
        <v>77.64</v>
      </c>
      <c r="AV202" s="47">
        <v>79.84</v>
      </c>
      <c r="AW202" s="47">
        <v>80.03</v>
      </c>
      <c r="AX202" s="47">
        <v>79.57</v>
      </c>
      <c r="AY202" s="47">
        <v>76.51</v>
      </c>
      <c r="AZ202" s="47">
        <v>70.27</v>
      </c>
      <c r="BA202" s="50">
        <v>945.0</v>
      </c>
      <c r="BB202" s="51">
        <v>653.0</v>
      </c>
      <c r="BC202" s="51">
        <v>395.0</v>
      </c>
      <c r="BD202" s="51">
        <v>304.0</v>
      </c>
      <c r="BE202" s="51" t="s">
        <v>847</v>
      </c>
      <c r="BF202" s="51" t="s">
        <v>848</v>
      </c>
      <c r="BG202" s="51" t="s">
        <v>849</v>
      </c>
      <c r="BH202" s="51"/>
      <c r="BI202" s="51">
        <v>199.0</v>
      </c>
      <c r="BJ202" s="51">
        <v>250.0</v>
      </c>
      <c r="BK202" s="51">
        <v>380.0</v>
      </c>
      <c r="BL202" s="51">
        <v>280.0</v>
      </c>
      <c r="BM202" s="51">
        <v>384.0</v>
      </c>
      <c r="BN202" s="51">
        <v>140.0</v>
      </c>
      <c r="BO202" s="51">
        <v>63.0</v>
      </c>
      <c r="BP202" s="51" t="s">
        <v>735</v>
      </c>
      <c r="BQ202" s="51" t="s">
        <v>642</v>
      </c>
      <c r="BR202" s="52">
        <v>16.0</v>
      </c>
      <c r="BS202" s="53" t="s">
        <v>850</v>
      </c>
      <c r="BT202" s="53" t="s">
        <v>850</v>
      </c>
      <c r="BU202" s="52">
        <v>30.0</v>
      </c>
      <c r="BV202" s="47">
        <f>IFERROR(__xludf.DUMMYFUNCTION("IFERROR(INDEX(motors!E:E, MATCH(1, (motors!A:A=REGEXEXTRACT(A202,""^\S+""))*(motors!B:B=BU202), 0)), """")"),54.9)</f>
        <v>54.9</v>
      </c>
      <c r="BW202" s="47">
        <f>IFERROR(__xludf.DUMMYFUNCTION("IFERROR(INDEX(motors!F:F, MATCH(1, (motors!A:A=REGEXEXTRACT(A202,""^\S+""))*(motors!B:B=BU202), 0)), """")"),31.6)</f>
        <v>31.6</v>
      </c>
      <c r="BX202" s="51">
        <v>2.0</v>
      </c>
      <c r="BY202" s="52">
        <v>350.0</v>
      </c>
      <c r="BZ202" s="53" t="s">
        <v>912</v>
      </c>
      <c r="CA202" s="53" t="str">
        <f>IFERROR(__xludf.DUMMYFUNCTION("IFERROR(REGEXEXTRACT(BZ202, ""(?i)[A-Z]+-D-E-([^-]+)-E""), """")"),"HQQE")</f>
        <v>HQQE</v>
      </c>
    </row>
    <row r="203" ht="11.25" customHeight="1">
      <c r="A203" s="55" t="s">
        <v>913</v>
      </c>
      <c r="B203" s="55">
        <v>7.412471E7</v>
      </c>
      <c r="C203" s="56">
        <v>0.0</v>
      </c>
      <c r="D203" s="56">
        <v>45.0</v>
      </c>
      <c r="E203" s="56">
        <v>50.0</v>
      </c>
      <c r="F203" s="56">
        <v>60.0</v>
      </c>
      <c r="G203" s="56">
        <v>70.0</v>
      </c>
      <c r="H203" s="56">
        <v>80.0</v>
      </c>
      <c r="I203" s="56">
        <v>85.0</v>
      </c>
      <c r="J203" s="56">
        <v>90.0</v>
      </c>
      <c r="K203" s="56">
        <v>100.0</v>
      </c>
      <c r="L203" s="56">
        <v>110.0</v>
      </c>
      <c r="M203" s="48">
        <v>144.3897790837</v>
      </c>
      <c r="N203" s="56">
        <v>128.7355567777</v>
      </c>
      <c r="O203" s="56">
        <v>126.0085028687</v>
      </c>
      <c r="P203" s="56">
        <v>119.9836880257</v>
      </c>
      <c r="Q203" s="56">
        <v>113.0319879827</v>
      </c>
      <c r="R203" s="56">
        <v>104.8474027397</v>
      </c>
      <c r="S203" s="56">
        <v>100.1637566057</v>
      </c>
      <c r="T203" s="56">
        <v>95.00179629670001</v>
      </c>
      <c r="U203" s="56">
        <v>82.94489665370001</v>
      </c>
      <c r="V203" s="56">
        <v>68.0042958107</v>
      </c>
      <c r="W203" s="49">
        <f>W195*2+W196*3</f>
        <v>19.211</v>
      </c>
      <c r="X203" s="56">
        <v>24.335</v>
      </c>
      <c r="Y203" s="56">
        <v>25.049</v>
      </c>
      <c r="Z203" s="56">
        <v>26.430999999999997</v>
      </c>
      <c r="AA203" s="56">
        <v>27.682000000000002</v>
      </c>
      <c r="AB203" s="56">
        <v>28.778000000000002</v>
      </c>
      <c r="AC203" s="56">
        <v>29.267</v>
      </c>
      <c r="AD203" s="56">
        <v>29.706</v>
      </c>
      <c r="AE203" s="56">
        <v>30.429000000000002</v>
      </c>
      <c r="AF203" s="56">
        <v>30.889000000000003</v>
      </c>
      <c r="AG203" s="49">
        <v>1.018</v>
      </c>
      <c r="AH203" s="56">
        <v>1.125</v>
      </c>
      <c r="AI203" s="56">
        <v>1.137</v>
      </c>
      <c r="AJ203" s="56">
        <v>1.298</v>
      </c>
      <c r="AK203" s="56">
        <v>1.652</v>
      </c>
      <c r="AL203" s="56">
        <v>2.205</v>
      </c>
      <c r="AM203" s="56">
        <v>2.562</v>
      </c>
      <c r="AN203" s="56">
        <v>2.979</v>
      </c>
      <c r="AO203" s="56">
        <v>4.013</v>
      </c>
      <c r="AP203" s="56">
        <v>5.363</v>
      </c>
      <c r="AQ203" s="49">
        <v>0.0</v>
      </c>
      <c r="AR203" s="56">
        <v>62.0</v>
      </c>
      <c r="AS203" s="56">
        <v>66.96</v>
      </c>
      <c r="AT203" s="56">
        <v>73.26</v>
      </c>
      <c r="AU203" s="56">
        <v>77.64</v>
      </c>
      <c r="AV203" s="56">
        <v>79.84</v>
      </c>
      <c r="AW203" s="56">
        <v>80.03</v>
      </c>
      <c r="AX203" s="56">
        <v>79.57</v>
      </c>
      <c r="AY203" s="56">
        <v>76.51</v>
      </c>
      <c r="AZ203" s="56">
        <v>70.27</v>
      </c>
      <c r="BA203" s="50">
        <v>1037.0</v>
      </c>
      <c r="BB203" s="57">
        <v>653.0</v>
      </c>
      <c r="BC203" s="57">
        <v>395.0</v>
      </c>
      <c r="BD203" s="57">
        <v>304.0</v>
      </c>
      <c r="BE203" s="57" t="s">
        <v>847</v>
      </c>
      <c r="BF203" s="57" t="s">
        <v>879</v>
      </c>
      <c r="BG203" s="57" t="s">
        <v>880</v>
      </c>
      <c r="BH203" s="57"/>
      <c r="BI203" s="57">
        <v>199.0</v>
      </c>
      <c r="BJ203" s="57">
        <v>250.0</v>
      </c>
      <c r="BK203" s="57">
        <v>380.0</v>
      </c>
      <c r="BL203" s="57">
        <v>280.0</v>
      </c>
      <c r="BM203" s="57">
        <v>384.0</v>
      </c>
      <c r="BN203" s="57">
        <v>140.0</v>
      </c>
      <c r="BO203" s="57">
        <v>63.0</v>
      </c>
      <c r="BP203" s="57" t="s">
        <v>881</v>
      </c>
      <c r="BQ203" s="57" t="s">
        <v>642</v>
      </c>
      <c r="BR203" s="58">
        <v>25.0</v>
      </c>
      <c r="BS203" s="59" t="s">
        <v>850</v>
      </c>
      <c r="BT203" s="59" t="s">
        <v>850</v>
      </c>
      <c r="BU203" s="58">
        <v>37.0</v>
      </c>
      <c r="BV203" s="47">
        <f>IFERROR(__xludf.DUMMYFUNCTION("IFERROR(INDEX(motors!E:E, MATCH(1, (motors!A:A=REGEXEXTRACT(A203,""^\S+""))*(motors!B:B=BU203), 0)), """")"),67.4)</f>
        <v>67.4</v>
      </c>
      <c r="BW203" s="47">
        <f>IFERROR(__xludf.DUMMYFUNCTION("IFERROR(INDEX(motors!F:F, MATCH(1, (motors!A:A=REGEXEXTRACT(A203,""^\S+""))*(motors!B:B=BU203), 0)), """")"),38.8)</f>
        <v>38.8</v>
      </c>
      <c r="BX203" s="57">
        <v>2.0</v>
      </c>
      <c r="BY203" s="58">
        <v>377.0</v>
      </c>
      <c r="BZ203" s="59" t="s">
        <v>914</v>
      </c>
      <c r="CA203" s="53" t="str">
        <f>IFERROR(__xludf.DUMMYFUNCTION("IFERROR(REGEXEXTRACT(BZ203, ""(?i)[A-Z]+-D-E-([^-]+)-E""), """")"),"HQQE")</f>
        <v>HQQE</v>
      </c>
    </row>
    <row r="204" ht="11.25" customHeight="1">
      <c r="A204" s="46" t="s">
        <v>915</v>
      </c>
      <c r="B204" s="46">
        <v>7.4124711E7</v>
      </c>
      <c r="C204" s="47">
        <v>0.0</v>
      </c>
      <c r="D204" s="47">
        <v>45.0</v>
      </c>
      <c r="E204" s="47">
        <v>50.0</v>
      </c>
      <c r="F204" s="47">
        <v>60.0</v>
      </c>
      <c r="G204" s="47">
        <v>70.0</v>
      </c>
      <c r="H204" s="47">
        <v>80.0</v>
      </c>
      <c r="I204" s="47">
        <v>85.0</v>
      </c>
      <c r="J204" s="47">
        <v>90.0</v>
      </c>
      <c r="K204" s="47">
        <v>100.0</v>
      </c>
      <c r="L204" s="47">
        <v>110.0</v>
      </c>
      <c r="M204" s="48">
        <v>160.3354153372</v>
      </c>
      <c r="N204" s="47">
        <v>142.41924364570002</v>
      </c>
      <c r="O204" s="47">
        <v>139.7195002272</v>
      </c>
      <c r="P204" s="47">
        <v>133.4797525852</v>
      </c>
      <c r="Q204" s="47">
        <v>125.99440820320001</v>
      </c>
      <c r="R204" s="47">
        <v>117.1762942812</v>
      </c>
      <c r="S204" s="47">
        <v>112.2599341177</v>
      </c>
      <c r="T204" s="47">
        <v>107.0103820192</v>
      </c>
      <c r="U204" s="47">
        <v>95.5537866172</v>
      </c>
      <c r="V204" s="47">
        <v>82.93576727519999</v>
      </c>
      <c r="W204" s="49">
        <f>W196*5</f>
        <v>23.925</v>
      </c>
      <c r="X204" s="47">
        <v>27.795</v>
      </c>
      <c r="Y204" s="47">
        <v>28.475</v>
      </c>
      <c r="Z204" s="47">
        <v>29.755</v>
      </c>
      <c r="AA204" s="47">
        <v>30.92</v>
      </c>
      <c r="AB204" s="47">
        <v>31.97</v>
      </c>
      <c r="AC204" s="47">
        <v>32.455</v>
      </c>
      <c r="AD204" s="47">
        <v>32.91</v>
      </c>
      <c r="AE204" s="47">
        <v>33.735</v>
      </c>
      <c r="AF204" s="47">
        <v>34.445</v>
      </c>
      <c r="AG204" s="49">
        <v>1.018</v>
      </c>
      <c r="AH204" s="47">
        <v>1.125</v>
      </c>
      <c r="AI204" s="47">
        <v>1.137</v>
      </c>
      <c r="AJ204" s="47">
        <v>1.298</v>
      </c>
      <c r="AK204" s="47">
        <v>1.652</v>
      </c>
      <c r="AL204" s="47">
        <v>2.205</v>
      </c>
      <c r="AM204" s="47">
        <v>2.562</v>
      </c>
      <c r="AN204" s="47">
        <v>2.979</v>
      </c>
      <c r="AO204" s="47">
        <v>4.013</v>
      </c>
      <c r="AP204" s="47">
        <v>5.363</v>
      </c>
      <c r="AQ204" s="49">
        <v>0.0</v>
      </c>
      <c r="AR204" s="47">
        <v>62.0</v>
      </c>
      <c r="AS204" s="47">
        <v>66.96</v>
      </c>
      <c r="AT204" s="47">
        <v>73.26</v>
      </c>
      <c r="AU204" s="47">
        <v>77.64</v>
      </c>
      <c r="AV204" s="47">
        <v>79.84</v>
      </c>
      <c r="AW204" s="47">
        <v>80.03</v>
      </c>
      <c r="AX204" s="47">
        <v>79.57</v>
      </c>
      <c r="AY204" s="47">
        <v>76.51</v>
      </c>
      <c r="AZ204" s="47">
        <v>70.27</v>
      </c>
      <c r="BA204" s="50">
        <v>1037.0</v>
      </c>
      <c r="BB204" s="51">
        <v>653.0</v>
      </c>
      <c r="BC204" s="51">
        <v>395.0</v>
      </c>
      <c r="BD204" s="51">
        <v>304.0</v>
      </c>
      <c r="BE204" s="51" t="s">
        <v>847</v>
      </c>
      <c r="BF204" s="51" t="s">
        <v>879</v>
      </c>
      <c r="BG204" s="51" t="s">
        <v>880</v>
      </c>
      <c r="BH204" s="51"/>
      <c r="BI204" s="51">
        <v>199.0</v>
      </c>
      <c r="BJ204" s="51">
        <v>250.0</v>
      </c>
      <c r="BK204" s="51">
        <v>380.0</v>
      </c>
      <c r="BL204" s="51">
        <v>280.0</v>
      </c>
      <c r="BM204" s="51">
        <v>384.0</v>
      </c>
      <c r="BN204" s="51">
        <v>140.0</v>
      </c>
      <c r="BO204" s="51">
        <v>63.0</v>
      </c>
      <c r="BP204" s="51" t="s">
        <v>881</v>
      </c>
      <c r="BQ204" s="51" t="s">
        <v>642</v>
      </c>
      <c r="BR204" s="52">
        <v>25.0</v>
      </c>
      <c r="BS204" s="53" t="s">
        <v>850</v>
      </c>
      <c r="BT204" s="53" t="s">
        <v>850</v>
      </c>
      <c r="BU204" s="52">
        <v>37.0</v>
      </c>
      <c r="BV204" s="47">
        <f>IFERROR(__xludf.DUMMYFUNCTION("IFERROR(INDEX(motors!E:E, MATCH(1, (motors!A:A=REGEXEXTRACT(A204,""^\S+""))*(motors!B:B=BU204), 0)), """")"),67.4)</f>
        <v>67.4</v>
      </c>
      <c r="BW204" s="47">
        <f>IFERROR(__xludf.DUMMYFUNCTION("IFERROR(INDEX(motors!F:F, MATCH(1, (motors!A:A=REGEXEXTRACT(A204,""^\S+""))*(motors!B:B=BU204), 0)), """")"),38.8)</f>
        <v>38.8</v>
      </c>
      <c r="BX204" s="51">
        <v>2.0</v>
      </c>
      <c r="BY204" s="52">
        <v>377.0</v>
      </c>
      <c r="BZ204" s="53" t="s">
        <v>916</v>
      </c>
      <c r="CA204" s="53" t="str">
        <f>IFERROR(__xludf.DUMMYFUNCTION("IFERROR(REGEXEXTRACT(BZ204, ""(?i)[A-Z]+-D-E-([^-]+)-E""), """")"),"HQQE")</f>
        <v>HQQE</v>
      </c>
    </row>
    <row r="205" ht="11.25" customHeight="1">
      <c r="A205" s="55" t="s">
        <v>917</v>
      </c>
      <c r="B205" s="55">
        <v>7.4124712E7</v>
      </c>
      <c r="C205" s="56">
        <v>0.0</v>
      </c>
      <c r="D205" s="56">
        <v>45.0</v>
      </c>
      <c r="E205" s="56">
        <v>50.0</v>
      </c>
      <c r="F205" s="56">
        <v>60.0</v>
      </c>
      <c r="G205" s="56">
        <v>70.0</v>
      </c>
      <c r="H205" s="56">
        <v>80.0</v>
      </c>
      <c r="I205" s="56">
        <v>85.0</v>
      </c>
      <c r="J205" s="56">
        <v>90.0</v>
      </c>
      <c r="K205" s="56">
        <v>100.0</v>
      </c>
      <c r="L205" s="56">
        <v>110.0</v>
      </c>
      <c r="M205" s="48">
        <v>176.1478070019</v>
      </c>
      <c r="N205" s="56">
        <v>157.6</v>
      </c>
      <c r="O205" s="56">
        <v>155.4</v>
      </c>
      <c r="P205" s="56">
        <v>147.6320470119</v>
      </c>
      <c r="Q205" s="56">
        <v>139.12359344689997</v>
      </c>
      <c r="R205" s="56">
        <v>129.3509424819</v>
      </c>
      <c r="S205" s="56">
        <v>123.8541470369</v>
      </c>
      <c r="T205" s="56">
        <v>117.8561681169</v>
      </c>
      <c r="U205" s="56">
        <v>104.0096723519</v>
      </c>
      <c r="V205" s="56">
        <v>87.01018518689997</v>
      </c>
      <c r="W205" s="49">
        <f>W195*2+W196*4</f>
        <v>23.996</v>
      </c>
      <c r="X205" s="56">
        <v>29.894000000000002</v>
      </c>
      <c r="Y205" s="56">
        <v>30.744</v>
      </c>
      <c r="Z205" s="56">
        <v>32.382</v>
      </c>
      <c r="AA205" s="56">
        <v>33.866</v>
      </c>
      <c r="AB205" s="56">
        <v>35.172</v>
      </c>
      <c r="AC205" s="56">
        <v>35.757999999999996</v>
      </c>
      <c r="AD205" s="56">
        <v>36.288</v>
      </c>
      <c r="AE205" s="56">
        <v>37.176</v>
      </c>
      <c r="AF205" s="56">
        <v>37.778</v>
      </c>
      <c r="AG205" s="49">
        <v>1.018</v>
      </c>
      <c r="AH205" s="56">
        <v>1.125</v>
      </c>
      <c r="AI205" s="56">
        <v>1.137</v>
      </c>
      <c r="AJ205" s="56">
        <v>1.298</v>
      </c>
      <c r="AK205" s="56">
        <v>1.652</v>
      </c>
      <c r="AL205" s="56">
        <v>2.205</v>
      </c>
      <c r="AM205" s="56">
        <v>2.562</v>
      </c>
      <c r="AN205" s="56">
        <v>2.979</v>
      </c>
      <c r="AO205" s="56">
        <v>4.013</v>
      </c>
      <c r="AP205" s="56">
        <v>5.363</v>
      </c>
      <c r="AQ205" s="49">
        <v>0.0</v>
      </c>
      <c r="AR205" s="56">
        <v>62.0</v>
      </c>
      <c r="AS205" s="56">
        <v>66.96</v>
      </c>
      <c r="AT205" s="56">
        <v>73.26</v>
      </c>
      <c r="AU205" s="56">
        <v>77.64</v>
      </c>
      <c r="AV205" s="56">
        <v>79.84</v>
      </c>
      <c r="AW205" s="56">
        <v>80.03</v>
      </c>
      <c r="AX205" s="56">
        <v>79.57</v>
      </c>
      <c r="AY205" s="56">
        <v>76.51</v>
      </c>
      <c r="AZ205" s="56">
        <v>70.27</v>
      </c>
      <c r="BA205" s="50">
        <v>1129.0</v>
      </c>
      <c r="BB205" s="57">
        <v>700.0</v>
      </c>
      <c r="BC205" s="57">
        <v>470.0</v>
      </c>
      <c r="BD205" s="57">
        <v>345.0</v>
      </c>
      <c r="BE205" s="57" t="s">
        <v>847</v>
      </c>
      <c r="BF205" s="57" t="s">
        <v>879</v>
      </c>
      <c r="BG205" s="57" t="s">
        <v>880</v>
      </c>
      <c r="BH205" s="57"/>
      <c r="BI205" s="57">
        <v>199.0</v>
      </c>
      <c r="BJ205" s="57">
        <v>250.0</v>
      </c>
      <c r="BK205" s="57">
        <v>380.0</v>
      </c>
      <c r="BL205" s="57">
        <v>280.0</v>
      </c>
      <c r="BM205" s="57">
        <v>384.0</v>
      </c>
      <c r="BN205" s="57">
        <v>140.0</v>
      </c>
      <c r="BO205" s="57">
        <v>63.0</v>
      </c>
      <c r="BP205" s="57" t="s">
        <v>881</v>
      </c>
      <c r="BQ205" s="57" t="s">
        <v>642</v>
      </c>
      <c r="BR205" s="58">
        <v>25.0</v>
      </c>
      <c r="BS205" s="59" t="s">
        <v>850</v>
      </c>
      <c r="BT205" s="59" t="s">
        <v>850</v>
      </c>
      <c r="BU205" s="58">
        <v>45.0</v>
      </c>
      <c r="BV205" s="47">
        <f>IFERROR(__xludf.DUMMYFUNCTION("IFERROR(INDEX(motors!E:E, MATCH(1, (motors!A:A=REGEXEXTRACT(A205,""^\S+""))*(motors!B:B=BU205), 0)), """")"),80.8)</f>
        <v>80.8</v>
      </c>
      <c r="BW205" s="47">
        <f>IFERROR(__xludf.DUMMYFUNCTION("IFERROR(INDEX(motors!F:F, MATCH(1, (motors!A:A=REGEXEXTRACT(A205,""^\S+""))*(motors!B:B=BU205), 0)), """")"),46.5)</f>
        <v>46.5</v>
      </c>
      <c r="BX205" s="57">
        <v>2.0</v>
      </c>
      <c r="BY205" s="58">
        <v>440.0</v>
      </c>
      <c r="BZ205" s="59" t="s">
        <v>918</v>
      </c>
      <c r="CA205" s="53" t="str">
        <f>IFERROR(__xludf.DUMMYFUNCTION("IFERROR(REGEXEXTRACT(BZ205, ""(?i)[A-Z]+-D-E-([^-]+)-E""), """")"),"HQQE")</f>
        <v>HQQE</v>
      </c>
    </row>
    <row r="206" ht="11.25" customHeight="1">
      <c r="A206" s="46" t="s">
        <v>919</v>
      </c>
      <c r="B206" s="46">
        <v>7.4124713E7</v>
      </c>
      <c r="C206" s="47">
        <v>0.0</v>
      </c>
      <c r="D206" s="47">
        <v>45.0</v>
      </c>
      <c r="E206" s="47">
        <v>50.0</v>
      </c>
      <c r="F206" s="47">
        <v>60.0</v>
      </c>
      <c r="G206" s="47">
        <v>70.0</v>
      </c>
      <c r="H206" s="47">
        <v>80.0</v>
      </c>
      <c r="I206" s="47">
        <v>85.0</v>
      </c>
      <c r="J206" s="47">
        <v>90.0</v>
      </c>
      <c r="K206" s="47">
        <v>100.0</v>
      </c>
      <c r="L206" s="47">
        <v>110.0</v>
      </c>
      <c r="M206" s="48">
        <v>192.3397720457</v>
      </c>
      <c r="N206" s="47">
        <v>171.65607307969998</v>
      </c>
      <c r="O206" s="47">
        <v>168.0115777557</v>
      </c>
      <c r="P206" s="47">
        <v>159.9906884777</v>
      </c>
      <c r="Q206" s="47">
        <v>150.9726378597</v>
      </c>
      <c r="R206" s="47">
        <v>140.8937971017</v>
      </c>
      <c r="S206" s="47">
        <v>135.42479860769998</v>
      </c>
      <c r="T206" s="47">
        <v>129.64702540369998</v>
      </c>
      <c r="U206" s="47">
        <v>117.08166996569999</v>
      </c>
      <c r="V206" s="47">
        <v>102.5</v>
      </c>
      <c r="W206" s="49">
        <f>W196*6</f>
        <v>28.71</v>
      </c>
      <c r="X206" s="47">
        <v>33.354</v>
      </c>
      <c r="Y206" s="47">
        <v>34.17</v>
      </c>
      <c r="Z206" s="47">
        <v>35.705999999999996</v>
      </c>
      <c r="AA206" s="47">
        <v>37.104</v>
      </c>
      <c r="AB206" s="47">
        <v>38.364000000000004</v>
      </c>
      <c r="AC206" s="47">
        <v>38.946</v>
      </c>
      <c r="AD206" s="47">
        <v>39.492</v>
      </c>
      <c r="AE206" s="47">
        <v>40.482</v>
      </c>
      <c r="AF206" s="47">
        <v>41.334</v>
      </c>
      <c r="AG206" s="49">
        <v>1.018</v>
      </c>
      <c r="AH206" s="47">
        <v>1.125</v>
      </c>
      <c r="AI206" s="47">
        <v>1.137</v>
      </c>
      <c r="AJ206" s="47">
        <v>1.298</v>
      </c>
      <c r="AK206" s="47">
        <v>1.652</v>
      </c>
      <c r="AL206" s="47">
        <v>2.205</v>
      </c>
      <c r="AM206" s="47">
        <v>2.562</v>
      </c>
      <c r="AN206" s="47">
        <v>2.979</v>
      </c>
      <c r="AO206" s="47">
        <v>4.013</v>
      </c>
      <c r="AP206" s="47">
        <v>5.363</v>
      </c>
      <c r="AQ206" s="49">
        <v>0.0</v>
      </c>
      <c r="AR206" s="47">
        <v>62.0</v>
      </c>
      <c r="AS206" s="47">
        <v>66.96</v>
      </c>
      <c r="AT206" s="47">
        <v>73.26</v>
      </c>
      <c r="AU206" s="47">
        <v>77.64</v>
      </c>
      <c r="AV206" s="47">
        <v>79.84</v>
      </c>
      <c r="AW206" s="47">
        <v>80.03</v>
      </c>
      <c r="AX206" s="47">
        <v>79.57</v>
      </c>
      <c r="AY206" s="47">
        <v>76.51</v>
      </c>
      <c r="AZ206" s="47">
        <v>70.27</v>
      </c>
      <c r="BA206" s="50">
        <v>1129.0</v>
      </c>
      <c r="BB206" s="51">
        <v>700.0</v>
      </c>
      <c r="BC206" s="51">
        <v>470.0</v>
      </c>
      <c r="BD206" s="51">
        <v>345.0</v>
      </c>
      <c r="BE206" s="51" t="s">
        <v>847</v>
      </c>
      <c r="BF206" s="51" t="s">
        <v>879</v>
      </c>
      <c r="BG206" s="51" t="s">
        <v>880</v>
      </c>
      <c r="BH206" s="51"/>
      <c r="BI206" s="51">
        <v>199.0</v>
      </c>
      <c r="BJ206" s="51">
        <v>250.0</v>
      </c>
      <c r="BK206" s="51">
        <v>380.0</v>
      </c>
      <c r="BL206" s="51">
        <v>280.0</v>
      </c>
      <c r="BM206" s="51">
        <v>384.0</v>
      </c>
      <c r="BN206" s="51">
        <v>140.0</v>
      </c>
      <c r="BO206" s="51">
        <v>63.0</v>
      </c>
      <c r="BP206" s="51" t="s">
        <v>881</v>
      </c>
      <c r="BQ206" s="51" t="s">
        <v>642</v>
      </c>
      <c r="BR206" s="52">
        <v>25.0</v>
      </c>
      <c r="BS206" s="53" t="s">
        <v>850</v>
      </c>
      <c r="BT206" s="53" t="s">
        <v>850</v>
      </c>
      <c r="BU206" s="52">
        <v>45.0</v>
      </c>
      <c r="BV206" s="47">
        <f>IFERROR(__xludf.DUMMYFUNCTION("IFERROR(INDEX(motors!E:E, MATCH(1, (motors!A:A=REGEXEXTRACT(A206,""^\S+""))*(motors!B:B=BU206), 0)), """")"),80.8)</f>
        <v>80.8</v>
      </c>
      <c r="BW206" s="47">
        <f>IFERROR(__xludf.DUMMYFUNCTION("IFERROR(INDEX(motors!F:F, MATCH(1, (motors!A:A=REGEXEXTRACT(A206,""^\S+""))*(motors!B:B=BU206), 0)), """")"),46.5)</f>
        <v>46.5</v>
      </c>
      <c r="BX206" s="51">
        <v>2.0</v>
      </c>
      <c r="BY206" s="52">
        <v>440.0</v>
      </c>
      <c r="BZ206" s="53" t="s">
        <v>920</v>
      </c>
      <c r="CA206" s="53" t="str">
        <f>IFERROR(__xludf.DUMMYFUNCTION("IFERROR(REGEXEXTRACT(BZ206, ""(?i)[A-Z]+-D-E-([^-]+)-E""), """")"),"HQQE")</f>
        <v>HQQE</v>
      </c>
    </row>
    <row r="207" ht="11.25" customHeight="1">
      <c r="A207" s="55"/>
      <c r="B207" s="55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48"/>
      <c r="N207" s="56"/>
      <c r="O207" s="56"/>
      <c r="P207" s="56"/>
      <c r="Q207" s="56"/>
      <c r="R207" s="56"/>
      <c r="S207" s="56"/>
      <c r="T207" s="56"/>
      <c r="U207" s="56"/>
      <c r="V207" s="56"/>
      <c r="W207" s="49"/>
      <c r="X207" s="56"/>
      <c r="Y207" s="56"/>
      <c r="Z207" s="56"/>
      <c r="AA207" s="56"/>
      <c r="AB207" s="56"/>
      <c r="AC207" s="56"/>
      <c r="AD207" s="56"/>
      <c r="AE207" s="56"/>
      <c r="AF207" s="56"/>
      <c r="AG207" s="49"/>
      <c r="AH207" s="56"/>
      <c r="AI207" s="56"/>
      <c r="AJ207" s="56"/>
      <c r="AK207" s="56"/>
      <c r="AL207" s="56"/>
      <c r="AM207" s="56"/>
      <c r="AN207" s="56"/>
      <c r="AO207" s="56"/>
      <c r="AP207" s="56"/>
      <c r="AQ207" s="49"/>
      <c r="AR207" s="56"/>
      <c r="AS207" s="56"/>
      <c r="AT207" s="56"/>
      <c r="AU207" s="56"/>
      <c r="AV207" s="56"/>
      <c r="AW207" s="56"/>
      <c r="AX207" s="56"/>
      <c r="AY207" s="56"/>
      <c r="AZ207" s="56"/>
      <c r="BA207" s="50"/>
      <c r="BB207" s="57"/>
      <c r="BC207" s="57"/>
      <c r="BD207" s="57"/>
      <c r="BE207" s="57"/>
      <c r="BF207" s="57"/>
      <c r="BG207" s="57"/>
      <c r="BH207" s="57"/>
      <c r="BI207" s="57"/>
      <c r="BJ207" s="57"/>
      <c r="BK207" s="57"/>
      <c r="BL207" s="57"/>
      <c r="BM207" s="57"/>
      <c r="BN207" s="57"/>
      <c r="BO207" s="57"/>
      <c r="BP207" s="57"/>
      <c r="BQ207" s="57"/>
      <c r="BR207" s="59"/>
      <c r="BS207" s="59"/>
      <c r="BT207" s="59"/>
      <c r="BU207" s="59"/>
      <c r="BV207" s="47" t="str">
        <f>IFERROR(__xludf.DUMMYFUNCTION("IFERROR(INDEX(motors!E:E, MATCH(1, (motors!A:A=REGEXEXTRACT(A207,""^\S+""))*(motors!B:B=BU207), 0)), """")"),"")</f>
        <v/>
      </c>
      <c r="BW207" s="47" t="str">
        <f>IFERROR(__xludf.DUMMYFUNCTION("IFERROR(INDEX(motors!F:F, MATCH(1, (motors!A:A=REGEXEXTRACT(A207,""^\S+""))*(motors!B:B=BU207), 0)), """")"),"")</f>
        <v/>
      </c>
      <c r="BX207" s="57"/>
      <c r="BY207" s="59"/>
      <c r="BZ207" s="59"/>
      <c r="CA207" s="53" t="str">
        <f>IFERROR(__xludf.DUMMYFUNCTION("IFERROR(REGEXEXTRACT(BZ207, ""(?i)[A-Z]+-D-E-([^-]+)-E""), """")"),"")</f>
        <v/>
      </c>
    </row>
    <row r="208" ht="11.25" customHeight="1">
      <c r="A208" s="46" t="s">
        <v>921</v>
      </c>
      <c r="B208" s="46">
        <v>7.4125701E7</v>
      </c>
      <c r="C208" s="47">
        <v>0.0</v>
      </c>
      <c r="D208" s="47">
        <v>60.0</v>
      </c>
      <c r="E208" s="47">
        <v>80.0</v>
      </c>
      <c r="F208" s="47">
        <v>90.0</v>
      </c>
      <c r="G208" s="47">
        <v>100.0</v>
      </c>
      <c r="H208" s="47">
        <v>110.0</v>
      </c>
      <c r="I208" s="47">
        <v>120.0</v>
      </c>
      <c r="J208" s="47">
        <v>130.0</v>
      </c>
      <c r="K208" s="47">
        <v>140.0</v>
      </c>
      <c r="L208" s="47">
        <v>150.0</v>
      </c>
      <c r="M208" s="48">
        <v>22.918353895</v>
      </c>
      <c r="N208" s="47">
        <v>22.162434000999998</v>
      </c>
      <c r="O208" s="47">
        <v>21.466860222999998</v>
      </c>
      <c r="P208" s="47">
        <v>20.962398844</v>
      </c>
      <c r="Q208" s="47">
        <v>20.331710205</v>
      </c>
      <c r="R208" s="47">
        <v>19.558461106</v>
      </c>
      <c r="S208" s="47">
        <v>18.626318347</v>
      </c>
      <c r="T208" s="47">
        <v>17.518948727999998</v>
      </c>
      <c r="U208" s="47">
        <v>16.220019049</v>
      </c>
      <c r="V208" s="47">
        <v>14.85</v>
      </c>
      <c r="W208" s="49">
        <v>7.054</v>
      </c>
      <c r="X208" s="47">
        <v>8.344</v>
      </c>
      <c r="Y208" s="47">
        <v>8.747</v>
      </c>
      <c r="Z208" s="47">
        <v>8.936</v>
      </c>
      <c r="AA208" s="47">
        <v>9.115</v>
      </c>
      <c r="AB208" s="47">
        <v>9.282</v>
      </c>
      <c r="AC208" s="47">
        <v>9.428</v>
      </c>
      <c r="AD208" s="47">
        <v>9.546</v>
      </c>
      <c r="AE208" s="47">
        <v>9.611</v>
      </c>
      <c r="AF208" s="47">
        <v>9.5</v>
      </c>
      <c r="AG208" s="49">
        <v>2.4</v>
      </c>
      <c r="AH208" s="47">
        <v>2.44</v>
      </c>
      <c r="AI208" s="47">
        <v>2.58</v>
      </c>
      <c r="AJ208" s="47">
        <v>2.72</v>
      </c>
      <c r="AK208" s="47">
        <v>2.91</v>
      </c>
      <c r="AL208" s="47">
        <v>3.22</v>
      </c>
      <c r="AM208" s="47">
        <v>3.71</v>
      </c>
      <c r="AN208" s="47">
        <v>4.48</v>
      </c>
      <c r="AO208" s="47">
        <v>5.72</v>
      </c>
      <c r="AP208" s="47">
        <v>8.16</v>
      </c>
      <c r="AQ208" s="49">
        <v>0.0</v>
      </c>
      <c r="AR208" s="47">
        <v>52.61</v>
      </c>
      <c r="AS208" s="47">
        <v>63.52</v>
      </c>
      <c r="AT208" s="47">
        <v>67.53</v>
      </c>
      <c r="AU208" s="47">
        <v>70.57</v>
      </c>
      <c r="AV208" s="47">
        <v>72.68</v>
      </c>
      <c r="AW208" s="47">
        <v>73.84</v>
      </c>
      <c r="AX208" s="47">
        <v>74.07</v>
      </c>
      <c r="AY208" s="47">
        <v>73.38</v>
      </c>
      <c r="AZ208" s="47">
        <v>71.75</v>
      </c>
      <c r="BA208" s="50">
        <v>834.0</v>
      </c>
      <c r="BB208" s="51">
        <v>448.0</v>
      </c>
      <c r="BC208" s="51">
        <v>255.0</v>
      </c>
      <c r="BD208" s="51">
        <v>182.0</v>
      </c>
      <c r="BE208" s="51" t="s">
        <v>639</v>
      </c>
      <c r="BF208" s="51" t="s">
        <v>922</v>
      </c>
      <c r="BG208" s="51" t="s">
        <v>923</v>
      </c>
      <c r="BH208" s="51" t="s">
        <v>924</v>
      </c>
      <c r="BI208" s="51">
        <v>275.0</v>
      </c>
      <c r="BJ208" s="51">
        <v>340.0</v>
      </c>
      <c r="BK208" s="51">
        <v>380.0</v>
      </c>
      <c r="BL208" s="51">
        <v>425.0</v>
      </c>
      <c r="BM208" s="51">
        <v>500.0</v>
      </c>
      <c r="BN208" s="51">
        <v>180.0</v>
      </c>
      <c r="BO208" s="51">
        <v>56.0</v>
      </c>
      <c r="BP208" s="51" t="s">
        <v>925</v>
      </c>
      <c r="BQ208" s="51" t="s">
        <v>926</v>
      </c>
      <c r="BR208" s="52">
        <v>25.0</v>
      </c>
      <c r="BS208" s="53" t="s">
        <v>927</v>
      </c>
      <c r="BT208" s="53" t="s">
        <v>927</v>
      </c>
      <c r="BU208" s="52">
        <v>11.0</v>
      </c>
      <c r="BV208" s="47">
        <f>IFERROR(__xludf.DUMMYFUNCTION("IFERROR(INDEX(motors!E:E, MATCH(1, (motors!A:A=REGEXEXTRACT(A208,""^\S+""))*(motors!B:B=BU208), 0)), """")"),20.6)</f>
        <v>20.6</v>
      </c>
      <c r="BW208" s="47">
        <f>IFERROR(__xludf.DUMMYFUNCTION("IFERROR(INDEX(motors!F:F, MATCH(1, (motors!A:A=REGEXEXTRACT(A208,""^\S+""))*(motors!B:B=BU208), 0)), """")"),11.9)</f>
        <v>11.9</v>
      </c>
      <c r="BX208" s="51">
        <v>2.0</v>
      </c>
      <c r="BY208" s="52">
        <v>230.0</v>
      </c>
      <c r="BZ208" s="53" t="s">
        <v>928</v>
      </c>
      <c r="CA208" s="53" t="str">
        <f>IFERROR(__xludf.DUMMYFUNCTION("IFERROR(REGEXEXTRACT(BZ208, ""(?i)[A-Z]+-D-E-([^-]+)-E""), """")"),"HUBE")</f>
        <v>HUBE</v>
      </c>
    </row>
    <row r="209" ht="11.25" customHeight="1">
      <c r="A209" s="55" t="s">
        <v>929</v>
      </c>
      <c r="B209" s="55">
        <v>7.4125703E7</v>
      </c>
      <c r="C209" s="56">
        <v>0.0</v>
      </c>
      <c r="D209" s="56">
        <v>60.0</v>
      </c>
      <c r="E209" s="56">
        <v>80.0</v>
      </c>
      <c r="F209" s="56">
        <v>90.0</v>
      </c>
      <c r="G209" s="56">
        <v>100.0</v>
      </c>
      <c r="H209" s="56">
        <v>110.0</v>
      </c>
      <c r="I209" s="56">
        <v>120.0</v>
      </c>
      <c r="J209" s="56">
        <v>130.0</v>
      </c>
      <c r="K209" s="56">
        <v>140.0</v>
      </c>
      <c r="L209" s="56">
        <v>150.0</v>
      </c>
      <c r="M209" s="48">
        <v>36.710702406</v>
      </c>
      <c r="N209" s="56">
        <v>34.058251302</v>
      </c>
      <c r="O209" s="56">
        <v>32.592341734</v>
      </c>
      <c r="P209" s="56">
        <v>31.712048100000004</v>
      </c>
      <c r="Q209" s="56">
        <v>30.722192566000004</v>
      </c>
      <c r="R209" s="56">
        <v>29.614273132</v>
      </c>
      <c r="S209" s="56">
        <v>28.379787798000002</v>
      </c>
      <c r="T209" s="56">
        <v>27.010234564</v>
      </c>
      <c r="U209" s="56">
        <v>25.497111430000004</v>
      </c>
      <c r="V209" s="56">
        <v>23.831916396</v>
      </c>
      <c r="W209" s="49">
        <v>7.534</v>
      </c>
      <c r="X209" s="56">
        <v>10.87</v>
      </c>
      <c r="Y209" s="56">
        <v>11.92</v>
      </c>
      <c r="Z209" s="56">
        <v>12.424</v>
      </c>
      <c r="AA209" s="56">
        <v>12.908</v>
      </c>
      <c r="AB209" s="56">
        <v>13.366</v>
      </c>
      <c r="AC209" s="56">
        <v>13.784</v>
      </c>
      <c r="AD209" s="56">
        <v>14.146</v>
      </c>
      <c r="AE209" s="56">
        <v>14.398</v>
      </c>
      <c r="AF209" s="56">
        <v>14.286</v>
      </c>
      <c r="AG209" s="49">
        <v>2.4</v>
      </c>
      <c r="AH209" s="56">
        <v>2.44</v>
      </c>
      <c r="AI209" s="56">
        <v>2.58</v>
      </c>
      <c r="AJ209" s="56">
        <v>2.72</v>
      </c>
      <c r="AK209" s="56">
        <v>2.91</v>
      </c>
      <c r="AL209" s="56">
        <v>3.22</v>
      </c>
      <c r="AM209" s="56">
        <v>3.71</v>
      </c>
      <c r="AN209" s="56">
        <v>4.48</v>
      </c>
      <c r="AO209" s="56">
        <v>5.72</v>
      </c>
      <c r="AP209" s="56">
        <v>8.16</v>
      </c>
      <c r="AQ209" s="49">
        <v>0.0</v>
      </c>
      <c r="AR209" s="56">
        <v>52.61</v>
      </c>
      <c r="AS209" s="56">
        <v>63.52</v>
      </c>
      <c r="AT209" s="56">
        <v>67.53</v>
      </c>
      <c r="AU209" s="56">
        <v>70.57</v>
      </c>
      <c r="AV209" s="56">
        <v>72.68</v>
      </c>
      <c r="AW209" s="56">
        <v>73.84</v>
      </c>
      <c r="AX209" s="56">
        <v>74.07</v>
      </c>
      <c r="AY209" s="56">
        <v>73.38</v>
      </c>
      <c r="AZ209" s="56">
        <v>71.75</v>
      </c>
      <c r="BA209" s="50">
        <v>986.0</v>
      </c>
      <c r="BB209" s="57">
        <v>489.0</v>
      </c>
      <c r="BC209" s="57">
        <v>255.0</v>
      </c>
      <c r="BD209" s="57">
        <v>182.0</v>
      </c>
      <c r="BE209" s="57" t="s">
        <v>639</v>
      </c>
      <c r="BF209" s="57" t="s">
        <v>922</v>
      </c>
      <c r="BG209" s="57" t="s">
        <v>923</v>
      </c>
      <c r="BH209" s="57" t="s">
        <v>924</v>
      </c>
      <c r="BI209" s="57">
        <v>275.0</v>
      </c>
      <c r="BJ209" s="57">
        <v>340.0</v>
      </c>
      <c r="BK209" s="57">
        <v>380.0</v>
      </c>
      <c r="BL209" s="57">
        <v>425.0</v>
      </c>
      <c r="BM209" s="57">
        <v>500.0</v>
      </c>
      <c r="BN209" s="57">
        <v>180.0</v>
      </c>
      <c r="BO209" s="57">
        <v>56.0</v>
      </c>
      <c r="BP209" s="57" t="s">
        <v>925</v>
      </c>
      <c r="BQ209" s="57" t="s">
        <v>926</v>
      </c>
      <c r="BR209" s="58">
        <v>25.0</v>
      </c>
      <c r="BS209" s="59" t="s">
        <v>927</v>
      </c>
      <c r="BT209" s="59" t="s">
        <v>927</v>
      </c>
      <c r="BU209" s="58">
        <v>15.0</v>
      </c>
      <c r="BV209" s="47">
        <f>IFERROR(__xludf.DUMMYFUNCTION("IFERROR(INDEX(motors!E:E, MATCH(1, (motors!A:A=REGEXEXTRACT(A209,""^\S+""))*(motors!B:B=BU209), 0)), """")"),27.9)</f>
        <v>27.9</v>
      </c>
      <c r="BW209" s="47">
        <f>IFERROR(__xludf.DUMMYFUNCTION("IFERROR(INDEX(motors!F:F, MATCH(1, (motors!A:A=REGEXEXTRACT(A209,""^\S+""))*(motors!B:B=BU209), 0)), """")"),16.0)</f>
        <v>16</v>
      </c>
      <c r="BX209" s="57">
        <v>2.0</v>
      </c>
      <c r="BY209" s="58">
        <v>245.0</v>
      </c>
      <c r="BZ209" s="59" t="s">
        <v>930</v>
      </c>
      <c r="CA209" s="53" t="str">
        <f>IFERROR(__xludf.DUMMYFUNCTION("IFERROR(REGEXEXTRACT(BZ209, ""(?i)[A-Z]+-D-E-([^-]+)-E""), """")"),"HUBE")</f>
        <v>HUBE</v>
      </c>
    </row>
    <row r="210" ht="11.25" customHeight="1">
      <c r="A210" s="46" t="s">
        <v>931</v>
      </c>
      <c r="B210" s="46">
        <v>7.4125702E7</v>
      </c>
      <c r="C210" s="47">
        <v>0.0</v>
      </c>
      <c r="D210" s="47">
        <v>60.0</v>
      </c>
      <c r="E210" s="47">
        <v>80.0</v>
      </c>
      <c r="F210" s="47">
        <v>90.0</v>
      </c>
      <c r="G210" s="47">
        <v>100.0</v>
      </c>
      <c r="H210" s="47">
        <v>110.0</v>
      </c>
      <c r="I210" s="47">
        <v>120.0</v>
      </c>
      <c r="J210" s="47">
        <v>130.0</v>
      </c>
      <c r="K210" s="47">
        <v>140.0</v>
      </c>
      <c r="L210" s="47">
        <v>150.0</v>
      </c>
      <c r="M210" s="48">
        <v>42.7816715994</v>
      </c>
      <c r="N210" s="47">
        <v>40.7017667934</v>
      </c>
      <c r="O210" s="47">
        <v>39.4893048714</v>
      </c>
      <c r="P210" s="47">
        <v>38.6218683504</v>
      </c>
      <c r="Q210" s="47">
        <v>37.5317427894</v>
      </c>
      <c r="R210" s="47">
        <v>36.1825141884</v>
      </c>
      <c r="S210" s="47">
        <v>34.5377685474</v>
      </c>
      <c r="T210" s="47">
        <v>32.5610918664</v>
      </c>
      <c r="U210" s="47">
        <v>30.2160701454</v>
      </c>
      <c r="V210" s="47">
        <v>27.2</v>
      </c>
      <c r="W210" s="49">
        <f>W209/2+W208</f>
        <v>10.821</v>
      </c>
      <c r="X210" s="47">
        <v>13.779</v>
      </c>
      <c r="Y210" s="47">
        <v>14.707</v>
      </c>
      <c r="Z210" s="47">
        <v>15.148</v>
      </c>
      <c r="AA210" s="47">
        <v>15.568999999999999</v>
      </c>
      <c r="AB210" s="47">
        <v>15.965</v>
      </c>
      <c r="AC210" s="47">
        <v>16.32</v>
      </c>
      <c r="AD210" s="47">
        <v>16.619</v>
      </c>
      <c r="AE210" s="47">
        <v>16.810000000000002</v>
      </c>
      <c r="AF210" s="47">
        <v>16.643</v>
      </c>
      <c r="AG210" s="49">
        <v>2.4</v>
      </c>
      <c r="AH210" s="47">
        <v>2.44</v>
      </c>
      <c r="AI210" s="47">
        <v>2.58</v>
      </c>
      <c r="AJ210" s="47">
        <v>2.72</v>
      </c>
      <c r="AK210" s="47">
        <v>2.91</v>
      </c>
      <c r="AL210" s="47">
        <v>3.22</v>
      </c>
      <c r="AM210" s="47">
        <v>3.71</v>
      </c>
      <c r="AN210" s="47">
        <v>4.48</v>
      </c>
      <c r="AO210" s="47">
        <v>5.72</v>
      </c>
      <c r="AP210" s="47">
        <v>8.16</v>
      </c>
      <c r="AQ210" s="49">
        <v>0.0</v>
      </c>
      <c r="AR210" s="47">
        <v>52.61</v>
      </c>
      <c r="AS210" s="47">
        <v>63.52</v>
      </c>
      <c r="AT210" s="47">
        <v>67.53</v>
      </c>
      <c r="AU210" s="47">
        <v>70.57</v>
      </c>
      <c r="AV210" s="47">
        <v>72.68</v>
      </c>
      <c r="AW210" s="47">
        <v>73.84</v>
      </c>
      <c r="AX210" s="47">
        <v>74.07</v>
      </c>
      <c r="AY210" s="47">
        <v>73.38</v>
      </c>
      <c r="AZ210" s="47">
        <v>71.75</v>
      </c>
      <c r="BA210" s="50">
        <v>986.0</v>
      </c>
      <c r="BB210" s="51">
        <v>542.0</v>
      </c>
      <c r="BC210" s="51">
        <v>313.0</v>
      </c>
      <c r="BD210" s="51">
        <v>257.0</v>
      </c>
      <c r="BE210" s="51" t="s">
        <v>639</v>
      </c>
      <c r="BF210" s="51" t="s">
        <v>922</v>
      </c>
      <c r="BG210" s="51" t="s">
        <v>923</v>
      </c>
      <c r="BH210" s="51" t="s">
        <v>924</v>
      </c>
      <c r="BI210" s="51">
        <v>275.0</v>
      </c>
      <c r="BJ210" s="51">
        <v>340.0</v>
      </c>
      <c r="BK210" s="51">
        <v>380.0</v>
      </c>
      <c r="BL210" s="51">
        <v>425.0</v>
      </c>
      <c r="BM210" s="51">
        <v>500.0</v>
      </c>
      <c r="BN210" s="51">
        <v>180.0</v>
      </c>
      <c r="BO210" s="51">
        <v>56.0</v>
      </c>
      <c r="BP210" s="51" t="s">
        <v>925</v>
      </c>
      <c r="BQ210" s="51" t="s">
        <v>926</v>
      </c>
      <c r="BR210" s="52">
        <v>25.0</v>
      </c>
      <c r="BS210" s="53" t="s">
        <v>927</v>
      </c>
      <c r="BT210" s="53" t="s">
        <v>927</v>
      </c>
      <c r="BU210" s="52">
        <v>18.5</v>
      </c>
      <c r="BV210" s="47">
        <f>IFERROR(__xludf.DUMMYFUNCTION("IFERROR(INDEX(motors!E:E, MATCH(1, (motors!A:A=REGEXEXTRACT(A210,""^\S+""))*(motors!B:B=BU210), 0)), """")"),34.2)</f>
        <v>34.2</v>
      </c>
      <c r="BW210" s="47">
        <f>IFERROR(__xludf.DUMMYFUNCTION("IFERROR(INDEX(motors!F:F, MATCH(1, (motors!A:A=REGEXEXTRACT(A210,""^\S+""))*(motors!B:B=BU210), 0)), """")"),19.7)</f>
        <v>19.7</v>
      </c>
      <c r="BX210" s="51">
        <v>2.0</v>
      </c>
      <c r="BY210" s="52">
        <v>250.0</v>
      </c>
      <c r="BZ210" s="53" t="s">
        <v>932</v>
      </c>
      <c r="CA210" s="53" t="str">
        <f>IFERROR(__xludf.DUMMYFUNCTION("IFERROR(REGEXEXTRACT(BZ210, ""(?i)[A-Z]+-D-E-([^-]+)-E""), """")"),"HUBE")</f>
        <v>HUBE</v>
      </c>
    </row>
    <row r="211" ht="11.25" customHeight="1">
      <c r="A211" s="55" t="s">
        <v>933</v>
      </c>
      <c r="B211" s="55">
        <v>7.4125704E7</v>
      </c>
      <c r="C211" s="56">
        <v>0.0</v>
      </c>
      <c r="D211" s="56">
        <v>60.0</v>
      </c>
      <c r="E211" s="56">
        <v>80.0</v>
      </c>
      <c r="F211" s="56">
        <v>90.0</v>
      </c>
      <c r="G211" s="56">
        <v>100.0</v>
      </c>
      <c r="H211" s="56">
        <v>110.0</v>
      </c>
      <c r="I211" s="56">
        <v>120.0</v>
      </c>
      <c r="J211" s="56">
        <v>130.0</v>
      </c>
      <c r="K211" s="56">
        <v>140.0</v>
      </c>
      <c r="L211" s="56">
        <v>150.0</v>
      </c>
      <c r="M211" s="48">
        <v>48.2546070558</v>
      </c>
      <c r="N211" s="56">
        <v>45.7955788398</v>
      </c>
      <c r="O211" s="56">
        <v>44.441695407800005</v>
      </c>
      <c r="P211" s="56">
        <v>43.5504527118</v>
      </c>
      <c r="Q211" s="56">
        <v>42.482524295800005</v>
      </c>
      <c r="R211" s="56">
        <v>41.2125463598</v>
      </c>
      <c r="S211" s="56">
        <v>39.7151551038</v>
      </c>
      <c r="T211" s="56">
        <v>37.9649867278</v>
      </c>
      <c r="U211" s="56">
        <v>35.9366774318</v>
      </c>
      <c r="V211" s="56">
        <v>33.2</v>
      </c>
      <c r="W211" s="49">
        <f>W208*2</f>
        <v>14.108</v>
      </c>
      <c r="X211" s="56">
        <v>16.688</v>
      </c>
      <c r="Y211" s="56">
        <v>17.494</v>
      </c>
      <c r="Z211" s="56">
        <v>17.872</v>
      </c>
      <c r="AA211" s="56">
        <v>18.23</v>
      </c>
      <c r="AB211" s="56">
        <v>18.564</v>
      </c>
      <c r="AC211" s="56">
        <v>18.856</v>
      </c>
      <c r="AD211" s="56">
        <v>19.092</v>
      </c>
      <c r="AE211" s="56">
        <v>19.222</v>
      </c>
      <c r="AF211" s="56">
        <v>19.0</v>
      </c>
      <c r="AG211" s="49">
        <v>2.4</v>
      </c>
      <c r="AH211" s="56">
        <v>2.44</v>
      </c>
      <c r="AI211" s="56">
        <v>2.58</v>
      </c>
      <c r="AJ211" s="56">
        <v>2.72</v>
      </c>
      <c r="AK211" s="56">
        <v>2.91</v>
      </c>
      <c r="AL211" s="56">
        <v>3.22</v>
      </c>
      <c r="AM211" s="56">
        <v>3.71</v>
      </c>
      <c r="AN211" s="56">
        <v>4.48</v>
      </c>
      <c r="AO211" s="56">
        <v>5.72</v>
      </c>
      <c r="AP211" s="56">
        <v>8.16</v>
      </c>
      <c r="AQ211" s="49">
        <v>0.0</v>
      </c>
      <c r="AR211" s="56">
        <v>52.61</v>
      </c>
      <c r="AS211" s="56">
        <v>63.52</v>
      </c>
      <c r="AT211" s="56">
        <v>67.53</v>
      </c>
      <c r="AU211" s="56">
        <v>70.57</v>
      </c>
      <c r="AV211" s="56">
        <v>72.68</v>
      </c>
      <c r="AW211" s="56">
        <v>73.84</v>
      </c>
      <c r="AX211" s="56">
        <v>74.07</v>
      </c>
      <c r="AY211" s="56">
        <v>73.38</v>
      </c>
      <c r="AZ211" s="56">
        <v>71.75</v>
      </c>
      <c r="BA211" s="50">
        <v>986.0</v>
      </c>
      <c r="BB211" s="57">
        <v>580.0</v>
      </c>
      <c r="BC211" s="57">
        <v>356.0</v>
      </c>
      <c r="BD211" s="57">
        <v>270.0</v>
      </c>
      <c r="BE211" s="57" t="s">
        <v>639</v>
      </c>
      <c r="BF211" s="57" t="s">
        <v>922</v>
      </c>
      <c r="BG211" s="57" t="s">
        <v>923</v>
      </c>
      <c r="BH211" s="57" t="s">
        <v>924</v>
      </c>
      <c r="BI211" s="57">
        <v>275.0</v>
      </c>
      <c r="BJ211" s="57">
        <v>340.0</v>
      </c>
      <c r="BK211" s="57">
        <v>380.0</v>
      </c>
      <c r="BL211" s="57">
        <v>425.0</v>
      </c>
      <c r="BM211" s="57">
        <v>500.0</v>
      </c>
      <c r="BN211" s="57">
        <v>180.0</v>
      </c>
      <c r="BO211" s="57">
        <v>56.0</v>
      </c>
      <c r="BP211" s="57" t="s">
        <v>925</v>
      </c>
      <c r="BQ211" s="57" t="s">
        <v>926</v>
      </c>
      <c r="BR211" s="58">
        <v>25.0</v>
      </c>
      <c r="BS211" s="59" t="s">
        <v>927</v>
      </c>
      <c r="BT211" s="59" t="s">
        <v>927</v>
      </c>
      <c r="BU211" s="58">
        <v>22.0</v>
      </c>
      <c r="BV211" s="47">
        <f>IFERROR(__xludf.DUMMYFUNCTION("IFERROR(INDEX(motors!E:E, MATCH(1, (motors!A:A=REGEXEXTRACT(A211,""^\S+""))*(motors!B:B=BU211), 0)), """")"),40.5)</f>
        <v>40.5</v>
      </c>
      <c r="BW211" s="47">
        <f>IFERROR(__xludf.DUMMYFUNCTION("IFERROR(INDEX(motors!F:F, MATCH(1, (motors!A:A=REGEXEXTRACT(A211,""^\S+""))*(motors!B:B=BU211), 0)), """")"),23.3)</f>
        <v>23.3</v>
      </c>
      <c r="BX211" s="57">
        <v>2.0</v>
      </c>
      <c r="BY211" s="58">
        <v>285.0</v>
      </c>
      <c r="BZ211" s="59" t="s">
        <v>934</v>
      </c>
      <c r="CA211" s="53" t="str">
        <f>IFERROR(__xludf.DUMMYFUNCTION("IFERROR(REGEXEXTRACT(BZ211, ""(?i)[A-Z]+-D-E-([^-]+)-E""), """")"),"HUBE")</f>
        <v>HUBE</v>
      </c>
    </row>
    <row r="212" ht="11.25" customHeight="1">
      <c r="A212" s="46" t="s">
        <v>935</v>
      </c>
      <c r="B212" s="46">
        <v>7.4125706E7</v>
      </c>
      <c r="C212" s="47">
        <v>0.0</v>
      </c>
      <c r="D212" s="47">
        <v>60.0</v>
      </c>
      <c r="E212" s="47">
        <v>80.0</v>
      </c>
      <c r="F212" s="47">
        <v>90.0</v>
      </c>
      <c r="G212" s="47">
        <v>100.0</v>
      </c>
      <c r="H212" s="47">
        <v>110.0</v>
      </c>
      <c r="I212" s="47">
        <v>120.0</v>
      </c>
      <c r="J212" s="47">
        <v>130.0</v>
      </c>
      <c r="K212" s="47">
        <v>140.0</v>
      </c>
      <c r="L212" s="47">
        <v>150.0</v>
      </c>
      <c r="M212" s="48">
        <v>58.7979476181</v>
      </c>
      <c r="N212" s="47">
        <v>56.807026442099996</v>
      </c>
      <c r="O212" s="47">
        <v>55.0048884501</v>
      </c>
      <c r="P212" s="47">
        <v>53.7960833541</v>
      </c>
      <c r="Q212" s="47">
        <v>52.3541896581</v>
      </c>
      <c r="R212" s="47">
        <v>50.6582589621</v>
      </c>
      <c r="S212" s="47">
        <v>48.687342866099996</v>
      </c>
      <c r="T212" s="47">
        <v>46.4204929701</v>
      </c>
      <c r="U212" s="47">
        <v>43.836760874099994</v>
      </c>
      <c r="V212" s="47">
        <v>40.9151981781</v>
      </c>
      <c r="W212" s="49">
        <f>W209+W208</f>
        <v>14.588</v>
      </c>
      <c r="X212" s="47">
        <v>19.214</v>
      </c>
      <c r="Y212" s="47">
        <v>20.667</v>
      </c>
      <c r="Z212" s="47">
        <v>21.36</v>
      </c>
      <c r="AA212" s="47">
        <v>22.023</v>
      </c>
      <c r="AB212" s="47">
        <v>22.648</v>
      </c>
      <c r="AC212" s="47">
        <v>23.212000000000003</v>
      </c>
      <c r="AD212" s="47">
        <v>23.692</v>
      </c>
      <c r="AE212" s="47">
        <v>24.009</v>
      </c>
      <c r="AF212" s="47">
        <v>23.786</v>
      </c>
      <c r="AG212" s="49">
        <v>2.4</v>
      </c>
      <c r="AH212" s="47">
        <v>2.44</v>
      </c>
      <c r="AI212" s="47">
        <v>2.58</v>
      </c>
      <c r="AJ212" s="47">
        <v>2.72</v>
      </c>
      <c r="AK212" s="47">
        <v>2.91</v>
      </c>
      <c r="AL212" s="47">
        <v>3.22</v>
      </c>
      <c r="AM212" s="47">
        <v>3.71</v>
      </c>
      <c r="AN212" s="47">
        <v>4.48</v>
      </c>
      <c r="AO212" s="47">
        <v>5.72</v>
      </c>
      <c r="AP212" s="47">
        <v>8.16</v>
      </c>
      <c r="AQ212" s="49">
        <v>0.0</v>
      </c>
      <c r="AR212" s="47">
        <v>52.61</v>
      </c>
      <c r="AS212" s="47">
        <v>63.52</v>
      </c>
      <c r="AT212" s="47">
        <v>67.53</v>
      </c>
      <c r="AU212" s="47">
        <v>70.57</v>
      </c>
      <c r="AV212" s="47">
        <v>72.68</v>
      </c>
      <c r="AW212" s="47">
        <v>73.84</v>
      </c>
      <c r="AX212" s="47">
        <v>74.07</v>
      </c>
      <c r="AY212" s="47">
        <v>73.38</v>
      </c>
      <c r="AZ212" s="47">
        <v>71.75</v>
      </c>
      <c r="BA212" s="50">
        <v>1142.0</v>
      </c>
      <c r="BB212" s="51">
        <v>653.0</v>
      </c>
      <c r="BC212" s="51">
        <v>395.0</v>
      </c>
      <c r="BD212" s="51">
        <v>304.0</v>
      </c>
      <c r="BE212" s="51" t="s">
        <v>639</v>
      </c>
      <c r="BF212" s="51" t="s">
        <v>922</v>
      </c>
      <c r="BG212" s="51" t="s">
        <v>923</v>
      </c>
      <c r="BH212" s="51" t="s">
        <v>924</v>
      </c>
      <c r="BI212" s="51">
        <v>275.0</v>
      </c>
      <c r="BJ212" s="51">
        <v>340.0</v>
      </c>
      <c r="BK212" s="51">
        <v>380.0</v>
      </c>
      <c r="BL212" s="51">
        <v>425.0</v>
      </c>
      <c r="BM212" s="51">
        <v>500.0</v>
      </c>
      <c r="BN212" s="51">
        <v>180.0</v>
      </c>
      <c r="BO212" s="51">
        <v>56.0</v>
      </c>
      <c r="BP212" s="51" t="s">
        <v>925</v>
      </c>
      <c r="BQ212" s="51" t="s">
        <v>926</v>
      </c>
      <c r="BR212" s="52">
        <v>25.0</v>
      </c>
      <c r="BS212" s="53" t="s">
        <v>927</v>
      </c>
      <c r="BT212" s="53" t="s">
        <v>927</v>
      </c>
      <c r="BU212" s="52">
        <v>30.0</v>
      </c>
      <c r="BV212" s="47">
        <f>IFERROR(__xludf.DUMMYFUNCTION("IFERROR(INDEX(motors!E:E, MATCH(1, (motors!A:A=REGEXEXTRACT(A212,""^\S+""))*(motors!B:B=BU212), 0)), """")"),54.9)</f>
        <v>54.9</v>
      </c>
      <c r="BW212" s="47">
        <f>IFERROR(__xludf.DUMMYFUNCTION("IFERROR(INDEX(motors!F:F, MATCH(1, (motors!A:A=REGEXEXTRACT(A212,""^\S+""))*(motors!B:B=BU212), 0)), """")"),31.6)</f>
        <v>31.6</v>
      </c>
      <c r="BX212" s="51">
        <v>2.0</v>
      </c>
      <c r="BY212" s="52">
        <v>360.0</v>
      </c>
      <c r="BZ212" s="53" t="s">
        <v>936</v>
      </c>
      <c r="CA212" s="53" t="str">
        <f>IFERROR(__xludf.DUMMYFUNCTION("IFERROR(REGEXEXTRACT(BZ212, ""(?i)[A-Z]+-D-E-([^-]+)-E""), """")"),"HUBE")</f>
        <v>HUBE</v>
      </c>
    </row>
    <row r="213" ht="11.25" customHeight="1">
      <c r="A213" s="55" t="s">
        <v>937</v>
      </c>
      <c r="B213" s="55">
        <v>7.4125705E7</v>
      </c>
      <c r="C213" s="56">
        <v>0.0</v>
      </c>
      <c r="D213" s="56">
        <v>60.0</v>
      </c>
      <c r="E213" s="56">
        <v>80.0</v>
      </c>
      <c r="F213" s="56">
        <v>90.0</v>
      </c>
      <c r="G213" s="56">
        <v>100.0</v>
      </c>
      <c r="H213" s="56">
        <v>110.0</v>
      </c>
      <c r="I213" s="56">
        <v>120.0</v>
      </c>
      <c r="J213" s="56">
        <v>130.0</v>
      </c>
      <c r="K213" s="56">
        <v>140.0</v>
      </c>
      <c r="L213" s="56">
        <v>150.0</v>
      </c>
      <c r="M213" s="48">
        <v>65.1898441767</v>
      </c>
      <c r="N213" s="56">
        <v>63.72857512470001</v>
      </c>
      <c r="O213" s="56">
        <v>61.912999680700004</v>
      </c>
      <c r="P213" s="56">
        <v>60.629876978700004</v>
      </c>
      <c r="Q213" s="56">
        <v>59.05912535670001</v>
      </c>
      <c r="R213" s="56">
        <v>57.17269061470001</v>
      </c>
      <c r="S213" s="56">
        <v>54.94251855270001</v>
      </c>
      <c r="T213" s="56">
        <v>52.340554970700005</v>
      </c>
      <c r="U213" s="56">
        <v>49.33874566870001</v>
      </c>
      <c r="V213" s="56">
        <v>45.90903644670001</v>
      </c>
      <c r="W213" s="49">
        <f>W209/2+W208*2</f>
        <v>17.875</v>
      </c>
      <c r="X213" s="56">
        <v>22.122999999999998</v>
      </c>
      <c r="Y213" s="56">
        <v>23.454</v>
      </c>
      <c r="Z213" s="56">
        <v>24.084</v>
      </c>
      <c r="AA213" s="56">
        <v>24.684</v>
      </c>
      <c r="AB213" s="56">
        <v>25.247</v>
      </c>
      <c r="AC213" s="56">
        <v>25.748</v>
      </c>
      <c r="AD213" s="56">
        <v>26.165</v>
      </c>
      <c r="AE213" s="56">
        <v>26.421</v>
      </c>
      <c r="AF213" s="56">
        <v>26.143</v>
      </c>
      <c r="AG213" s="49">
        <v>2.4</v>
      </c>
      <c r="AH213" s="56">
        <v>2.44</v>
      </c>
      <c r="AI213" s="56">
        <v>2.58</v>
      </c>
      <c r="AJ213" s="56">
        <v>2.72</v>
      </c>
      <c r="AK213" s="56">
        <v>2.91</v>
      </c>
      <c r="AL213" s="56">
        <v>3.22</v>
      </c>
      <c r="AM213" s="56">
        <v>3.71</v>
      </c>
      <c r="AN213" s="56">
        <v>4.48</v>
      </c>
      <c r="AO213" s="56">
        <v>5.72</v>
      </c>
      <c r="AP213" s="56">
        <v>8.16</v>
      </c>
      <c r="AQ213" s="49">
        <v>0.0</v>
      </c>
      <c r="AR213" s="56">
        <v>52.61</v>
      </c>
      <c r="AS213" s="56">
        <v>63.52</v>
      </c>
      <c r="AT213" s="56">
        <v>67.53</v>
      </c>
      <c r="AU213" s="56">
        <v>70.57</v>
      </c>
      <c r="AV213" s="56">
        <v>72.68</v>
      </c>
      <c r="AW213" s="56">
        <v>73.84</v>
      </c>
      <c r="AX213" s="56">
        <v>74.07</v>
      </c>
      <c r="AY213" s="56">
        <v>73.38</v>
      </c>
      <c r="AZ213" s="56">
        <v>71.75</v>
      </c>
      <c r="BA213" s="50">
        <v>1142.0</v>
      </c>
      <c r="BB213" s="57">
        <v>653.0</v>
      </c>
      <c r="BC213" s="57">
        <v>395.0</v>
      </c>
      <c r="BD213" s="57">
        <v>304.0</v>
      </c>
      <c r="BE213" s="57" t="s">
        <v>639</v>
      </c>
      <c r="BF213" s="57" t="s">
        <v>922</v>
      </c>
      <c r="BG213" s="57" t="s">
        <v>923</v>
      </c>
      <c r="BH213" s="57" t="s">
        <v>924</v>
      </c>
      <c r="BI213" s="57">
        <v>275.0</v>
      </c>
      <c r="BJ213" s="57">
        <v>340.0</v>
      </c>
      <c r="BK213" s="57">
        <v>380.0</v>
      </c>
      <c r="BL213" s="57">
        <v>425.0</v>
      </c>
      <c r="BM213" s="57">
        <v>500.0</v>
      </c>
      <c r="BN213" s="57">
        <v>180.0</v>
      </c>
      <c r="BO213" s="57">
        <v>56.0</v>
      </c>
      <c r="BP213" s="57" t="s">
        <v>925</v>
      </c>
      <c r="BQ213" s="57" t="s">
        <v>926</v>
      </c>
      <c r="BR213" s="58">
        <v>25.0</v>
      </c>
      <c r="BS213" s="59" t="s">
        <v>927</v>
      </c>
      <c r="BT213" s="59" t="s">
        <v>927</v>
      </c>
      <c r="BU213" s="58">
        <v>30.0</v>
      </c>
      <c r="BV213" s="47">
        <f>IFERROR(__xludf.DUMMYFUNCTION("IFERROR(INDEX(motors!E:E, MATCH(1, (motors!A:A=REGEXEXTRACT(A213,""^\S+""))*(motors!B:B=BU213), 0)), """")"),54.9)</f>
        <v>54.9</v>
      </c>
      <c r="BW213" s="47">
        <f>IFERROR(__xludf.DUMMYFUNCTION("IFERROR(INDEX(motors!F:F, MATCH(1, (motors!A:A=REGEXEXTRACT(A213,""^\S+""))*(motors!B:B=BU213), 0)), """")"),31.6)</f>
        <v>31.6</v>
      </c>
      <c r="BX213" s="57">
        <v>2.0</v>
      </c>
      <c r="BY213" s="58">
        <v>360.0</v>
      </c>
      <c r="BZ213" s="59" t="s">
        <v>938</v>
      </c>
      <c r="CA213" s="53" t="str">
        <f>IFERROR(__xludf.DUMMYFUNCTION("IFERROR(REGEXEXTRACT(BZ213, ""(?i)[A-Z]+-D-E-([^-]+)-E""), """")"),"HUBE")</f>
        <v>HUBE</v>
      </c>
    </row>
    <row r="214" ht="11.25" customHeight="1">
      <c r="A214" s="46" t="s">
        <v>939</v>
      </c>
      <c r="B214" s="46">
        <v>7.4125707E7</v>
      </c>
      <c r="C214" s="47">
        <v>0.0</v>
      </c>
      <c r="D214" s="47">
        <v>60.0</v>
      </c>
      <c r="E214" s="47">
        <v>80.0</v>
      </c>
      <c r="F214" s="47">
        <v>90.0</v>
      </c>
      <c r="G214" s="47">
        <v>100.0</v>
      </c>
      <c r="H214" s="47">
        <v>110.0</v>
      </c>
      <c r="I214" s="47">
        <v>120.0</v>
      </c>
      <c r="J214" s="47">
        <v>130.0</v>
      </c>
      <c r="K214" s="47">
        <v>140.0</v>
      </c>
      <c r="L214" s="47">
        <v>150.0</v>
      </c>
      <c r="M214" s="48">
        <v>70.9448367726</v>
      </c>
      <c r="N214" s="47">
        <v>69.3341289666</v>
      </c>
      <c r="O214" s="47">
        <v>67.5023223646</v>
      </c>
      <c r="P214" s="47">
        <v>66.2010834636</v>
      </c>
      <c r="Q214" s="47">
        <v>64.6007197626</v>
      </c>
      <c r="R214" s="47">
        <v>62.6695554616</v>
      </c>
      <c r="S214" s="47">
        <v>60.3759147606</v>
      </c>
      <c r="T214" s="47">
        <v>57.6881218596</v>
      </c>
      <c r="U214" s="47">
        <v>54.5745009586</v>
      </c>
      <c r="V214" s="47">
        <v>51.003376257599996</v>
      </c>
      <c r="W214" s="49">
        <f>W208*3</f>
        <v>21.162</v>
      </c>
      <c r="X214" s="47">
        <v>25.031999999999996</v>
      </c>
      <c r="Y214" s="47">
        <v>26.241</v>
      </c>
      <c r="Z214" s="47">
        <v>26.808</v>
      </c>
      <c r="AA214" s="47">
        <v>27.345</v>
      </c>
      <c r="AB214" s="47">
        <v>27.846</v>
      </c>
      <c r="AC214" s="47">
        <v>28.284000000000002</v>
      </c>
      <c r="AD214" s="47">
        <v>28.637999999999998</v>
      </c>
      <c r="AE214" s="47">
        <v>28.833000000000002</v>
      </c>
      <c r="AF214" s="47">
        <v>28.5</v>
      </c>
      <c r="AG214" s="49">
        <v>2.4</v>
      </c>
      <c r="AH214" s="47">
        <v>2.44</v>
      </c>
      <c r="AI214" s="47">
        <v>2.58</v>
      </c>
      <c r="AJ214" s="47">
        <v>2.72</v>
      </c>
      <c r="AK214" s="47">
        <v>2.91</v>
      </c>
      <c r="AL214" s="47">
        <v>3.22</v>
      </c>
      <c r="AM214" s="47">
        <v>3.71</v>
      </c>
      <c r="AN214" s="47">
        <v>4.48</v>
      </c>
      <c r="AO214" s="47">
        <v>5.72</v>
      </c>
      <c r="AP214" s="47">
        <v>8.16</v>
      </c>
      <c r="AQ214" s="49">
        <v>0.0</v>
      </c>
      <c r="AR214" s="47">
        <v>52.61</v>
      </c>
      <c r="AS214" s="47">
        <v>63.52</v>
      </c>
      <c r="AT214" s="47">
        <v>67.53</v>
      </c>
      <c r="AU214" s="47">
        <v>70.57</v>
      </c>
      <c r="AV214" s="47">
        <v>72.68</v>
      </c>
      <c r="AW214" s="47">
        <v>73.84</v>
      </c>
      <c r="AX214" s="47">
        <v>74.07</v>
      </c>
      <c r="AY214" s="47">
        <v>73.38</v>
      </c>
      <c r="AZ214" s="47">
        <v>71.75</v>
      </c>
      <c r="BA214" s="50">
        <v>1142.0</v>
      </c>
      <c r="BB214" s="51">
        <v>653.0</v>
      </c>
      <c r="BC214" s="51">
        <v>395.0</v>
      </c>
      <c r="BD214" s="51">
        <v>304.0</v>
      </c>
      <c r="BE214" s="51" t="s">
        <v>639</v>
      </c>
      <c r="BF214" s="51" t="s">
        <v>922</v>
      </c>
      <c r="BG214" s="51" t="s">
        <v>923</v>
      </c>
      <c r="BH214" s="51" t="s">
        <v>924</v>
      </c>
      <c r="BI214" s="51">
        <v>275.0</v>
      </c>
      <c r="BJ214" s="51">
        <v>340.0</v>
      </c>
      <c r="BK214" s="51">
        <v>380.0</v>
      </c>
      <c r="BL214" s="51">
        <v>425.0</v>
      </c>
      <c r="BM214" s="51">
        <v>500.0</v>
      </c>
      <c r="BN214" s="51">
        <v>180.0</v>
      </c>
      <c r="BO214" s="51">
        <v>56.0</v>
      </c>
      <c r="BP214" s="51" t="s">
        <v>925</v>
      </c>
      <c r="BQ214" s="51" t="s">
        <v>926</v>
      </c>
      <c r="BR214" s="52">
        <v>25.0</v>
      </c>
      <c r="BS214" s="53" t="s">
        <v>927</v>
      </c>
      <c r="BT214" s="53" t="s">
        <v>927</v>
      </c>
      <c r="BU214" s="52">
        <v>30.0</v>
      </c>
      <c r="BV214" s="47">
        <f>IFERROR(__xludf.DUMMYFUNCTION("IFERROR(INDEX(motors!E:E, MATCH(1, (motors!A:A=REGEXEXTRACT(A214,""^\S+""))*(motors!B:B=BU214), 0)), """")"),54.9)</f>
        <v>54.9</v>
      </c>
      <c r="BW214" s="47">
        <f>IFERROR(__xludf.DUMMYFUNCTION("IFERROR(INDEX(motors!F:F, MATCH(1, (motors!A:A=REGEXEXTRACT(A214,""^\S+""))*(motors!B:B=BU214), 0)), """")"),31.6)</f>
        <v>31.6</v>
      </c>
      <c r="BX214" s="51">
        <v>2.0</v>
      </c>
      <c r="BY214" s="52">
        <v>360.0</v>
      </c>
      <c r="BZ214" s="53" t="s">
        <v>940</v>
      </c>
      <c r="CA214" s="53" t="str">
        <f>IFERROR(__xludf.DUMMYFUNCTION("IFERROR(REGEXEXTRACT(BZ214, ""(?i)[A-Z]+-D-E-([^-]+)-E""), """")"),"HUBE")</f>
        <v>HUBE</v>
      </c>
    </row>
    <row r="215" ht="11.25" customHeight="1">
      <c r="A215" s="55" t="s">
        <v>941</v>
      </c>
      <c r="B215" s="55">
        <v>7.4125709E7</v>
      </c>
      <c r="C215" s="56">
        <v>0.0</v>
      </c>
      <c r="D215" s="56">
        <v>60.0</v>
      </c>
      <c r="E215" s="56">
        <v>80.0</v>
      </c>
      <c r="F215" s="56">
        <v>90.0</v>
      </c>
      <c r="G215" s="56">
        <v>100.0</v>
      </c>
      <c r="H215" s="56">
        <v>110.0</v>
      </c>
      <c r="I215" s="56">
        <v>120.0</v>
      </c>
      <c r="J215" s="56">
        <v>130.0</v>
      </c>
      <c r="K215" s="56">
        <v>140.0</v>
      </c>
      <c r="L215" s="56">
        <v>150.0</v>
      </c>
      <c r="M215" s="48">
        <v>81.6258299815</v>
      </c>
      <c r="N215" s="56">
        <v>80.1</v>
      </c>
      <c r="O215" s="56">
        <v>77.8194292535</v>
      </c>
      <c r="P215" s="56">
        <v>76.1150407825</v>
      </c>
      <c r="Q215" s="56">
        <v>74.0656966715</v>
      </c>
      <c r="R215" s="56">
        <v>71.6498161205</v>
      </c>
      <c r="S215" s="56">
        <v>68.8458183295</v>
      </c>
      <c r="T215" s="56">
        <v>65.63212249850001</v>
      </c>
      <c r="U215" s="56">
        <v>61.9871478275</v>
      </c>
      <c r="V215" s="56">
        <v>57.8893135165</v>
      </c>
      <c r="W215" s="49">
        <f>W209+W208*2</f>
        <v>21.642</v>
      </c>
      <c r="X215" s="56">
        <v>27.558</v>
      </c>
      <c r="Y215" s="56">
        <v>29.414</v>
      </c>
      <c r="Z215" s="56">
        <v>30.296</v>
      </c>
      <c r="AA215" s="56">
        <v>31.137999999999998</v>
      </c>
      <c r="AB215" s="56">
        <v>31.93</v>
      </c>
      <c r="AC215" s="56">
        <v>32.64</v>
      </c>
      <c r="AD215" s="56">
        <v>33.238</v>
      </c>
      <c r="AE215" s="56">
        <v>33.620000000000005</v>
      </c>
      <c r="AF215" s="56">
        <v>33.286</v>
      </c>
      <c r="AG215" s="49">
        <v>2.4</v>
      </c>
      <c r="AH215" s="56">
        <v>2.44</v>
      </c>
      <c r="AI215" s="56">
        <v>2.58</v>
      </c>
      <c r="AJ215" s="56">
        <v>2.72</v>
      </c>
      <c r="AK215" s="56">
        <v>2.91</v>
      </c>
      <c r="AL215" s="56">
        <v>3.22</v>
      </c>
      <c r="AM215" s="56">
        <v>3.71</v>
      </c>
      <c r="AN215" s="56">
        <v>4.48</v>
      </c>
      <c r="AO215" s="56">
        <v>5.72</v>
      </c>
      <c r="AP215" s="56">
        <v>8.16</v>
      </c>
      <c r="AQ215" s="49">
        <v>0.0</v>
      </c>
      <c r="AR215" s="56">
        <v>52.61</v>
      </c>
      <c r="AS215" s="56">
        <v>63.52</v>
      </c>
      <c r="AT215" s="56">
        <v>67.53</v>
      </c>
      <c r="AU215" s="56">
        <v>70.57</v>
      </c>
      <c r="AV215" s="56">
        <v>72.68</v>
      </c>
      <c r="AW215" s="56">
        <v>73.84</v>
      </c>
      <c r="AX215" s="56">
        <v>74.07</v>
      </c>
      <c r="AY215" s="56">
        <v>73.38</v>
      </c>
      <c r="AZ215" s="56">
        <v>71.75</v>
      </c>
      <c r="BA215" s="50">
        <v>1294.0</v>
      </c>
      <c r="BB215" s="57">
        <v>653.0</v>
      </c>
      <c r="BC215" s="57">
        <v>395.0</v>
      </c>
      <c r="BD215" s="57">
        <v>304.0</v>
      </c>
      <c r="BE215" s="57" t="s">
        <v>639</v>
      </c>
      <c r="BF215" s="57" t="s">
        <v>922</v>
      </c>
      <c r="BG215" s="57" t="s">
        <v>923</v>
      </c>
      <c r="BH215" s="57" t="s">
        <v>924</v>
      </c>
      <c r="BI215" s="57">
        <v>275.0</v>
      </c>
      <c r="BJ215" s="57">
        <v>340.0</v>
      </c>
      <c r="BK215" s="57">
        <v>380.0</v>
      </c>
      <c r="BL215" s="57">
        <v>425.0</v>
      </c>
      <c r="BM215" s="57">
        <v>500.0</v>
      </c>
      <c r="BN215" s="57">
        <v>180.0</v>
      </c>
      <c r="BO215" s="57">
        <v>56.0</v>
      </c>
      <c r="BP215" s="57" t="s">
        <v>925</v>
      </c>
      <c r="BQ215" s="57" t="s">
        <v>926</v>
      </c>
      <c r="BR215" s="58">
        <v>25.0</v>
      </c>
      <c r="BS215" s="59" t="s">
        <v>927</v>
      </c>
      <c r="BT215" s="59" t="s">
        <v>927</v>
      </c>
      <c r="BU215" s="58">
        <v>37.0</v>
      </c>
      <c r="BV215" s="47">
        <f>IFERROR(__xludf.DUMMYFUNCTION("IFERROR(INDEX(motors!E:E, MATCH(1, (motors!A:A=REGEXEXTRACT(A215,""^\S+""))*(motors!B:B=BU215), 0)), """")"),67.4)</f>
        <v>67.4</v>
      </c>
      <c r="BW215" s="47">
        <f>IFERROR(__xludf.DUMMYFUNCTION("IFERROR(INDEX(motors!F:F, MATCH(1, (motors!A:A=REGEXEXTRACT(A215,""^\S+""))*(motors!B:B=BU215), 0)), """")"),38.8)</f>
        <v>38.8</v>
      </c>
      <c r="BX215" s="57">
        <v>2.0</v>
      </c>
      <c r="BY215" s="58">
        <v>400.0</v>
      </c>
      <c r="BZ215" s="59" t="s">
        <v>942</v>
      </c>
      <c r="CA215" s="53" t="str">
        <f>IFERROR(__xludf.DUMMYFUNCTION("IFERROR(REGEXEXTRACT(BZ215, ""(?i)[A-Z]+-D-E-([^-]+)-E""), """")"),"HUBE")</f>
        <v>HUBE</v>
      </c>
    </row>
    <row r="216" ht="11.25" customHeight="1">
      <c r="A216" s="46" t="s">
        <v>943</v>
      </c>
      <c r="B216" s="46">
        <v>7.4125708E7</v>
      </c>
      <c r="C216" s="47">
        <v>0.0</v>
      </c>
      <c r="D216" s="47">
        <v>60.0</v>
      </c>
      <c r="E216" s="47">
        <v>80.0</v>
      </c>
      <c r="F216" s="47">
        <v>90.0</v>
      </c>
      <c r="G216" s="47">
        <v>100.0</v>
      </c>
      <c r="H216" s="47">
        <v>110.0</v>
      </c>
      <c r="I216" s="47">
        <v>120.0</v>
      </c>
      <c r="J216" s="47">
        <v>130.0</v>
      </c>
      <c r="K216" s="47">
        <v>140.0</v>
      </c>
      <c r="L216" s="47">
        <v>150.0</v>
      </c>
      <c r="M216" s="48">
        <v>90.6931100492</v>
      </c>
      <c r="N216" s="47">
        <v>87.0170547332</v>
      </c>
      <c r="O216" s="47">
        <v>84.2754034412</v>
      </c>
      <c r="P216" s="47">
        <v>82.4966683352</v>
      </c>
      <c r="Q216" s="47">
        <v>80.4093703892</v>
      </c>
      <c r="R216" s="47">
        <v>77.9860422032</v>
      </c>
      <c r="S216" s="47">
        <v>75.1992163772</v>
      </c>
      <c r="T216" s="47">
        <v>72.0214255112</v>
      </c>
      <c r="U216" s="47">
        <v>68.42520220520001</v>
      </c>
      <c r="V216" s="47">
        <v>64.3830790592</v>
      </c>
      <c r="W216" s="49">
        <f>W209/2+W208*3</f>
        <v>24.929</v>
      </c>
      <c r="X216" s="47">
        <v>30.466999999999995</v>
      </c>
      <c r="Y216" s="47">
        <v>32.201</v>
      </c>
      <c r="Z216" s="47">
        <v>33.019999999999996</v>
      </c>
      <c r="AA216" s="47">
        <v>33.799</v>
      </c>
      <c r="AB216" s="47">
        <v>34.528999999999996</v>
      </c>
      <c r="AC216" s="47">
        <v>35.176</v>
      </c>
      <c r="AD216" s="47">
        <v>35.711</v>
      </c>
      <c r="AE216" s="47">
        <v>36.032000000000004</v>
      </c>
      <c r="AF216" s="47">
        <v>35.643</v>
      </c>
      <c r="AG216" s="49">
        <v>2.4</v>
      </c>
      <c r="AH216" s="47">
        <v>2.44</v>
      </c>
      <c r="AI216" s="47">
        <v>2.58</v>
      </c>
      <c r="AJ216" s="47">
        <v>2.72</v>
      </c>
      <c r="AK216" s="47">
        <v>2.91</v>
      </c>
      <c r="AL216" s="47">
        <v>3.22</v>
      </c>
      <c r="AM216" s="47">
        <v>3.71</v>
      </c>
      <c r="AN216" s="47">
        <v>4.48</v>
      </c>
      <c r="AO216" s="47">
        <v>5.72</v>
      </c>
      <c r="AP216" s="47">
        <v>8.16</v>
      </c>
      <c r="AQ216" s="49">
        <v>0.0</v>
      </c>
      <c r="AR216" s="47">
        <v>52.61</v>
      </c>
      <c r="AS216" s="47">
        <v>63.52</v>
      </c>
      <c r="AT216" s="47">
        <v>67.53</v>
      </c>
      <c r="AU216" s="47">
        <v>70.57</v>
      </c>
      <c r="AV216" s="47">
        <v>72.68</v>
      </c>
      <c r="AW216" s="47">
        <v>73.84</v>
      </c>
      <c r="AX216" s="47">
        <v>74.07</v>
      </c>
      <c r="AY216" s="47">
        <v>73.38</v>
      </c>
      <c r="AZ216" s="47">
        <v>71.75</v>
      </c>
      <c r="BA216" s="50">
        <v>1294.0</v>
      </c>
      <c r="BB216" s="51">
        <v>653.0</v>
      </c>
      <c r="BC216" s="51">
        <v>395.0</v>
      </c>
      <c r="BD216" s="51">
        <v>304.0</v>
      </c>
      <c r="BE216" s="51" t="s">
        <v>639</v>
      </c>
      <c r="BF216" s="51" t="s">
        <v>922</v>
      </c>
      <c r="BG216" s="51" t="s">
        <v>923</v>
      </c>
      <c r="BH216" s="51" t="s">
        <v>924</v>
      </c>
      <c r="BI216" s="51">
        <v>275.0</v>
      </c>
      <c r="BJ216" s="51">
        <v>340.0</v>
      </c>
      <c r="BK216" s="51">
        <v>380.0</v>
      </c>
      <c r="BL216" s="51">
        <v>425.0</v>
      </c>
      <c r="BM216" s="51">
        <v>500.0</v>
      </c>
      <c r="BN216" s="51">
        <v>180.0</v>
      </c>
      <c r="BO216" s="51">
        <v>56.0</v>
      </c>
      <c r="BP216" s="51" t="s">
        <v>925</v>
      </c>
      <c r="BQ216" s="51" t="s">
        <v>926</v>
      </c>
      <c r="BR216" s="52">
        <v>25.0</v>
      </c>
      <c r="BS216" s="53" t="s">
        <v>927</v>
      </c>
      <c r="BT216" s="53" t="s">
        <v>927</v>
      </c>
      <c r="BU216" s="52">
        <v>37.0</v>
      </c>
      <c r="BV216" s="47">
        <f>IFERROR(__xludf.DUMMYFUNCTION("IFERROR(INDEX(motors!E:E, MATCH(1, (motors!A:A=REGEXEXTRACT(A216,""^\S+""))*(motors!B:B=BU216), 0)), """")"),67.4)</f>
        <v>67.4</v>
      </c>
      <c r="BW216" s="47">
        <f>IFERROR(__xludf.DUMMYFUNCTION("IFERROR(INDEX(motors!F:F, MATCH(1, (motors!A:A=REGEXEXTRACT(A216,""^\S+""))*(motors!B:B=BU216), 0)), """")"),38.8)</f>
        <v>38.8</v>
      </c>
      <c r="BX216" s="51">
        <v>2.0</v>
      </c>
      <c r="BY216" s="52">
        <v>400.0</v>
      </c>
      <c r="BZ216" s="53" t="s">
        <v>944</v>
      </c>
      <c r="CA216" s="53" t="str">
        <f>IFERROR(__xludf.DUMMYFUNCTION("IFERROR(REGEXEXTRACT(BZ216, ""(?i)[A-Z]+-D-E-([^-]+)-E""), """")"),"HUBE")</f>
        <v>HUBE</v>
      </c>
    </row>
    <row r="217" ht="11.25" customHeight="1">
      <c r="A217" s="55" t="s">
        <v>945</v>
      </c>
      <c r="B217" s="55">
        <v>7.412571E7</v>
      </c>
      <c r="C217" s="56">
        <v>0.0</v>
      </c>
      <c r="D217" s="56">
        <v>60.0</v>
      </c>
      <c r="E217" s="56">
        <v>80.0</v>
      </c>
      <c r="F217" s="56">
        <v>90.0</v>
      </c>
      <c r="G217" s="56">
        <v>100.0</v>
      </c>
      <c r="H217" s="56">
        <v>110.0</v>
      </c>
      <c r="I217" s="56">
        <v>120.0</v>
      </c>
      <c r="J217" s="56">
        <v>130.0</v>
      </c>
      <c r="K217" s="56">
        <v>140.0</v>
      </c>
      <c r="L217" s="56">
        <v>150.0</v>
      </c>
      <c r="M217" s="48">
        <v>95.8220600301</v>
      </c>
      <c r="N217" s="56">
        <v>92.3658707241</v>
      </c>
      <c r="O217" s="56">
        <v>89.74347754210001</v>
      </c>
      <c r="P217" s="56">
        <v>87.9791986611</v>
      </c>
      <c r="Q217" s="56">
        <v>85.8603033201</v>
      </c>
      <c r="R217" s="56">
        <v>83.34737031910001</v>
      </c>
      <c r="S217" s="56">
        <v>80.4009784581</v>
      </c>
      <c r="T217" s="56">
        <v>76.9817065371</v>
      </c>
      <c r="U217" s="56">
        <v>73.0501333561</v>
      </c>
      <c r="V217" s="56">
        <v>68.56683771510001</v>
      </c>
      <c r="W217" s="49">
        <f>W208*4</f>
        <v>28.216</v>
      </c>
      <c r="X217" s="56">
        <v>33.376</v>
      </c>
      <c r="Y217" s="56">
        <v>34.988</v>
      </c>
      <c r="Z217" s="56">
        <v>35.744</v>
      </c>
      <c r="AA217" s="56">
        <v>36.46</v>
      </c>
      <c r="AB217" s="56">
        <v>37.128</v>
      </c>
      <c r="AC217" s="56">
        <v>37.712</v>
      </c>
      <c r="AD217" s="56">
        <v>38.184</v>
      </c>
      <c r="AE217" s="56">
        <v>38.444</v>
      </c>
      <c r="AF217" s="56">
        <v>38.0</v>
      </c>
      <c r="AG217" s="49">
        <v>2.4</v>
      </c>
      <c r="AH217" s="56">
        <v>2.44</v>
      </c>
      <c r="AI217" s="56">
        <v>2.58</v>
      </c>
      <c r="AJ217" s="56">
        <v>2.72</v>
      </c>
      <c r="AK217" s="56">
        <v>2.91</v>
      </c>
      <c r="AL217" s="56">
        <v>3.22</v>
      </c>
      <c r="AM217" s="56">
        <v>3.71</v>
      </c>
      <c r="AN217" s="56">
        <v>4.48</v>
      </c>
      <c r="AO217" s="56">
        <v>5.72</v>
      </c>
      <c r="AP217" s="56">
        <v>8.16</v>
      </c>
      <c r="AQ217" s="49">
        <v>0.0</v>
      </c>
      <c r="AR217" s="56">
        <v>52.61</v>
      </c>
      <c r="AS217" s="56">
        <v>63.52</v>
      </c>
      <c r="AT217" s="56">
        <v>67.53</v>
      </c>
      <c r="AU217" s="56">
        <v>70.57</v>
      </c>
      <c r="AV217" s="56">
        <v>72.68</v>
      </c>
      <c r="AW217" s="56">
        <v>73.84</v>
      </c>
      <c r="AX217" s="56">
        <v>74.07</v>
      </c>
      <c r="AY217" s="56">
        <v>73.38</v>
      </c>
      <c r="AZ217" s="56">
        <v>71.75</v>
      </c>
      <c r="BA217" s="50">
        <v>1294.0</v>
      </c>
      <c r="BB217" s="57">
        <v>702.0</v>
      </c>
      <c r="BC217" s="57">
        <v>450.0</v>
      </c>
      <c r="BD217" s="57">
        <v>340.0</v>
      </c>
      <c r="BE217" s="57" t="s">
        <v>639</v>
      </c>
      <c r="BF217" s="57" t="s">
        <v>922</v>
      </c>
      <c r="BG217" s="57" t="s">
        <v>923</v>
      </c>
      <c r="BH217" s="57" t="s">
        <v>924</v>
      </c>
      <c r="BI217" s="57">
        <v>275.0</v>
      </c>
      <c r="BJ217" s="57">
        <v>340.0</v>
      </c>
      <c r="BK217" s="57">
        <v>380.0</v>
      </c>
      <c r="BL217" s="57">
        <v>425.0</v>
      </c>
      <c r="BM217" s="57">
        <v>500.0</v>
      </c>
      <c r="BN217" s="57">
        <v>180.0</v>
      </c>
      <c r="BO217" s="57">
        <v>56.0</v>
      </c>
      <c r="BP217" s="57" t="s">
        <v>925</v>
      </c>
      <c r="BQ217" s="57" t="s">
        <v>926</v>
      </c>
      <c r="BR217" s="58">
        <v>25.0</v>
      </c>
      <c r="BS217" s="59" t="s">
        <v>927</v>
      </c>
      <c r="BT217" s="59" t="s">
        <v>927</v>
      </c>
      <c r="BU217" s="58">
        <v>45.0</v>
      </c>
      <c r="BV217" s="47">
        <f>IFERROR(__xludf.DUMMYFUNCTION("IFERROR(INDEX(motors!E:E, MATCH(1, (motors!A:A=REGEXEXTRACT(A217,""^\S+""))*(motors!B:B=BU217), 0)), """")"),80.8)</f>
        <v>80.8</v>
      </c>
      <c r="BW217" s="47">
        <f>IFERROR(__xludf.DUMMYFUNCTION("IFERROR(INDEX(motors!F:F, MATCH(1, (motors!A:A=REGEXEXTRACT(A217,""^\S+""))*(motors!B:B=BU217), 0)), """")"),46.5)</f>
        <v>46.5</v>
      </c>
      <c r="BX217" s="57">
        <v>2.0</v>
      </c>
      <c r="BY217" s="58">
        <v>460.0</v>
      </c>
      <c r="BZ217" s="59" t="s">
        <v>946</v>
      </c>
      <c r="CA217" s="53" t="str">
        <f>IFERROR(__xludf.DUMMYFUNCTION("IFERROR(REGEXEXTRACT(BZ217, ""(?i)[A-Z]+-D-E-([^-]+)-E""), """")"),"HUBE")</f>
        <v>HUBE</v>
      </c>
    </row>
    <row r="218" ht="11.25" customHeight="1">
      <c r="A218" s="46" t="s">
        <v>947</v>
      </c>
      <c r="B218" s="46">
        <v>7.4125712E7</v>
      </c>
      <c r="C218" s="47">
        <v>0.0</v>
      </c>
      <c r="D218" s="47">
        <v>60.0</v>
      </c>
      <c r="E218" s="47">
        <v>80.0</v>
      </c>
      <c r="F218" s="47">
        <v>90.0</v>
      </c>
      <c r="G218" s="47">
        <v>100.0</v>
      </c>
      <c r="H218" s="47">
        <v>110.0</v>
      </c>
      <c r="I218" s="47">
        <v>120.0</v>
      </c>
      <c r="J218" s="47">
        <v>130.0</v>
      </c>
      <c r="K218" s="47">
        <v>140.0</v>
      </c>
      <c r="L218" s="47">
        <v>150.0</v>
      </c>
      <c r="M218" s="48">
        <v>107.8590337643</v>
      </c>
      <c r="N218" s="47">
        <v>104.42626829029999</v>
      </c>
      <c r="O218" s="47">
        <v>101.11893265229999</v>
      </c>
      <c r="P218" s="47">
        <v>98.90031704329999</v>
      </c>
      <c r="Q218" s="47">
        <v>96.25784877429999</v>
      </c>
      <c r="R218" s="47">
        <v>93.1561122453</v>
      </c>
      <c r="S218" s="47">
        <v>89.55969185629999</v>
      </c>
      <c r="T218" s="47">
        <v>85.43317200729999</v>
      </c>
      <c r="U218" s="47">
        <v>80.74113709829999</v>
      </c>
      <c r="V218" s="47">
        <v>75.4481715293</v>
      </c>
      <c r="W218" s="49">
        <f>W209+W208*3</f>
        <v>28.696</v>
      </c>
      <c r="X218" s="47">
        <v>35.901999999999994</v>
      </c>
      <c r="Y218" s="47">
        <v>38.161</v>
      </c>
      <c r="Z218" s="47">
        <v>39.232</v>
      </c>
      <c r="AA218" s="47">
        <v>40.253</v>
      </c>
      <c r="AB218" s="47">
        <v>41.212</v>
      </c>
      <c r="AC218" s="47">
        <v>42.068000000000005</v>
      </c>
      <c r="AD218" s="47">
        <v>42.784</v>
      </c>
      <c r="AE218" s="47">
        <v>43.231</v>
      </c>
      <c r="AF218" s="47">
        <v>42.786</v>
      </c>
      <c r="AG218" s="49">
        <v>2.4</v>
      </c>
      <c r="AH218" s="47">
        <v>2.44</v>
      </c>
      <c r="AI218" s="47">
        <v>2.58</v>
      </c>
      <c r="AJ218" s="47">
        <v>2.72</v>
      </c>
      <c r="AK218" s="47">
        <v>2.91</v>
      </c>
      <c r="AL218" s="47">
        <v>3.22</v>
      </c>
      <c r="AM218" s="47">
        <v>3.71</v>
      </c>
      <c r="AN218" s="47">
        <v>4.48</v>
      </c>
      <c r="AO218" s="47">
        <v>5.72</v>
      </c>
      <c r="AP218" s="47">
        <v>8.16</v>
      </c>
      <c r="AQ218" s="49">
        <v>0.0</v>
      </c>
      <c r="AR218" s="47">
        <v>52.61</v>
      </c>
      <c r="AS218" s="47">
        <v>63.52</v>
      </c>
      <c r="AT218" s="47">
        <v>67.53</v>
      </c>
      <c r="AU218" s="47">
        <v>70.57</v>
      </c>
      <c r="AV218" s="47">
        <v>72.68</v>
      </c>
      <c r="AW218" s="47">
        <v>73.84</v>
      </c>
      <c r="AX218" s="47">
        <v>74.07</v>
      </c>
      <c r="AY218" s="47">
        <v>73.38</v>
      </c>
      <c r="AZ218" s="47">
        <v>71.75</v>
      </c>
      <c r="BA218" s="50">
        <v>1446.0</v>
      </c>
      <c r="BB218" s="51">
        <v>702.0</v>
      </c>
      <c r="BC218" s="51">
        <v>450.0</v>
      </c>
      <c r="BD218" s="51">
        <v>340.0</v>
      </c>
      <c r="BE218" s="51" t="s">
        <v>639</v>
      </c>
      <c r="BF218" s="51" t="s">
        <v>922</v>
      </c>
      <c r="BG218" s="51" t="s">
        <v>923</v>
      </c>
      <c r="BH218" s="51" t="s">
        <v>924</v>
      </c>
      <c r="BI218" s="51">
        <v>275.0</v>
      </c>
      <c r="BJ218" s="51">
        <v>340.0</v>
      </c>
      <c r="BK218" s="51">
        <v>380.0</v>
      </c>
      <c r="BL218" s="51">
        <v>425.0</v>
      </c>
      <c r="BM218" s="51">
        <v>500.0</v>
      </c>
      <c r="BN218" s="51">
        <v>180.0</v>
      </c>
      <c r="BO218" s="51">
        <v>56.0</v>
      </c>
      <c r="BP218" s="51" t="s">
        <v>925</v>
      </c>
      <c r="BQ218" s="51" t="s">
        <v>926</v>
      </c>
      <c r="BR218" s="52">
        <v>25.0</v>
      </c>
      <c r="BS218" s="53" t="s">
        <v>927</v>
      </c>
      <c r="BT218" s="53" t="s">
        <v>927</v>
      </c>
      <c r="BU218" s="52">
        <v>45.0</v>
      </c>
      <c r="BV218" s="47">
        <f>IFERROR(__xludf.DUMMYFUNCTION("IFERROR(INDEX(motors!E:E, MATCH(1, (motors!A:A=REGEXEXTRACT(A218,""^\S+""))*(motors!B:B=BU218), 0)), """")"),80.8)</f>
        <v>80.8</v>
      </c>
      <c r="BW218" s="47">
        <f>IFERROR(__xludf.DUMMYFUNCTION("IFERROR(INDEX(motors!F:F, MATCH(1, (motors!A:A=REGEXEXTRACT(A218,""^\S+""))*(motors!B:B=BU218), 0)), """")"),46.5)</f>
        <v>46.5</v>
      </c>
      <c r="BX218" s="51">
        <v>2.0</v>
      </c>
      <c r="BY218" s="52">
        <v>470.0</v>
      </c>
      <c r="BZ218" s="53" t="s">
        <v>948</v>
      </c>
      <c r="CA218" s="53" t="str">
        <f>IFERROR(__xludf.DUMMYFUNCTION("IFERROR(REGEXEXTRACT(BZ218, ""(?i)[A-Z]+-D-E-([^-]+)-E""), """")"),"HUBE")</f>
        <v>HUBE</v>
      </c>
    </row>
    <row r="219" ht="11.25" customHeight="1">
      <c r="A219" s="55" t="s">
        <v>949</v>
      </c>
      <c r="B219" s="55">
        <v>7.4125711E7</v>
      </c>
      <c r="C219" s="56">
        <v>0.0</v>
      </c>
      <c r="D219" s="56">
        <v>60.0</v>
      </c>
      <c r="E219" s="56">
        <v>80.0</v>
      </c>
      <c r="F219" s="56">
        <v>90.0</v>
      </c>
      <c r="G219" s="56">
        <v>100.0</v>
      </c>
      <c r="H219" s="56">
        <v>110.0</v>
      </c>
      <c r="I219" s="56">
        <v>120.0</v>
      </c>
      <c r="J219" s="56">
        <v>130.0</v>
      </c>
      <c r="K219" s="56">
        <v>140.0</v>
      </c>
      <c r="L219" s="56">
        <v>150.0</v>
      </c>
      <c r="M219" s="48">
        <v>114.8342011403</v>
      </c>
      <c r="N219" s="56">
        <v>110.5123852463</v>
      </c>
      <c r="O219" s="56">
        <v>107.27704122829999</v>
      </c>
      <c r="P219" s="56">
        <v>105.1382324093</v>
      </c>
      <c r="Q219" s="56">
        <v>102.5972958503</v>
      </c>
      <c r="R219" s="56">
        <v>99.6132041513</v>
      </c>
      <c r="S219" s="56">
        <v>96.1449299123</v>
      </c>
      <c r="T219" s="56">
        <v>92.1514457333</v>
      </c>
      <c r="U219" s="56">
        <v>87.5917242143</v>
      </c>
      <c r="V219" s="56">
        <v>82.4247379553</v>
      </c>
      <c r="W219" s="49">
        <f>W209/2+W208*4</f>
        <v>31.983</v>
      </c>
      <c r="X219" s="56">
        <v>38.811</v>
      </c>
      <c r="Y219" s="56">
        <v>40.948</v>
      </c>
      <c r="Z219" s="56">
        <v>41.956</v>
      </c>
      <c r="AA219" s="56">
        <v>42.914</v>
      </c>
      <c r="AB219" s="56">
        <v>43.811</v>
      </c>
      <c r="AC219" s="56">
        <v>44.604000000000006</v>
      </c>
      <c r="AD219" s="56">
        <v>45.257</v>
      </c>
      <c r="AE219" s="56">
        <v>45.643</v>
      </c>
      <c r="AF219" s="56">
        <v>45.143</v>
      </c>
      <c r="AG219" s="49">
        <v>2.4</v>
      </c>
      <c r="AH219" s="56">
        <v>2.44</v>
      </c>
      <c r="AI219" s="56">
        <v>2.58</v>
      </c>
      <c r="AJ219" s="56">
        <v>2.72</v>
      </c>
      <c r="AK219" s="56">
        <v>2.91</v>
      </c>
      <c r="AL219" s="56">
        <v>3.22</v>
      </c>
      <c r="AM219" s="56">
        <v>3.71</v>
      </c>
      <c r="AN219" s="56">
        <v>4.48</v>
      </c>
      <c r="AO219" s="56">
        <v>5.72</v>
      </c>
      <c r="AP219" s="56">
        <v>8.16</v>
      </c>
      <c r="AQ219" s="49">
        <v>0.0</v>
      </c>
      <c r="AR219" s="56">
        <v>52.61</v>
      </c>
      <c r="AS219" s="56">
        <v>63.52</v>
      </c>
      <c r="AT219" s="56">
        <v>67.53</v>
      </c>
      <c r="AU219" s="56">
        <v>70.57</v>
      </c>
      <c r="AV219" s="56">
        <v>72.68</v>
      </c>
      <c r="AW219" s="56">
        <v>73.84</v>
      </c>
      <c r="AX219" s="56">
        <v>74.07</v>
      </c>
      <c r="AY219" s="56">
        <v>73.38</v>
      </c>
      <c r="AZ219" s="56">
        <v>71.75</v>
      </c>
      <c r="BA219" s="50">
        <v>1446.0</v>
      </c>
      <c r="BB219" s="57">
        <v>702.0</v>
      </c>
      <c r="BC219" s="57">
        <v>450.0</v>
      </c>
      <c r="BD219" s="57">
        <v>340.0</v>
      </c>
      <c r="BE219" s="57" t="s">
        <v>639</v>
      </c>
      <c r="BF219" s="57" t="s">
        <v>922</v>
      </c>
      <c r="BG219" s="57" t="s">
        <v>923</v>
      </c>
      <c r="BH219" s="57" t="s">
        <v>924</v>
      </c>
      <c r="BI219" s="57">
        <v>275.0</v>
      </c>
      <c r="BJ219" s="57">
        <v>340.0</v>
      </c>
      <c r="BK219" s="57">
        <v>380.0</v>
      </c>
      <c r="BL219" s="57">
        <v>425.0</v>
      </c>
      <c r="BM219" s="57">
        <v>500.0</v>
      </c>
      <c r="BN219" s="57">
        <v>180.0</v>
      </c>
      <c r="BO219" s="57">
        <v>56.0</v>
      </c>
      <c r="BP219" s="57" t="s">
        <v>925</v>
      </c>
      <c r="BQ219" s="57" t="s">
        <v>926</v>
      </c>
      <c r="BR219" s="58">
        <v>25.0</v>
      </c>
      <c r="BS219" s="59" t="s">
        <v>927</v>
      </c>
      <c r="BT219" s="59" t="s">
        <v>927</v>
      </c>
      <c r="BU219" s="58">
        <v>45.0</v>
      </c>
      <c r="BV219" s="47">
        <f>IFERROR(__xludf.DUMMYFUNCTION("IFERROR(INDEX(motors!E:E, MATCH(1, (motors!A:A=REGEXEXTRACT(A219,""^\S+""))*(motors!B:B=BU219), 0)), """")"),80.8)</f>
        <v>80.8</v>
      </c>
      <c r="BW219" s="47">
        <f>IFERROR(__xludf.DUMMYFUNCTION("IFERROR(INDEX(motors!F:F, MATCH(1, (motors!A:A=REGEXEXTRACT(A219,""^\S+""))*(motors!B:B=BU219), 0)), """")"),46.5)</f>
        <v>46.5</v>
      </c>
      <c r="BX219" s="57">
        <v>2.0</v>
      </c>
      <c r="BY219" s="58">
        <v>470.0</v>
      </c>
      <c r="BZ219" s="59" t="s">
        <v>950</v>
      </c>
      <c r="CA219" s="53" t="str">
        <f>IFERROR(__xludf.DUMMYFUNCTION("IFERROR(REGEXEXTRACT(BZ219, ""(?i)[A-Z]+-D-E-([^-]+)-E""), """")"),"HUBE")</f>
        <v>HUBE</v>
      </c>
    </row>
    <row r="220" ht="11.25" customHeight="1">
      <c r="A220" s="46" t="s">
        <v>951</v>
      </c>
      <c r="B220" s="46">
        <v>7.4125713E7</v>
      </c>
      <c r="C220" s="47">
        <v>0.0</v>
      </c>
      <c r="D220" s="47">
        <v>60.0</v>
      </c>
      <c r="E220" s="47">
        <v>80.0</v>
      </c>
      <c r="F220" s="47">
        <v>90.0</v>
      </c>
      <c r="G220" s="47">
        <v>100.0</v>
      </c>
      <c r="H220" s="47">
        <v>110.0</v>
      </c>
      <c r="I220" s="47">
        <v>120.0</v>
      </c>
      <c r="J220" s="47">
        <v>130.0</v>
      </c>
      <c r="K220" s="47">
        <v>140.0</v>
      </c>
      <c r="L220" s="47">
        <v>150.0</v>
      </c>
      <c r="M220" s="48">
        <v>120.6695418311</v>
      </c>
      <c r="N220" s="47">
        <v>115.5756697691</v>
      </c>
      <c r="O220" s="47">
        <v>112.4436496951</v>
      </c>
      <c r="P220" s="47">
        <v>110.3176874981</v>
      </c>
      <c r="Q220" s="47">
        <v>107.73218226110001</v>
      </c>
      <c r="R220" s="47">
        <v>104.6224527841</v>
      </c>
      <c r="S220" s="47">
        <v>100.92381786710001</v>
      </c>
      <c r="T220" s="47">
        <v>96.5715963101</v>
      </c>
      <c r="U220" s="47">
        <v>91.5011069131</v>
      </c>
      <c r="V220" s="47">
        <v>85.6476684761</v>
      </c>
      <c r="W220" s="49">
        <f>W208*5</f>
        <v>35.27</v>
      </c>
      <c r="X220" s="47">
        <v>41.72</v>
      </c>
      <c r="Y220" s="47">
        <v>43.735</v>
      </c>
      <c r="Z220" s="47">
        <v>44.68</v>
      </c>
      <c r="AA220" s="47">
        <v>45.575</v>
      </c>
      <c r="AB220" s="47">
        <v>46.41</v>
      </c>
      <c r="AC220" s="47">
        <v>47.14</v>
      </c>
      <c r="AD220" s="47">
        <v>47.73</v>
      </c>
      <c r="AE220" s="47">
        <v>48.05500000000001</v>
      </c>
      <c r="AF220" s="47">
        <v>47.5</v>
      </c>
      <c r="AG220" s="49">
        <v>2.4</v>
      </c>
      <c r="AH220" s="47">
        <v>2.44</v>
      </c>
      <c r="AI220" s="47">
        <v>2.58</v>
      </c>
      <c r="AJ220" s="47">
        <v>2.72</v>
      </c>
      <c r="AK220" s="47">
        <v>2.91</v>
      </c>
      <c r="AL220" s="47">
        <v>3.22</v>
      </c>
      <c r="AM220" s="47">
        <v>3.71</v>
      </c>
      <c r="AN220" s="47">
        <v>4.48</v>
      </c>
      <c r="AO220" s="47">
        <v>5.72</v>
      </c>
      <c r="AP220" s="47">
        <v>8.16</v>
      </c>
      <c r="AQ220" s="49">
        <v>0.0</v>
      </c>
      <c r="AR220" s="47">
        <v>52.61</v>
      </c>
      <c r="AS220" s="47">
        <v>63.52</v>
      </c>
      <c r="AT220" s="47">
        <v>67.53</v>
      </c>
      <c r="AU220" s="47">
        <v>70.57</v>
      </c>
      <c r="AV220" s="47">
        <v>72.68</v>
      </c>
      <c r="AW220" s="47">
        <v>73.84</v>
      </c>
      <c r="AX220" s="47">
        <v>74.07</v>
      </c>
      <c r="AY220" s="47">
        <v>73.38</v>
      </c>
      <c r="AZ220" s="47">
        <v>71.75</v>
      </c>
      <c r="BA220" s="50">
        <v>1476.0</v>
      </c>
      <c r="BB220" s="51">
        <v>772.0</v>
      </c>
      <c r="BC220" s="51">
        <v>490.0</v>
      </c>
      <c r="BD220" s="51">
        <v>370.0</v>
      </c>
      <c r="BE220" s="51" t="s">
        <v>639</v>
      </c>
      <c r="BF220" s="51" t="s">
        <v>922</v>
      </c>
      <c r="BG220" s="51" t="s">
        <v>923</v>
      </c>
      <c r="BH220" s="51" t="s">
        <v>924</v>
      </c>
      <c r="BI220" s="51">
        <v>275.0</v>
      </c>
      <c r="BJ220" s="51">
        <v>340.0</v>
      </c>
      <c r="BK220" s="51">
        <v>380.0</v>
      </c>
      <c r="BL220" s="51">
        <v>425.0</v>
      </c>
      <c r="BM220" s="51">
        <v>500.0</v>
      </c>
      <c r="BN220" s="51">
        <v>180.0</v>
      </c>
      <c r="BO220" s="51">
        <v>56.0</v>
      </c>
      <c r="BP220" s="51" t="s">
        <v>925</v>
      </c>
      <c r="BQ220" s="51" t="s">
        <v>926</v>
      </c>
      <c r="BR220" s="52">
        <v>25.0</v>
      </c>
      <c r="BS220" s="53" t="s">
        <v>927</v>
      </c>
      <c r="BT220" s="53" t="s">
        <v>927</v>
      </c>
      <c r="BU220" s="52">
        <v>55.0</v>
      </c>
      <c r="BV220" s="47">
        <f>IFERROR(__xludf.DUMMYFUNCTION("IFERROR(INDEX(motors!E:E, MATCH(1, (motors!A:A=REGEXEXTRACT(A220,""^\S+""))*(motors!B:B=BU220), 0)), """")"),98.5)</f>
        <v>98.5</v>
      </c>
      <c r="BW220" s="47">
        <f>IFERROR(__xludf.DUMMYFUNCTION("IFERROR(INDEX(motors!F:F, MATCH(1, (motors!A:A=REGEXEXTRACT(A220,""^\S+""))*(motors!B:B=BU220), 0)), """")"),56.7)</f>
        <v>56.7</v>
      </c>
      <c r="BX220" s="51">
        <v>2.0</v>
      </c>
      <c r="BY220" s="52">
        <v>575.0</v>
      </c>
      <c r="BZ220" s="53" t="s">
        <v>952</v>
      </c>
      <c r="CA220" s="53" t="str">
        <f>IFERROR(__xludf.DUMMYFUNCTION("IFERROR(REGEXEXTRACT(BZ220, ""(?i)[A-Z]+-D-E-([^-]+)-E""), """")"),"HUBE")</f>
        <v>HUBE</v>
      </c>
    </row>
    <row r="221" ht="11.25" customHeight="1">
      <c r="A221" s="55" t="s">
        <v>953</v>
      </c>
      <c r="B221" s="55">
        <v>7.4125715E7</v>
      </c>
      <c r="C221" s="56">
        <v>0.0</v>
      </c>
      <c r="D221" s="56">
        <v>60.0</v>
      </c>
      <c r="E221" s="56">
        <v>80.0</v>
      </c>
      <c r="F221" s="56">
        <v>90.0</v>
      </c>
      <c r="G221" s="56">
        <v>100.0</v>
      </c>
      <c r="H221" s="56">
        <v>110.0</v>
      </c>
      <c r="I221" s="56">
        <v>120.0</v>
      </c>
      <c r="J221" s="56">
        <v>130.0</v>
      </c>
      <c r="K221" s="56">
        <v>140.0</v>
      </c>
      <c r="L221" s="56">
        <v>150.0</v>
      </c>
      <c r="M221" s="48">
        <v>130.8877270084</v>
      </c>
      <c r="N221" s="56">
        <v>127.52356707639998</v>
      </c>
      <c r="O221" s="56">
        <v>123.49976571239999</v>
      </c>
      <c r="P221" s="56">
        <v>120.78572847039999</v>
      </c>
      <c r="Q221" s="56">
        <v>117.55680498839999</v>
      </c>
      <c r="R221" s="56">
        <v>113.7778988664</v>
      </c>
      <c r="S221" s="56">
        <v>109.41391370439999</v>
      </c>
      <c r="T221" s="56">
        <v>104.42975310239999</v>
      </c>
      <c r="U221" s="56">
        <v>98.7903206604</v>
      </c>
      <c r="V221" s="56">
        <v>92.46051997839999</v>
      </c>
      <c r="W221" s="49">
        <f>W209+W208*4</f>
        <v>35.75</v>
      </c>
      <c r="X221" s="56">
        <v>44.245999999999995</v>
      </c>
      <c r="Y221" s="56">
        <v>46.908</v>
      </c>
      <c r="Z221" s="56">
        <v>48.168</v>
      </c>
      <c r="AA221" s="56">
        <v>49.368</v>
      </c>
      <c r="AB221" s="56">
        <v>50.494</v>
      </c>
      <c r="AC221" s="56">
        <v>51.496</v>
      </c>
      <c r="AD221" s="56">
        <v>52.33</v>
      </c>
      <c r="AE221" s="56">
        <v>52.842</v>
      </c>
      <c r="AF221" s="56">
        <v>52.286</v>
      </c>
      <c r="AG221" s="49">
        <v>2.4</v>
      </c>
      <c r="AH221" s="56">
        <v>2.44</v>
      </c>
      <c r="AI221" s="56">
        <v>2.58</v>
      </c>
      <c r="AJ221" s="56">
        <v>2.72</v>
      </c>
      <c r="AK221" s="56">
        <v>2.91</v>
      </c>
      <c r="AL221" s="56">
        <v>3.22</v>
      </c>
      <c r="AM221" s="56">
        <v>3.71</v>
      </c>
      <c r="AN221" s="56">
        <v>4.48</v>
      </c>
      <c r="AO221" s="56">
        <v>5.72</v>
      </c>
      <c r="AP221" s="56">
        <v>8.16</v>
      </c>
      <c r="AQ221" s="49">
        <v>0.0</v>
      </c>
      <c r="AR221" s="56">
        <v>52.61</v>
      </c>
      <c r="AS221" s="56">
        <v>63.52</v>
      </c>
      <c r="AT221" s="56">
        <v>67.53</v>
      </c>
      <c r="AU221" s="56">
        <v>70.57</v>
      </c>
      <c r="AV221" s="56">
        <v>72.68</v>
      </c>
      <c r="AW221" s="56">
        <v>73.84</v>
      </c>
      <c r="AX221" s="56">
        <v>74.07</v>
      </c>
      <c r="AY221" s="56">
        <v>73.38</v>
      </c>
      <c r="AZ221" s="56">
        <v>71.75</v>
      </c>
      <c r="BA221" s="50">
        <v>1628.0</v>
      </c>
      <c r="BB221" s="57">
        <v>772.0</v>
      </c>
      <c r="BC221" s="57">
        <v>490.0</v>
      </c>
      <c r="BD221" s="57">
        <v>370.0</v>
      </c>
      <c r="BE221" s="57" t="s">
        <v>639</v>
      </c>
      <c r="BF221" s="57" t="s">
        <v>922</v>
      </c>
      <c r="BG221" s="57" t="s">
        <v>923</v>
      </c>
      <c r="BH221" s="57" t="s">
        <v>924</v>
      </c>
      <c r="BI221" s="57">
        <v>275.0</v>
      </c>
      <c r="BJ221" s="57">
        <v>340.0</v>
      </c>
      <c r="BK221" s="57">
        <v>380.0</v>
      </c>
      <c r="BL221" s="57">
        <v>425.0</v>
      </c>
      <c r="BM221" s="57">
        <v>500.0</v>
      </c>
      <c r="BN221" s="57">
        <v>180.0</v>
      </c>
      <c r="BO221" s="57">
        <v>56.0</v>
      </c>
      <c r="BP221" s="57" t="s">
        <v>925</v>
      </c>
      <c r="BQ221" s="57" t="s">
        <v>926</v>
      </c>
      <c r="BR221" s="58">
        <v>25.0</v>
      </c>
      <c r="BS221" s="59" t="s">
        <v>927</v>
      </c>
      <c r="BT221" s="59" t="s">
        <v>927</v>
      </c>
      <c r="BU221" s="58">
        <v>55.0</v>
      </c>
      <c r="BV221" s="47">
        <f>IFERROR(__xludf.DUMMYFUNCTION("IFERROR(INDEX(motors!E:E, MATCH(1, (motors!A:A=REGEXEXTRACT(A221,""^\S+""))*(motors!B:B=BU221), 0)), """")"),98.5)</f>
        <v>98.5</v>
      </c>
      <c r="BW221" s="47">
        <f>IFERROR(__xludf.DUMMYFUNCTION("IFERROR(INDEX(motors!F:F, MATCH(1, (motors!A:A=REGEXEXTRACT(A221,""^\S+""))*(motors!B:B=BU221), 0)), """")"),56.7)</f>
        <v>56.7</v>
      </c>
      <c r="BX221" s="57">
        <v>2.0</v>
      </c>
      <c r="BY221" s="58">
        <v>585.0</v>
      </c>
      <c r="BZ221" s="59" t="s">
        <v>954</v>
      </c>
      <c r="CA221" s="53" t="str">
        <f>IFERROR(__xludf.DUMMYFUNCTION("IFERROR(REGEXEXTRACT(BZ221, ""(?i)[A-Z]+-D-E-([^-]+)-E""), """")"),"HUBE")</f>
        <v>HUBE</v>
      </c>
    </row>
    <row r="222" ht="11.25" customHeight="1">
      <c r="A222" s="46" t="s">
        <v>955</v>
      </c>
      <c r="B222" s="46">
        <v>7.4125714E7</v>
      </c>
      <c r="C222" s="47">
        <v>0.0</v>
      </c>
      <c r="D222" s="47">
        <v>60.0</v>
      </c>
      <c r="E222" s="47">
        <v>80.0</v>
      </c>
      <c r="F222" s="47">
        <v>90.0</v>
      </c>
      <c r="G222" s="47">
        <v>100.0</v>
      </c>
      <c r="H222" s="47">
        <v>110.0</v>
      </c>
      <c r="I222" s="47">
        <v>120.0</v>
      </c>
      <c r="J222" s="47">
        <v>130.0</v>
      </c>
      <c r="K222" s="47">
        <v>140.0</v>
      </c>
      <c r="L222" s="47">
        <v>150.0</v>
      </c>
      <c r="M222" s="48">
        <v>138.713045671</v>
      </c>
      <c r="N222" s="47">
        <v>133.882021435</v>
      </c>
      <c r="O222" s="47">
        <v>130.083017783</v>
      </c>
      <c r="P222" s="47">
        <v>127.524514987</v>
      </c>
      <c r="Q222" s="47">
        <v>124.453011011</v>
      </c>
      <c r="R222" s="47">
        <v>120.813255455</v>
      </c>
      <c r="S222" s="47">
        <v>116.549997919</v>
      </c>
      <c r="T222" s="47">
        <v>111.607988003</v>
      </c>
      <c r="U222" s="47">
        <v>105.931975307</v>
      </c>
      <c r="V222" s="47">
        <v>99.466709431</v>
      </c>
      <c r="W222" s="49">
        <f>W209/2+W208*5</f>
        <v>39.037</v>
      </c>
      <c r="X222" s="47">
        <v>47.155</v>
      </c>
      <c r="Y222" s="47">
        <v>49.695</v>
      </c>
      <c r="Z222" s="47">
        <v>50.891999999999996</v>
      </c>
      <c r="AA222" s="47">
        <v>52.029</v>
      </c>
      <c r="AB222" s="47">
        <v>53.092999999999996</v>
      </c>
      <c r="AC222" s="47">
        <v>54.032000000000004</v>
      </c>
      <c r="AD222" s="47">
        <v>54.803</v>
      </c>
      <c r="AE222" s="47">
        <v>55.254000000000005</v>
      </c>
      <c r="AF222" s="47">
        <v>54.643</v>
      </c>
      <c r="AG222" s="49">
        <v>2.4</v>
      </c>
      <c r="AH222" s="47">
        <v>2.44</v>
      </c>
      <c r="AI222" s="47">
        <v>2.58</v>
      </c>
      <c r="AJ222" s="47">
        <v>2.72</v>
      </c>
      <c r="AK222" s="47">
        <v>2.91</v>
      </c>
      <c r="AL222" s="47">
        <v>3.22</v>
      </c>
      <c r="AM222" s="47">
        <v>3.71</v>
      </c>
      <c r="AN222" s="47">
        <v>4.48</v>
      </c>
      <c r="AO222" s="47">
        <v>5.72</v>
      </c>
      <c r="AP222" s="47">
        <v>8.16</v>
      </c>
      <c r="AQ222" s="49">
        <v>0.0</v>
      </c>
      <c r="AR222" s="47">
        <v>52.61</v>
      </c>
      <c r="AS222" s="47">
        <v>63.52</v>
      </c>
      <c r="AT222" s="47">
        <v>67.53</v>
      </c>
      <c r="AU222" s="47">
        <v>70.57</v>
      </c>
      <c r="AV222" s="47">
        <v>72.68</v>
      </c>
      <c r="AW222" s="47">
        <v>73.84</v>
      </c>
      <c r="AX222" s="47">
        <v>74.07</v>
      </c>
      <c r="AY222" s="47">
        <v>73.38</v>
      </c>
      <c r="AZ222" s="47">
        <v>71.75</v>
      </c>
      <c r="BA222" s="50">
        <v>1628.0</v>
      </c>
      <c r="BB222" s="51">
        <v>772.0</v>
      </c>
      <c r="BC222" s="51">
        <v>490.0</v>
      </c>
      <c r="BD222" s="51">
        <v>370.0</v>
      </c>
      <c r="BE222" s="51" t="s">
        <v>639</v>
      </c>
      <c r="BF222" s="51" t="s">
        <v>922</v>
      </c>
      <c r="BG222" s="51" t="s">
        <v>923</v>
      </c>
      <c r="BH222" s="51" t="s">
        <v>924</v>
      </c>
      <c r="BI222" s="51">
        <v>275.0</v>
      </c>
      <c r="BJ222" s="51">
        <v>340.0</v>
      </c>
      <c r="BK222" s="51">
        <v>380.0</v>
      </c>
      <c r="BL222" s="51">
        <v>425.0</v>
      </c>
      <c r="BM222" s="51">
        <v>500.0</v>
      </c>
      <c r="BN222" s="51">
        <v>180.0</v>
      </c>
      <c r="BO222" s="51">
        <v>56.0</v>
      </c>
      <c r="BP222" s="51" t="s">
        <v>925</v>
      </c>
      <c r="BQ222" s="51" t="s">
        <v>926</v>
      </c>
      <c r="BR222" s="52">
        <v>25.0</v>
      </c>
      <c r="BS222" s="53" t="s">
        <v>927</v>
      </c>
      <c r="BT222" s="53" t="s">
        <v>927</v>
      </c>
      <c r="BU222" s="52">
        <v>55.0</v>
      </c>
      <c r="BV222" s="47">
        <f>IFERROR(__xludf.DUMMYFUNCTION("IFERROR(INDEX(motors!E:E, MATCH(1, (motors!A:A=REGEXEXTRACT(A222,""^\S+""))*(motors!B:B=BU222), 0)), """")"),98.5)</f>
        <v>98.5</v>
      </c>
      <c r="BW222" s="47">
        <f>IFERROR(__xludf.DUMMYFUNCTION("IFERROR(INDEX(motors!F:F, MATCH(1, (motors!A:A=REGEXEXTRACT(A222,""^\S+""))*(motors!B:B=BU222), 0)), """")"),56.7)</f>
        <v>56.7</v>
      </c>
      <c r="BX222" s="51">
        <v>2.0</v>
      </c>
      <c r="BY222" s="52">
        <v>585.0</v>
      </c>
      <c r="BZ222" s="53" t="s">
        <v>956</v>
      </c>
      <c r="CA222" s="53" t="str">
        <f>IFERROR(__xludf.DUMMYFUNCTION("IFERROR(REGEXEXTRACT(BZ222, ""(?i)[A-Z]+-D-E-([^-]+)-E""), """")"),"HUBE")</f>
        <v>HUBE</v>
      </c>
    </row>
    <row r="223" ht="11.25" customHeight="1">
      <c r="A223" s="55" t="s">
        <v>957</v>
      </c>
      <c r="B223" s="55">
        <v>7.4125716E7</v>
      </c>
      <c r="C223" s="56">
        <v>0.0</v>
      </c>
      <c r="D223" s="56">
        <v>60.0</v>
      </c>
      <c r="E223" s="56">
        <v>80.0</v>
      </c>
      <c r="F223" s="56">
        <v>90.0</v>
      </c>
      <c r="G223" s="56">
        <v>100.0</v>
      </c>
      <c r="H223" s="56">
        <v>110.0</v>
      </c>
      <c r="I223" s="56">
        <v>120.0</v>
      </c>
      <c r="J223" s="56">
        <v>130.0</v>
      </c>
      <c r="K223" s="56">
        <v>140.0</v>
      </c>
      <c r="L223" s="56">
        <v>150.0</v>
      </c>
      <c r="M223" s="48">
        <v>143.8759753996</v>
      </c>
      <c r="N223" s="56">
        <v>138.6390424096</v>
      </c>
      <c r="O223" s="56">
        <v>134.9569689596</v>
      </c>
      <c r="P223" s="56">
        <v>132.4496363746</v>
      </c>
      <c r="Q223" s="56">
        <v>129.4082649496</v>
      </c>
      <c r="R223" s="56">
        <v>125.76547348460001</v>
      </c>
      <c r="S223" s="56">
        <v>121.45388077960001</v>
      </c>
      <c r="T223" s="56">
        <v>116.40610563460001</v>
      </c>
      <c r="U223" s="56">
        <v>110.55476684960001</v>
      </c>
      <c r="V223" s="56">
        <v>103.83248322460001</v>
      </c>
      <c r="W223" s="49">
        <f>W208*6</f>
        <v>42.324</v>
      </c>
      <c r="X223" s="56">
        <v>50.06399999999999</v>
      </c>
      <c r="Y223" s="56">
        <v>52.482</v>
      </c>
      <c r="Z223" s="56">
        <v>53.616</v>
      </c>
      <c r="AA223" s="56">
        <v>54.69</v>
      </c>
      <c r="AB223" s="56">
        <v>55.692</v>
      </c>
      <c r="AC223" s="56">
        <v>56.568000000000005</v>
      </c>
      <c r="AD223" s="56">
        <v>57.275999999999996</v>
      </c>
      <c r="AE223" s="56">
        <v>57.666000000000004</v>
      </c>
      <c r="AF223" s="56">
        <v>57.0</v>
      </c>
      <c r="AG223" s="49">
        <v>2.4</v>
      </c>
      <c r="AH223" s="56">
        <v>2.44</v>
      </c>
      <c r="AI223" s="56">
        <v>2.58</v>
      </c>
      <c r="AJ223" s="56">
        <v>2.72</v>
      </c>
      <c r="AK223" s="56">
        <v>2.91</v>
      </c>
      <c r="AL223" s="56">
        <v>3.22</v>
      </c>
      <c r="AM223" s="56">
        <v>3.71</v>
      </c>
      <c r="AN223" s="56">
        <v>4.48</v>
      </c>
      <c r="AO223" s="56">
        <v>5.72</v>
      </c>
      <c r="AP223" s="56">
        <v>8.16</v>
      </c>
      <c r="AQ223" s="49">
        <v>0.0</v>
      </c>
      <c r="AR223" s="56">
        <v>52.61</v>
      </c>
      <c r="AS223" s="56">
        <v>63.52</v>
      </c>
      <c r="AT223" s="56">
        <v>67.53</v>
      </c>
      <c r="AU223" s="56">
        <v>70.57</v>
      </c>
      <c r="AV223" s="56">
        <v>72.68</v>
      </c>
      <c r="AW223" s="56">
        <v>73.84</v>
      </c>
      <c r="AX223" s="56">
        <v>74.07</v>
      </c>
      <c r="AY223" s="56">
        <v>73.38</v>
      </c>
      <c r="AZ223" s="56">
        <v>71.75</v>
      </c>
      <c r="BA223" s="50">
        <v>1628.0</v>
      </c>
      <c r="BB223" s="57">
        <v>840.0</v>
      </c>
      <c r="BC223" s="57">
        <v>550.0</v>
      </c>
      <c r="BD223" s="57">
        <v>410.0</v>
      </c>
      <c r="BE223" s="57" t="s">
        <v>639</v>
      </c>
      <c r="BF223" s="57" t="s">
        <v>922</v>
      </c>
      <c r="BG223" s="57" t="s">
        <v>923</v>
      </c>
      <c r="BH223" s="57" t="s">
        <v>924</v>
      </c>
      <c r="BI223" s="57">
        <v>275.0</v>
      </c>
      <c r="BJ223" s="57">
        <v>340.0</v>
      </c>
      <c r="BK223" s="57">
        <v>380.0</v>
      </c>
      <c r="BL223" s="57">
        <v>425.0</v>
      </c>
      <c r="BM223" s="57">
        <v>500.0</v>
      </c>
      <c r="BN223" s="57">
        <v>180.0</v>
      </c>
      <c r="BO223" s="57">
        <v>56.0</v>
      </c>
      <c r="BP223" s="57" t="s">
        <v>925</v>
      </c>
      <c r="BQ223" s="57" t="s">
        <v>926</v>
      </c>
      <c r="BR223" s="58">
        <v>25.0</v>
      </c>
      <c r="BS223" s="59" t="s">
        <v>927</v>
      </c>
      <c r="BT223" s="59" t="s">
        <v>927</v>
      </c>
      <c r="BU223" s="58">
        <v>75.0</v>
      </c>
      <c r="BV223" s="47">
        <f>IFERROR(__xludf.DUMMYFUNCTION("IFERROR(INDEX(motors!E:E, MATCH(1, (motors!A:A=REGEXEXTRACT(A223,""^\S+""))*(motors!B:B=BU223), 0)), """")"),133.7)</f>
        <v>133.7</v>
      </c>
      <c r="BW223" s="47">
        <f>IFERROR(__xludf.DUMMYFUNCTION("IFERROR(INDEX(motors!F:F, MATCH(1, (motors!A:A=REGEXEXTRACT(A223,""^\S+""))*(motors!B:B=BU223), 0)), """")"),77.0)</f>
        <v>77</v>
      </c>
      <c r="BX223" s="57">
        <v>2.0</v>
      </c>
      <c r="BY223" s="58">
        <v>705.0</v>
      </c>
      <c r="BZ223" s="59" t="s">
        <v>958</v>
      </c>
      <c r="CA223" s="53" t="str">
        <f>IFERROR(__xludf.DUMMYFUNCTION("IFERROR(REGEXEXTRACT(BZ223, ""(?i)[A-Z]+-D-E-([^-]+)-E""), """")"),"HUBE")</f>
        <v>HUBE</v>
      </c>
    </row>
    <row r="224" ht="11.25" customHeight="1">
      <c r="A224" s="46" t="s">
        <v>959</v>
      </c>
      <c r="B224" s="46">
        <v>7.4125718E7</v>
      </c>
      <c r="C224" s="47">
        <v>0.0</v>
      </c>
      <c r="D224" s="47">
        <v>60.0</v>
      </c>
      <c r="E224" s="47">
        <v>80.0</v>
      </c>
      <c r="F224" s="47">
        <v>90.0</v>
      </c>
      <c r="G224" s="47">
        <v>100.0</v>
      </c>
      <c r="H224" s="47">
        <v>110.0</v>
      </c>
      <c r="I224" s="47">
        <v>120.0</v>
      </c>
      <c r="J224" s="47">
        <v>130.0</v>
      </c>
      <c r="K224" s="47">
        <v>140.0</v>
      </c>
      <c r="L224" s="47">
        <v>150.0</v>
      </c>
      <c r="M224" s="48">
        <v>154.1942381038</v>
      </c>
      <c r="N224" s="47">
        <v>150.4507701238</v>
      </c>
      <c r="O224" s="47">
        <v>145.8091452238</v>
      </c>
      <c r="P224" s="47">
        <v>142.6489197538</v>
      </c>
      <c r="Q224" s="47">
        <v>138.8689152038</v>
      </c>
      <c r="R224" s="47">
        <v>134.4240037738</v>
      </c>
      <c r="S224" s="47">
        <v>129.2690576638</v>
      </c>
      <c r="T224" s="47">
        <v>123.35894907379999</v>
      </c>
      <c r="U224" s="47">
        <v>116.6485502038</v>
      </c>
      <c r="V224" s="47">
        <v>109.09273325379999</v>
      </c>
      <c r="W224" s="49">
        <f>W209+W208*5</f>
        <v>42.804</v>
      </c>
      <c r="X224" s="47">
        <v>52.589999999999996</v>
      </c>
      <c r="Y224" s="47">
        <v>55.655</v>
      </c>
      <c r="Z224" s="47">
        <v>57.104</v>
      </c>
      <c r="AA224" s="47">
        <v>58.483000000000004</v>
      </c>
      <c r="AB224" s="47">
        <v>59.775999999999996</v>
      </c>
      <c r="AC224" s="47">
        <v>60.924</v>
      </c>
      <c r="AD224" s="47">
        <v>61.876</v>
      </c>
      <c r="AE224" s="47">
        <v>62.453</v>
      </c>
      <c r="AF224" s="47">
        <v>61.786</v>
      </c>
      <c r="AG224" s="49">
        <v>2.4</v>
      </c>
      <c r="AH224" s="47">
        <v>2.44</v>
      </c>
      <c r="AI224" s="47">
        <v>2.58</v>
      </c>
      <c r="AJ224" s="47">
        <v>2.72</v>
      </c>
      <c r="AK224" s="47">
        <v>2.91</v>
      </c>
      <c r="AL224" s="47">
        <v>3.22</v>
      </c>
      <c r="AM224" s="47">
        <v>3.71</v>
      </c>
      <c r="AN224" s="47">
        <v>4.48</v>
      </c>
      <c r="AO224" s="47">
        <v>5.72</v>
      </c>
      <c r="AP224" s="47">
        <v>8.16</v>
      </c>
      <c r="AQ224" s="49">
        <v>0.0</v>
      </c>
      <c r="AR224" s="47">
        <v>52.61</v>
      </c>
      <c r="AS224" s="47">
        <v>63.52</v>
      </c>
      <c r="AT224" s="47">
        <v>67.53</v>
      </c>
      <c r="AU224" s="47">
        <v>70.57</v>
      </c>
      <c r="AV224" s="47">
        <v>72.68</v>
      </c>
      <c r="AW224" s="47">
        <v>73.84</v>
      </c>
      <c r="AX224" s="47">
        <v>74.07</v>
      </c>
      <c r="AY224" s="47">
        <v>73.38</v>
      </c>
      <c r="AZ224" s="47">
        <v>71.75</v>
      </c>
      <c r="BA224" s="50">
        <v>1780.0</v>
      </c>
      <c r="BB224" s="51">
        <v>840.0</v>
      </c>
      <c r="BC224" s="51">
        <v>550.0</v>
      </c>
      <c r="BD224" s="51">
        <v>410.0</v>
      </c>
      <c r="BE224" s="51" t="s">
        <v>639</v>
      </c>
      <c r="BF224" s="51" t="s">
        <v>922</v>
      </c>
      <c r="BG224" s="51" t="s">
        <v>923</v>
      </c>
      <c r="BH224" s="51" t="s">
        <v>924</v>
      </c>
      <c r="BI224" s="51">
        <v>275.0</v>
      </c>
      <c r="BJ224" s="51">
        <v>340.0</v>
      </c>
      <c r="BK224" s="51">
        <v>380.0</v>
      </c>
      <c r="BL224" s="51">
        <v>425.0</v>
      </c>
      <c r="BM224" s="51">
        <v>500.0</v>
      </c>
      <c r="BN224" s="51">
        <v>180.0</v>
      </c>
      <c r="BO224" s="51">
        <v>56.0</v>
      </c>
      <c r="BP224" s="51" t="s">
        <v>925</v>
      </c>
      <c r="BQ224" s="51" t="s">
        <v>926</v>
      </c>
      <c r="BR224" s="52">
        <v>25.0</v>
      </c>
      <c r="BS224" s="53" t="s">
        <v>927</v>
      </c>
      <c r="BT224" s="53" t="s">
        <v>927</v>
      </c>
      <c r="BU224" s="52">
        <v>75.0</v>
      </c>
      <c r="BV224" s="47">
        <f>IFERROR(__xludf.DUMMYFUNCTION("IFERROR(INDEX(motors!E:E, MATCH(1, (motors!A:A=REGEXEXTRACT(A224,""^\S+""))*(motors!B:B=BU224), 0)), """")"),133.7)</f>
        <v>133.7</v>
      </c>
      <c r="BW224" s="47">
        <f>IFERROR(__xludf.DUMMYFUNCTION("IFERROR(INDEX(motors!F:F, MATCH(1, (motors!A:A=REGEXEXTRACT(A224,""^\S+""))*(motors!B:B=BU224), 0)), """")"),77.0)</f>
        <v>77</v>
      </c>
      <c r="BX224" s="51">
        <v>2.0</v>
      </c>
      <c r="BY224" s="52">
        <v>715.0</v>
      </c>
      <c r="BZ224" s="53" t="s">
        <v>960</v>
      </c>
      <c r="CA224" s="53" t="str">
        <f>IFERROR(__xludf.DUMMYFUNCTION("IFERROR(REGEXEXTRACT(BZ224, ""(?i)[A-Z]+-D-E-([^-]+)-E""), """")"),"HUBE")</f>
        <v>HUBE</v>
      </c>
    </row>
    <row r="225" ht="11.25" customHeight="1">
      <c r="A225" s="55" t="s">
        <v>961</v>
      </c>
      <c r="B225" s="55">
        <v>7.4125717E7</v>
      </c>
      <c r="C225" s="56">
        <v>0.0</v>
      </c>
      <c r="D225" s="56">
        <v>60.0</v>
      </c>
      <c r="E225" s="56">
        <v>80.0</v>
      </c>
      <c r="F225" s="56">
        <v>90.0</v>
      </c>
      <c r="G225" s="56">
        <v>100.0</v>
      </c>
      <c r="H225" s="56">
        <v>110.0</v>
      </c>
      <c r="I225" s="56">
        <v>120.0</v>
      </c>
      <c r="J225" s="56">
        <v>130.0</v>
      </c>
      <c r="K225" s="56">
        <v>140.0</v>
      </c>
      <c r="L225" s="56">
        <v>150.0</v>
      </c>
      <c r="M225" s="48">
        <v>160.8924076633</v>
      </c>
      <c r="N225" s="56">
        <v>156.10060263129998</v>
      </c>
      <c r="O225" s="56">
        <v>151.8101070873</v>
      </c>
      <c r="P225" s="56">
        <v>148.8751831153</v>
      </c>
      <c r="Q225" s="56">
        <v>145.3294539433</v>
      </c>
      <c r="R225" s="56">
        <v>141.10965377129997</v>
      </c>
      <c r="S225" s="56">
        <v>136.15251679929997</v>
      </c>
      <c r="T225" s="56">
        <v>130.39477722729998</v>
      </c>
      <c r="U225" s="56">
        <v>123.77316925529999</v>
      </c>
      <c r="V225" s="56">
        <v>116.22442708329999</v>
      </c>
      <c r="W225" s="49">
        <f>W209/2+W208*6</f>
        <v>46.091</v>
      </c>
      <c r="X225" s="56">
        <v>55.498999999999995</v>
      </c>
      <c r="Y225" s="56">
        <v>58.442</v>
      </c>
      <c r="Z225" s="56">
        <v>59.828</v>
      </c>
      <c r="AA225" s="56">
        <v>61.144</v>
      </c>
      <c r="AB225" s="56">
        <v>62.375</v>
      </c>
      <c r="AC225" s="56">
        <v>63.46000000000001</v>
      </c>
      <c r="AD225" s="56">
        <v>64.34899999999999</v>
      </c>
      <c r="AE225" s="56">
        <v>64.86500000000001</v>
      </c>
      <c r="AF225" s="56">
        <v>64.143</v>
      </c>
      <c r="AG225" s="49">
        <v>2.4</v>
      </c>
      <c r="AH225" s="56">
        <v>2.44</v>
      </c>
      <c r="AI225" s="56">
        <v>2.58</v>
      </c>
      <c r="AJ225" s="56">
        <v>2.72</v>
      </c>
      <c r="AK225" s="56">
        <v>2.91</v>
      </c>
      <c r="AL225" s="56">
        <v>3.22</v>
      </c>
      <c r="AM225" s="56">
        <v>3.71</v>
      </c>
      <c r="AN225" s="56">
        <v>4.48</v>
      </c>
      <c r="AO225" s="56">
        <v>5.72</v>
      </c>
      <c r="AP225" s="56">
        <v>8.16</v>
      </c>
      <c r="AQ225" s="49">
        <v>0.0</v>
      </c>
      <c r="AR225" s="56">
        <v>52.61</v>
      </c>
      <c r="AS225" s="56">
        <v>63.52</v>
      </c>
      <c r="AT225" s="56">
        <v>67.53</v>
      </c>
      <c r="AU225" s="56">
        <v>70.57</v>
      </c>
      <c r="AV225" s="56">
        <v>72.68</v>
      </c>
      <c r="AW225" s="56">
        <v>73.84</v>
      </c>
      <c r="AX225" s="56">
        <v>74.07</v>
      </c>
      <c r="AY225" s="56">
        <v>73.38</v>
      </c>
      <c r="AZ225" s="56">
        <v>71.75</v>
      </c>
      <c r="BA225" s="50">
        <v>1780.0</v>
      </c>
      <c r="BB225" s="57">
        <v>840.0</v>
      </c>
      <c r="BC225" s="57">
        <v>550.0</v>
      </c>
      <c r="BD225" s="57">
        <v>410.0</v>
      </c>
      <c r="BE225" s="57" t="s">
        <v>639</v>
      </c>
      <c r="BF225" s="57" t="s">
        <v>922</v>
      </c>
      <c r="BG225" s="57" t="s">
        <v>923</v>
      </c>
      <c r="BH225" s="57" t="s">
        <v>924</v>
      </c>
      <c r="BI225" s="57">
        <v>275.0</v>
      </c>
      <c r="BJ225" s="57">
        <v>340.0</v>
      </c>
      <c r="BK225" s="57">
        <v>380.0</v>
      </c>
      <c r="BL225" s="57">
        <v>425.0</v>
      </c>
      <c r="BM225" s="57">
        <v>500.0</v>
      </c>
      <c r="BN225" s="57">
        <v>180.0</v>
      </c>
      <c r="BO225" s="57">
        <v>56.0</v>
      </c>
      <c r="BP225" s="57" t="s">
        <v>925</v>
      </c>
      <c r="BQ225" s="57" t="s">
        <v>926</v>
      </c>
      <c r="BR225" s="58">
        <v>25.0</v>
      </c>
      <c r="BS225" s="59" t="s">
        <v>927</v>
      </c>
      <c r="BT225" s="59" t="s">
        <v>927</v>
      </c>
      <c r="BU225" s="58">
        <v>75.0</v>
      </c>
      <c r="BV225" s="47">
        <f>IFERROR(__xludf.DUMMYFUNCTION("IFERROR(INDEX(motors!E:E, MATCH(1, (motors!A:A=REGEXEXTRACT(A225,""^\S+""))*(motors!B:B=BU225), 0)), """")"),133.7)</f>
        <v>133.7</v>
      </c>
      <c r="BW225" s="47">
        <f>IFERROR(__xludf.DUMMYFUNCTION("IFERROR(INDEX(motors!F:F, MATCH(1, (motors!A:A=REGEXEXTRACT(A225,""^\S+""))*(motors!B:B=BU225), 0)), """")"),77.0)</f>
        <v>77</v>
      </c>
      <c r="BX225" s="57">
        <v>2.0</v>
      </c>
      <c r="BY225" s="58">
        <v>715.0</v>
      </c>
      <c r="BZ225" s="59" t="s">
        <v>962</v>
      </c>
      <c r="CA225" s="53" t="str">
        <f>IFERROR(__xludf.DUMMYFUNCTION("IFERROR(REGEXEXTRACT(BZ225, ""(?i)[A-Z]+-D-E-([^-]+)-E""), """")"),"HUBE")</f>
        <v>HUBE</v>
      </c>
    </row>
    <row r="226" ht="11.25" customHeight="1">
      <c r="A226" s="46" t="s">
        <v>963</v>
      </c>
      <c r="B226" s="46">
        <v>7.4125719E7</v>
      </c>
      <c r="C226" s="47">
        <v>0.0</v>
      </c>
      <c r="D226" s="47">
        <v>60.0</v>
      </c>
      <c r="E226" s="47">
        <v>80.0</v>
      </c>
      <c r="F226" s="47">
        <v>90.0</v>
      </c>
      <c r="G226" s="47">
        <v>100.0</v>
      </c>
      <c r="H226" s="47">
        <v>110.0</v>
      </c>
      <c r="I226" s="47">
        <v>120.0</v>
      </c>
      <c r="J226" s="47">
        <v>130.0</v>
      </c>
      <c r="K226" s="47">
        <v>140.0</v>
      </c>
      <c r="L226" s="47">
        <v>150.0</v>
      </c>
      <c r="M226" s="48">
        <v>165.6937108192</v>
      </c>
      <c r="N226" s="47">
        <v>162.17625359919998</v>
      </c>
      <c r="O226" s="47">
        <v>158.3013862592</v>
      </c>
      <c r="P226" s="47">
        <v>155.5263035392</v>
      </c>
      <c r="Q226" s="47">
        <v>152.0947281192</v>
      </c>
      <c r="R226" s="47">
        <v>147.9331149992</v>
      </c>
      <c r="S226" s="47">
        <v>142.96791917919998</v>
      </c>
      <c r="T226" s="47">
        <v>137.1255956592</v>
      </c>
      <c r="U226" s="47">
        <v>130.3325994392</v>
      </c>
      <c r="V226" s="47">
        <v>122.51538551919998</v>
      </c>
      <c r="W226" s="49">
        <f>W208*7</f>
        <v>49.378</v>
      </c>
      <c r="X226" s="47">
        <v>58.407999999999994</v>
      </c>
      <c r="Y226" s="47">
        <v>61.229</v>
      </c>
      <c r="Z226" s="47">
        <v>62.552</v>
      </c>
      <c r="AA226" s="47">
        <v>63.805</v>
      </c>
      <c r="AB226" s="47">
        <v>64.974</v>
      </c>
      <c r="AC226" s="47">
        <v>65.99600000000001</v>
      </c>
      <c r="AD226" s="47">
        <v>66.822</v>
      </c>
      <c r="AE226" s="47">
        <v>67.277</v>
      </c>
      <c r="AF226" s="47">
        <v>66.5</v>
      </c>
      <c r="AG226" s="49">
        <v>2.4</v>
      </c>
      <c r="AH226" s="47">
        <v>2.44</v>
      </c>
      <c r="AI226" s="47">
        <v>2.58</v>
      </c>
      <c r="AJ226" s="47">
        <v>2.72</v>
      </c>
      <c r="AK226" s="47">
        <v>2.91</v>
      </c>
      <c r="AL226" s="47">
        <v>3.22</v>
      </c>
      <c r="AM226" s="47">
        <v>3.71</v>
      </c>
      <c r="AN226" s="47">
        <v>4.48</v>
      </c>
      <c r="AO226" s="47">
        <v>5.72</v>
      </c>
      <c r="AP226" s="47">
        <v>8.16</v>
      </c>
      <c r="AQ226" s="49">
        <v>0.0</v>
      </c>
      <c r="AR226" s="47">
        <v>52.61</v>
      </c>
      <c r="AS226" s="47">
        <v>63.52</v>
      </c>
      <c r="AT226" s="47">
        <v>67.53</v>
      </c>
      <c r="AU226" s="47">
        <v>70.57</v>
      </c>
      <c r="AV226" s="47">
        <v>72.68</v>
      </c>
      <c r="AW226" s="47">
        <v>73.84</v>
      </c>
      <c r="AX226" s="47">
        <v>74.07</v>
      </c>
      <c r="AY226" s="47">
        <v>73.38</v>
      </c>
      <c r="AZ226" s="47">
        <v>71.75</v>
      </c>
      <c r="BA226" s="50">
        <v>1780.0</v>
      </c>
      <c r="BB226" s="51">
        <v>840.0</v>
      </c>
      <c r="BC226" s="51">
        <v>550.0</v>
      </c>
      <c r="BD226" s="51">
        <v>410.0</v>
      </c>
      <c r="BE226" s="51" t="s">
        <v>639</v>
      </c>
      <c r="BF226" s="51" t="s">
        <v>922</v>
      </c>
      <c r="BG226" s="51" t="s">
        <v>923</v>
      </c>
      <c r="BH226" s="51" t="s">
        <v>924</v>
      </c>
      <c r="BI226" s="51">
        <v>275.0</v>
      </c>
      <c r="BJ226" s="51">
        <v>340.0</v>
      </c>
      <c r="BK226" s="51">
        <v>380.0</v>
      </c>
      <c r="BL226" s="51">
        <v>425.0</v>
      </c>
      <c r="BM226" s="51">
        <v>500.0</v>
      </c>
      <c r="BN226" s="51">
        <v>180.0</v>
      </c>
      <c r="BO226" s="51">
        <v>56.0</v>
      </c>
      <c r="BP226" s="51" t="s">
        <v>925</v>
      </c>
      <c r="BQ226" s="51" t="s">
        <v>926</v>
      </c>
      <c r="BR226" s="52">
        <v>25.0</v>
      </c>
      <c r="BS226" s="53" t="s">
        <v>927</v>
      </c>
      <c r="BT226" s="53" t="s">
        <v>927</v>
      </c>
      <c r="BU226" s="52">
        <v>75.0</v>
      </c>
      <c r="BV226" s="47">
        <f>IFERROR(__xludf.DUMMYFUNCTION("IFERROR(INDEX(motors!E:E, MATCH(1, (motors!A:A=REGEXEXTRACT(A226,""^\S+""))*(motors!B:B=BU226), 0)), """")"),133.7)</f>
        <v>133.7</v>
      </c>
      <c r="BW226" s="47">
        <f>IFERROR(__xludf.DUMMYFUNCTION("IFERROR(INDEX(motors!F:F, MATCH(1, (motors!A:A=REGEXEXTRACT(A226,""^\S+""))*(motors!B:B=BU226), 0)), """")"),77.0)</f>
        <v>77</v>
      </c>
      <c r="BX226" s="51">
        <v>2.0</v>
      </c>
      <c r="BY226" s="52">
        <v>715.0</v>
      </c>
      <c r="BZ226" s="53" t="s">
        <v>964</v>
      </c>
      <c r="CA226" s="53" t="str">
        <f>IFERROR(__xludf.DUMMYFUNCTION("IFERROR(REGEXEXTRACT(BZ226, ""(?i)[A-Z]+-D-E-([^-]+)-E""), """")"),"HUBE")</f>
        <v>HUBE</v>
      </c>
    </row>
    <row r="227" ht="11.25" customHeight="1">
      <c r="A227" s="55"/>
      <c r="B227" s="55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48"/>
      <c r="N227" s="56"/>
      <c r="O227" s="56"/>
      <c r="P227" s="56"/>
      <c r="Q227" s="56"/>
      <c r="R227" s="56"/>
      <c r="S227" s="56"/>
      <c r="T227" s="56"/>
      <c r="U227" s="56"/>
      <c r="V227" s="56"/>
      <c r="W227" s="49"/>
      <c r="X227" s="56"/>
      <c r="Y227" s="56"/>
      <c r="Z227" s="56"/>
      <c r="AA227" s="56"/>
      <c r="AB227" s="56"/>
      <c r="AC227" s="56"/>
      <c r="AD227" s="56"/>
      <c r="AE227" s="56"/>
      <c r="AF227" s="56"/>
      <c r="AG227" s="49"/>
      <c r="AH227" s="56"/>
      <c r="AI227" s="56"/>
      <c r="AJ227" s="56"/>
      <c r="AK227" s="56"/>
      <c r="AL227" s="56"/>
      <c r="AM227" s="56"/>
      <c r="AN227" s="56"/>
      <c r="AO227" s="56"/>
      <c r="AP227" s="56"/>
      <c r="AQ227" s="49"/>
      <c r="AR227" s="56"/>
      <c r="AS227" s="56"/>
      <c r="AT227" s="56"/>
      <c r="AU227" s="56"/>
      <c r="AV227" s="56"/>
      <c r="AW227" s="56"/>
      <c r="AX227" s="56"/>
      <c r="AY227" s="56"/>
      <c r="AZ227" s="56"/>
      <c r="BA227" s="50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/>
      <c r="BR227" s="59"/>
      <c r="BS227" s="59"/>
      <c r="BT227" s="59"/>
      <c r="BU227" s="59"/>
      <c r="BV227" s="47" t="str">
        <f>IFERROR(__xludf.DUMMYFUNCTION("IFERROR(INDEX(motors!E:E, MATCH(1, (motors!A:A=REGEXEXTRACT(A227,""^\S+""))*(motors!B:B=BU227), 0)), """")"),"")</f>
        <v/>
      </c>
      <c r="BW227" s="47" t="str">
        <f>IFERROR(__xludf.DUMMYFUNCTION("IFERROR(INDEX(motors!F:F, MATCH(1, (motors!A:A=REGEXEXTRACT(A227,""^\S+""))*(motors!B:B=BU227), 0)), """")"),"")</f>
        <v/>
      </c>
      <c r="BX227" s="57"/>
      <c r="BY227" s="59"/>
      <c r="BZ227" s="59"/>
      <c r="CA227" s="53" t="str">
        <f>IFERROR(__xludf.DUMMYFUNCTION("IFERROR(REGEXEXTRACT(BZ227, ""(?i)[A-Z]+-D-E-([^-]+)-E""), """")"),"")</f>
        <v/>
      </c>
    </row>
    <row r="228" ht="11.25" customHeight="1">
      <c r="A228" s="46" t="s">
        <v>965</v>
      </c>
      <c r="B228" s="46">
        <v>7.4126702E7</v>
      </c>
      <c r="C228" s="47">
        <v>0.0</v>
      </c>
      <c r="D228" s="47">
        <v>80.0</v>
      </c>
      <c r="E228" s="47">
        <v>100.0</v>
      </c>
      <c r="F228" s="47">
        <v>120.0</v>
      </c>
      <c r="G228" s="47">
        <v>130.0</v>
      </c>
      <c r="H228" s="47">
        <v>140.0</v>
      </c>
      <c r="I228" s="47">
        <v>150.0</v>
      </c>
      <c r="J228" s="47">
        <v>160.0</v>
      </c>
      <c r="K228" s="47">
        <v>170.0</v>
      </c>
      <c r="L228" s="47">
        <v>180.0</v>
      </c>
      <c r="M228" s="48">
        <v>19.4483050725</v>
      </c>
      <c r="N228" s="47">
        <v>18.3</v>
      </c>
      <c r="O228" s="47">
        <v>17.3985298225</v>
      </c>
      <c r="P228" s="47">
        <v>15.941586532499999</v>
      </c>
      <c r="Q228" s="47">
        <v>14.9307769575</v>
      </c>
      <c r="R228" s="47">
        <v>13.8878519625</v>
      </c>
      <c r="S228" s="47">
        <v>12.7</v>
      </c>
      <c r="T228" s="47">
        <v>11.4</v>
      </c>
      <c r="U228" s="47">
        <v>9.987208457499998</v>
      </c>
      <c r="V228" s="47">
        <v>8.336645782499998</v>
      </c>
      <c r="W228" s="49">
        <v>4.552</v>
      </c>
      <c r="X228" s="47">
        <v>6.374</v>
      </c>
      <c r="Y228" s="47">
        <v>6.985</v>
      </c>
      <c r="Z228" s="47">
        <v>7.645</v>
      </c>
      <c r="AA228" s="47">
        <v>7.914</v>
      </c>
      <c r="AB228" s="47">
        <v>8.098</v>
      </c>
      <c r="AC228" s="47">
        <v>8.224</v>
      </c>
      <c r="AD228" s="47">
        <v>8.305</v>
      </c>
      <c r="AE228" s="47">
        <v>8.347</v>
      </c>
      <c r="AF228" s="47">
        <v>8.404</v>
      </c>
      <c r="AG228" s="49">
        <v>1.83</v>
      </c>
      <c r="AH228" s="47">
        <v>2.044</v>
      </c>
      <c r="AI228" s="47">
        <v>2.144</v>
      </c>
      <c r="AJ228" s="47">
        <v>2.324</v>
      </c>
      <c r="AK228" s="47">
        <v>2.595</v>
      </c>
      <c r="AL228" s="47">
        <v>3.048</v>
      </c>
      <c r="AM228" s="47">
        <v>3.717</v>
      </c>
      <c r="AN228" s="47">
        <v>4.682</v>
      </c>
      <c r="AO228" s="47">
        <v>6.106</v>
      </c>
      <c r="AP228" s="47">
        <v>8.395</v>
      </c>
      <c r="AQ228" s="49">
        <v>0.0</v>
      </c>
      <c r="AR228" s="47">
        <v>55.7</v>
      </c>
      <c r="AS228" s="47">
        <v>63.79</v>
      </c>
      <c r="AT228" s="47">
        <v>69.56</v>
      </c>
      <c r="AU228" s="47">
        <v>71.48</v>
      </c>
      <c r="AV228" s="47">
        <v>72.96</v>
      </c>
      <c r="AW228" s="47">
        <v>73.69</v>
      </c>
      <c r="AX228" s="47">
        <v>73.45</v>
      </c>
      <c r="AY228" s="47">
        <v>72.54</v>
      </c>
      <c r="AZ228" s="47">
        <v>71.43</v>
      </c>
      <c r="BA228" s="50">
        <v>834.0</v>
      </c>
      <c r="BB228" s="51">
        <v>448.0</v>
      </c>
      <c r="BC228" s="51">
        <v>255.0</v>
      </c>
      <c r="BD228" s="51">
        <v>182.0</v>
      </c>
      <c r="BE228" s="51" t="s">
        <v>639</v>
      </c>
      <c r="BF228" s="51" t="s">
        <v>922</v>
      </c>
      <c r="BG228" s="51" t="s">
        <v>923</v>
      </c>
      <c r="BH228" s="51" t="s">
        <v>924</v>
      </c>
      <c r="BI228" s="51">
        <v>275.0</v>
      </c>
      <c r="BJ228" s="51">
        <v>340.0</v>
      </c>
      <c r="BK228" s="51">
        <v>380.0</v>
      </c>
      <c r="BL228" s="51">
        <v>425.0</v>
      </c>
      <c r="BM228" s="51">
        <v>500.0</v>
      </c>
      <c r="BN228" s="51">
        <v>180.0</v>
      </c>
      <c r="BO228" s="51">
        <v>56.0</v>
      </c>
      <c r="BP228" s="51" t="s">
        <v>925</v>
      </c>
      <c r="BQ228" s="51" t="s">
        <v>926</v>
      </c>
      <c r="BR228" s="52">
        <v>25.0</v>
      </c>
      <c r="BS228" s="53" t="s">
        <v>927</v>
      </c>
      <c r="BT228" s="53" t="s">
        <v>927</v>
      </c>
      <c r="BU228" s="52">
        <v>11.0</v>
      </c>
      <c r="BV228" s="47">
        <f>IFERROR(__xludf.DUMMYFUNCTION("IFERROR(INDEX(motors!E:E, MATCH(1, (motors!A:A=REGEXEXTRACT(A228,""^\S+""))*(motors!B:B=BU228), 0)), """")"),20.6)</f>
        <v>20.6</v>
      </c>
      <c r="BW228" s="47">
        <f>IFERROR(__xludf.DUMMYFUNCTION("IFERROR(INDEX(motors!F:F, MATCH(1, (motors!A:A=REGEXEXTRACT(A228,""^\S+""))*(motors!B:B=BU228), 0)), """")"),11.9)</f>
        <v>11.9</v>
      </c>
      <c r="BX228" s="51">
        <v>2.0</v>
      </c>
      <c r="BY228" s="52">
        <v>230.0</v>
      </c>
      <c r="BZ228" s="53" t="s">
        <v>966</v>
      </c>
      <c r="CA228" s="53" t="str">
        <f>IFERROR(__xludf.DUMMYFUNCTION("IFERROR(REGEXEXTRACT(BZ228, ""(?i)[A-Z]+-D-E-([^-]+)-E""), """")"),"HUBE")</f>
        <v>HUBE</v>
      </c>
    </row>
    <row r="229" ht="11.25" customHeight="1">
      <c r="A229" s="55" t="s">
        <v>967</v>
      </c>
      <c r="B229" s="55">
        <v>7.4126703E7</v>
      </c>
      <c r="C229" s="56">
        <v>0.0</v>
      </c>
      <c r="D229" s="56">
        <v>80.0</v>
      </c>
      <c r="E229" s="56">
        <v>100.0</v>
      </c>
      <c r="F229" s="56">
        <v>120.0</v>
      </c>
      <c r="G229" s="56">
        <v>130.0</v>
      </c>
      <c r="H229" s="56">
        <v>140.0</v>
      </c>
      <c r="I229" s="56">
        <v>150.0</v>
      </c>
      <c r="J229" s="56">
        <v>160.0</v>
      </c>
      <c r="K229" s="56">
        <v>170.0</v>
      </c>
      <c r="L229" s="56">
        <v>180.0</v>
      </c>
      <c r="M229" s="48">
        <v>24.8869581146</v>
      </c>
      <c r="N229" s="56">
        <v>23.6</v>
      </c>
      <c r="O229" s="56">
        <v>22.787678194599998</v>
      </c>
      <c r="P229" s="56">
        <v>21.4192738106</v>
      </c>
      <c r="Q229" s="56">
        <v>20.4892615686</v>
      </c>
      <c r="R229" s="56">
        <v>19.4564546266</v>
      </c>
      <c r="S229" s="56">
        <v>18.4</v>
      </c>
      <c r="T229" s="56">
        <v>17.15</v>
      </c>
      <c r="U229" s="56">
        <v>15.7</v>
      </c>
      <c r="V229" s="56">
        <v>14.1</v>
      </c>
      <c r="W229" s="49">
        <v>7.438</v>
      </c>
      <c r="X229" s="56">
        <v>10.098</v>
      </c>
      <c r="Y229" s="56">
        <v>10.709</v>
      </c>
      <c r="Z229" s="56">
        <v>11.458</v>
      </c>
      <c r="AA229" s="56">
        <v>11.748</v>
      </c>
      <c r="AB229" s="56">
        <v>11.961</v>
      </c>
      <c r="AC229" s="56">
        <v>12.079</v>
      </c>
      <c r="AD229" s="56">
        <v>12.108</v>
      </c>
      <c r="AE229" s="56">
        <v>12.026</v>
      </c>
      <c r="AF229" s="56">
        <v>11.951</v>
      </c>
      <c r="AG229" s="49">
        <v>1.83</v>
      </c>
      <c r="AH229" s="56">
        <v>2.044</v>
      </c>
      <c r="AI229" s="56">
        <v>2.144</v>
      </c>
      <c r="AJ229" s="56">
        <v>2.324</v>
      </c>
      <c r="AK229" s="56">
        <v>2.595</v>
      </c>
      <c r="AL229" s="56">
        <v>3.048</v>
      </c>
      <c r="AM229" s="56">
        <v>3.717</v>
      </c>
      <c r="AN229" s="56">
        <v>4.682</v>
      </c>
      <c r="AO229" s="56">
        <v>6.106</v>
      </c>
      <c r="AP229" s="56">
        <v>8.395</v>
      </c>
      <c r="AQ229" s="49">
        <v>0.0</v>
      </c>
      <c r="AR229" s="56">
        <v>55.7</v>
      </c>
      <c r="AS229" s="56">
        <v>63.79</v>
      </c>
      <c r="AT229" s="56">
        <v>69.56</v>
      </c>
      <c r="AU229" s="56">
        <v>71.48</v>
      </c>
      <c r="AV229" s="56">
        <v>72.96</v>
      </c>
      <c r="AW229" s="56">
        <v>73.69</v>
      </c>
      <c r="AX229" s="56">
        <v>73.45</v>
      </c>
      <c r="AY229" s="56">
        <v>72.54</v>
      </c>
      <c r="AZ229" s="56">
        <v>71.43</v>
      </c>
      <c r="BA229" s="50">
        <v>834.0</v>
      </c>
      <c r="BB229" s="57">
        <v>489.0</v>
      </c>
      <c r="BC229" s="57">
        <v>255.0</v>
      </c>
      <c r="BD229" s="57">
        <v>182.0</v>
      </c>
      <c r="BE229" s="57" t="s">
        <v>639</v>
      </c>
      <c r="BF229" s="57" t="s">
        <v>922</v>
      </c>
      <c r="BG229" s="57" t="s">
        <v>923</v>
      </c>
      <c r="BH229" s="57" t="s">
        <v>924</v>
      </c>
      <c r="BI229" s="57">
        <v>275.0</v>
      </c>
      <c r="BJ229" s="57">
        <v>340.0</v>
      </c>
      <c r="BK229" s="57">
        <v>380.0</v>
      </c>
      <c r="BL229" s="57">
        <v>425.0</v>
      </c>
      <c r="BM229" s="57">
        <v>500.0</v>
      </c>
      <c r="BN229" s="57">
        <v>180.0</v>
      </c>
      <c r="BO229" s="57">
        <v>56.0</v>
      </c>
      <c r="BP229" s="57" t="s">
        <v>925</v>
      </c>
      <c r="BQ229" s="57" t="s">
        <v>926</v>
      </c>
      <c r="BR229" s="58">
        <v>25.0</v>
      </c>
      <c r="BS229" s="59" t="s">
        <v>927</v>
      </c>
      <c r="BT229" s="59" t="s">
        <v>927</v>
      </c>
      <c r="BU229" s="58">
        <v>15.0</v>
      </c>
      <c r="BV229" s="47">
        <f>IFERROR(__xludf.DUMMYFUNCTION("IFERROR(INDEX(motors!E:E, MATCH(1, (motors!A:A=REGEXEXTRACT(A229,""^\S+""))*(motors!B:B=BU229), 0)), """")"),27.9)</f>
        <v>27.9</v>
      </c>
      <c r="BW229" s="47">
        <f>IFERROR(__xludf.DUMMYFUNCTION("IFERROR(INDEX(motors!F:F, MATCH(1, (motors!A:A=REGEXEXTRACT(A229,""^\S+""))*(motors!B:B=BU229), 0)), """")"),16.0)</f>
        <v>16</v>
      </c>
      <c r="BX229" s="57">
        <v>2.0</v>
      </c>
      <c r="BY229" s="58">
        <v>235.0</v>
      </c>
      <c r="BZ229" s="59" t="s">
        <v>968</v>
      </c>
      <c r="CA229" s="53" t="str">
        <f>IFERROR(__xludf.DUMMYFUNCTION("IFERROR(REGEXEXTRACT(BZ229, ""(?i)[A-Z]+-D-E-([^-]+)-E""), """")"),"HUBE")</f>
        <v>HUBE</v>
      </c>
    </row>
    <row r="230" ht="11.25" customHeight="1">
      <c r="A230" s="46" t="s">
        <v>969</v>
      </c>
      <c r="B230" s="46">
        <v>7.4126705E7</v>
      </c>
      <c r="C230" s="47">
        <v>0.0</v>
      </c>
      <c r="D230" s="47">
        <v>80.0</v>
      </c>
      <c r="E230" s="47">
        <v>100.0</v>
      </c>
      <c r="F230" s="47">
        <v>120.0</v>
      </c>
      <c r="G230" s="47">
        <v>130.0</v>
      </c>
      <c r="H230" s="47">
        <v>140.0</v>
      </c>
      <c r="I230" s="47">
        <v>150.0</v>
      </c>
      <c r="J230" s="47">
        <v>160.0</v>
      </c>
      <c r="K230" s="47">
        <v>170.0</v>
      </c>
      <c r="L230" s="47">
        <v>180.0</v>
      </c>
      <c r="M230" s="48">
        <v>40.0385078773</v>
      </c>
      <c r="N230" s="47">
        <v>36.2</v>
      </c>
      <c r="O230" s="47">
        <v>34.528719937299996</v>
      </c>
      <c r="P230" s="47">
        <v>32.1713674693</v>
      </c>
      <c r="Q230" s="47">
        <v>30.7683319753</v>
      </c>
      <c r="R230" s="47">
        <v>29.2018908413</v>
      </c>
      <c r="S230" s="47">
        <v>27.4616694673</v>
      </c>
      <c r="T230" s="47">
        <v>25.5372932533</v>
      </c>
      <c r="U230" s="47">
        <v>23.418387599299997</v>
      </c>
      <c r="V230" s="47">
        <v>21.0945779053</v>
      </c>
      <c r="W230" s="49">
        <f>W228*2</f>
        <v>9.104</v>
      </c>
      <c r="X230" s="47">
        <v>12.748</v>
      </c>
      <c r="Y230" s="47">
        <v>13.97</v>
      </c>
      <c r="Z230" s="47">
        <v>15.29</v>
      </c>
      <c r="AA230" s="47">
        <v>15.828</v>
      </c>
      <c r="AB230" s="47">
        <v>16.196</v>
      </c>
      <c r="AC230" s="47">
        <v>16.448</v>
      </c>
      <c r="AD230" s="47">
        <v>16.61</v>
      </c>
      <c r="AE230" s="47">
        <v>16.694</v>
      </c>
      <c r="AF230" s="47">
        <v>16.808</v>
      </c>
      <c r="AG230" s="49">
        <v>1.83</v>
      </c>
      <c r="AH230" s="47">
        <v>2.044</v>
      </c>
      <c r="AI230" s="47">
        <v>2.144</v>
      </c>
      <c r="AJ230" s="47">
        <v>2.324</v>
      </c>
      <c r="AK230" s="47">
        <v>2.595</v>
      </c>
      <c r="AL230" s="47">
        <v>3.048</v>
      </c>
      <c r="AM230" s="47">
        <v>3.717</v>
      </c>
      <c r="AN230" s="47">
        <v>4.682</v>
      </c>
      <c r="AO230" s="47">
        <v>6.106</v>
      </c>
      <c r="AP230" s="47">
        <v>8.395</v>
      </c>
      <c r="AQ230" s="49">
        <v>0.0</v>
      </c>
      <c r="AR230" s="47">
        <v>55.7</v>
      </c>
      <c r="AS230" s="47">
        <v>63.79</v>
      </c>
      <c r="AT230" s="47">
        <v>69.56</v>
      </c>
      <c r="AU230" s="47">
        <v>71.48</v>
      </c>
      <c r="AV230" s="47">
        <v>72.96</v>
      </c>
      <c r="AW230" s="47">
        <v>73.69</v>
      </c>
      <c r="AX230" s="47">
        <v>73.45</v>
      </c>
      <c r="AY230" s="47">
        <v>72.54</v>
      </c>
      <c r="AZ230" s="47">
        <v>71.43</v>
      </c>
      <c r="BA230" s="50">
        <v>986.0</v>
      </c>
      <c r="BB230" s="51">
        <v>542.0</v>
      </c>
      <c r="BC230" s="51">
        <v>313.0</v>
      </c>
      <c r="BD230" s="51">
        <v>257.0</v>
      </c>
      <c r="BE230" s="51" t="s">
        <v>639</v>
      </c>
      <c r="BF230" s="51" t="s">
        <v>922</v>
      </c>
      <c r="BG230" s="51" t="s">
        <v>923</v>
      </c>
      <c r="BH230" s="51" t="s">
        <v>924</v>
      </c>
      <c r="BI230" s="51">
        <v>275.0</v>
      </c>
      <c r="BJ230" s="51">
        <v>340.0</v>
      </c>
      <c r="BK230" s="51">
        <v>380.0</v>
      </c>
      <c r="BL230" s="51">
        <v>425.0</v>
      </c>
      <c r="BM230" s="51">
        <v>500.0</v>
      </c>
      <c r="BN230" s="51">
        <v>180.0</v>
      </c>
      <c r="BO230" s="51">
        <v>56.0</v>
      </c>
      <c r="BP230" s="51" t="s">
        <v>925</v>
      </c>
      <c r="BQ230" s="51" t="s">
        <v>926</v>
      </c>
      <c r="BR230" s="52">
        <v>25.0</v>
      </c>
      <c r="BS230" s="53" t="s">
        <v>927</v>
      </c>
      <c r="BT230" s="53" t="s">
        <v>927</v>
      </c>
      <c r="BU230" s="52">
        <v>22.0</v>
      </c>
      <c r="BV230" s="47">
        <f>IFERROR(__xludf.DUMMYFUNCTION("IFERROR(INDEX(motors!E:E, MATCH(1, (motors!A:A=REGEXEXTRACT(A230,""^\S+""))*(motors!B:B=BU230), 0)), """")"),40.5)</f>
        <v>40.5</v>
      </c>
      <c r="BW230" s="47">
        <f>IFERROR(__xludf.DUMMYFUNCTION("IFERROR(INDEX(motors!F:F, MATCH(1, (motors!A:A=REGEXEXTRACT(A230,""^\S+""))*(motors!B:B=BU230), 0)), """")"),23.3)</f>
        <v>23.3</v>
      </c>
      <c r="BX230" s="51">
        <v>2.0</v>
      </c>
      <c r="BY230" s="52">
        <v>250.0</v>
      </c>
      <c r="BZ230" s="53" t="s">
        <v>970</v>
      </c>
      <c r="CA230" s="53" t="str">
        <f>IFERROR(__xludf.DUMMYFUNCTION("IFERROR(REGEXEXTRACT(BZ230, ""(?i)[A-Z]+-D-E-([^-]+)-E""), """")"),"HUBE")</f>
        <v>HUBE</v>
      </c>
    </row>
    <row r="231" ht="11.25" customHeight="1">
      <c r="A231" s="55" t="s">
        <v>971</v>
      </c>
      <c r="B231" s="55">
        <v>7.4126704E7</v>
      </c>
      <c r="C231" s="56">
        <v>0.0</v>
      </c>
      <c r="D231" s="56">
        <v>80.0</v>
      </c>
      <c r="E231" s="56">
        <v>100.0</v>
      </c>
      <c r="F231" s="56">
        <v>120.0</v>
      </c>
      <c r="G231" s="56">
        <v>130.0</v>
      </c>
      <c r="H231" s="56">
        <v>140.0</v>
      </c>
      <c r="I231" s="56">
        <v>150.0</v>
      </c>
      <c r="J231" s="56">
        <v>160.0</v>
      </c>
      <c r="K231" s="56">
        <v>170.0</v>
      </c>
      <c r="L231" s="56">
        <v>180.0</v>
      </c>
      <c r="M231" s="48">
        <v>47.4573896209</v>
      </c>
      <c r="N231" s="56">
        <v>43.6959725169</v>
      </c>
      <c r="O231" s="56">
        <v>42.0600920409</v>
      </c>
      <c r="P231" s="56">
        <v>39.785789884900005</v>
      </c>
      <c r="Q231" s="56">
        <v>38.3529476769</v>
      </c>
      <c r="R231" s="56">
        <v>36.6929604489</v>
      </c>
      <c r="S231" s="56">
        <v>34.783315000900004</v>
      </c>
      <c r="T231" s="56">
        <v>32.6014981329</v>
      </c>
      <c r="U231" s="56">
        <v>30.124996644900005</v>
      </c>
      <c r="V231" s="56">
        <v>27.0</v>
      </c>
      <c r="W231" s="49">
        <f>W228+W229</f>
        <v>11.99</v>
      </c>
      <c r="X231" s="56">
        <v>16.472</v>
      </c>
      <c r="Y231" s="56">
        <v>17.694</v>
      </c>
      <c r="Z231" s="56">
        <v>19.103</v>
      </c>
      <c r="AA231" s="56">
        <v>19.662</v>
      </c>
      <c r="AB231" s="56">
        <v>20.059</v>
      </c>
      <c r="AC231" s="56">
        <v>20.303</v>
      </c>
      <c r="AD231" s="56">
        <v>20.413</v>
      </c>
      <c r="AE231" s="56">
        <v>20.372999999999998</v>
      </c>
      <c r="AF231" s="56">
        <v>20.355</v>
      </c>
      <c r="AG231" s="49">
        <v>1.83</v>
      </c>
      <c r="AH231" s="56">
        <v>2.044</v>
      </c>
      <c r="AI231" s="56">
        <v>2.144</v>
      </c>
      <c r="AJ231" s="56">
        <v>2.324</v>
      </c>
      <c r="AK231" s="56">
        <v>2.595</v>
      </c>
      <c r="AL231" s="56">
        <v>3.048</v>
      </c>
      <c r="AM231" s="56">
        <v>3.717</v>
      </c>
      <c r="AN231" s="56">
        <v>4.682</v>
      </c>
      <c r="AO231" s="56">
        <v>6.106</v>
      </c>
      <c r="AP231" s="56">
        <v>8.395</v>
      </c>
      <c r="AQ231" s="49">
        <v>0.0</v>
      </c>
      <c r="AR231" s="56">
        <v>55.7</v>
      </c>
      <c r="AS231" s="56">
        <v>63.79</v>
      </c>
      <c r="AT231" s="56">
        <v>69.56</v>
      </c>
      <c r="AU231" s="56">
        <v>71.48</v>
      </c>
      <c r="AV231" s="56">
        <v>72.96</v>
      </c>
      <c r="AW231" s="56">
        <v>73.69</v>
      </c>
      <c r="AX231" s="56">
        <v>73.45</v>
      </c>
      <c r="AY231" s="56">
        <v>72.54</v>
      </c>
      <c r="AZ231" s="56">
        <v>71.43</v>
      </c>
      <c r="BA231" s="50">
        <v>986.0</v>
      </c>
      <c r="BB231" s="57">
        <v>580.0</v>
      </c>
      <c r="BC231" s="57">
        <v>356.0</v>
      </c>
      <c r="BD231" s="57">
        <v>270.0</v>
      </c>
      <c r="BE231" s="57" t="s">
        <v>639</v>
      </c>
      <c r="BF231" s="57" t="s">
        <v>922</v>
      </c>
      <c r="BG231" s="57" t="s">
        <v>923</v>
      </c>
      <c r="BH231" s="57" t="s">
        <v>924</v>
      </c>
      <c r="BI231" s="57">
        <v>275.0</v>
      </c>
      <c r="BJ231" s="57">
        <v>340.0</v>
      </c>
      <c r="BK231" s="57">
        <v>380.0</v>
      </c>
      <c r="BL231" s="57">
        <v>425.0</v>
      </c>
      <c r="BM231" s="57">
        <v>500.0</v>
      </c>
      <c r="BN231" s="57">
        <v>180.0</v>
      </c>
      <c r="BO231" s="57">
        <v>56.0</v>
      </c>
      <c r="BP231" s="57" t="s">
        <v>925</v>
      </c>
      <c r="BQ231" s="57" t="s">
        <v>926</v>
      </c>
      <c r="BR231" s="58">
        <v>25.0</v>
      </c>
      <c r="BS231" s="59" t="s">
        <v>927</v>
      </c>
      <c r="BT231" s="59" t="s">
        <v>927</v>
      </c>
      <c r="BU231" s="58">
        <v>22.0</v>
      </c>
      <c r="BV231" s="47">
        <f>IFERROR(__xludf.DUMMYFUNCTION("IFERROR(INDEX(motors!E:E, MATCH(1, (motors!A:A=REGEXEXTRACT(A231,""^\S+""))*(motors!B:B=BU231), 0)), """")"),40.5)</f>
        <v>40.5</v>
      </c>
      <c r="BW231" s="47">
        <f>IFERROR(__xludf.DUMMYFUNCTION("IFERROR(INDEX(motors!F:F, MATCH(1, (motors!A:A=REGEXEXTRACT(A231,""^\S+""))*(motors!B:B=BU231), 0)), """")"),23.3)</f>
        <v>23.3</v>
      </c>
      <c r="BX231" s="57">
        <v>2.0</v>
      </c>
      <c r="BY231" s="58">
        <v>295.0</v>
      </c>
      <c r="BZ231" s="59" t="s">
        <v>972</v>
      </c>
      <c r="CA231" s="53" t="str">
        <f>IFERROR(__xludf.DUMMYFUNCTION("IFERROR(REGEXEXTRACT(BZ231, ""(?i)[A-Z]+-D-E-([^-]+)-E""), """")"),"HUBE")</f>
        <v>HUBE</v>
      </c>
    </row>
    <row r="232" ht="11.25" customHeight="1">
      <c r="A232" s="46" t="s">
        <v>973</v>
      </c>
      <c r="B232" s="46">
        <v>7.4126706E7</v>
      </c>
      <c r="C232" s="47">
        <v>0.0</v>
      </c>
      <c r="D232" s="47">
        <v>80.0</v>
      </c>
      <c r="E232" s="47">
        <v>100.0</v>
      </c>
      <c r="F232" s="47">
        <v>120.0</v>
      </c>
      <c r="G232" s="47">
        <v>130.0</v>
      </c>
      <c r="H232" s="47">
        <v>140.0</v>
      </c>
      <c r="I232" s="47">
        <v>150.0</v>
      </c>
      <c r="J232" s="47">
        <v>160.0</v>
      </c>
      <c r="K232" s="47">
        <v>170.0</v>
      </c>
      <c r="L232" s="47">
        <v>180.0</v>
      </c>
      <c r="M232" s="48">
        <v>53.9573808088</v>
      </c>
      <c r="N232" s="47">
        <v>50.079039824800006</v>
      </c>
      <c r="O232" s="47">
        <v>48.132152178800006</v>
      </c>
      <c r="P232" s="47">
        <v>45.4668971728</v>
      </c>
      <c r="Q232" s="47">
        <v>43.8137184098</v>
      </c>
      <c r="R232" s="47">
        <v>41.919551606800006</v>
      </c>
      <c r="S232" s="47">
        <v>39.763931363800005</v>
      </c>
      <c r="T232" s="47">
        <v>37.32639228080001</v>
      </c>
      <c r="U232" s="47">
        <v>34.58646895780001</v>
      </c>
      <c r="V232" s="47">
        <v>31.523695994800004</v>
      </c>
      <c r="W232" s="49">
        <f>W229*2</f>
        <v>14.876</v>
      </c>
      <c r="X232" s="47">
        <v>20.196</v>
      </c>
      <c r="Y232" s="47">
        <v>21.418</v>
      </c>
      <c r="Z232" s="47">
        <v>22.916</v>
      </c>
      <c r="AA232" s="47">
        <v>23.496</v>
      </c>
      <c r="AB232" s="47">
        <v>23.922</v>
      </c>
      <c r="AC232" s="47">
        <v>24.158</v>
      </c>
      <c r="AD232" s="47">
        <v>24.216</v>
      </c>
      <c r="AE232" s="47">
        <v>24.052</v>
      </c>
      <c r="AF232" s="47">
        <v>23.902</v>
      </c>
      <c r="AG232" s="49">
        <v>1.83</v>
      </c>
      <c r="AH232" s="47">
        <v>2.044</v>
      </c>
      <c r="AI232" s="47">
        <v>2.144</v>
      </c>
      <c r="AJ232" s="47">
        <v>2.324</v>
      </c>
      <c r="AK232" s="47">
        <v>2.595</v>
      </c>
      <c r="AL232" s="47">
        <v>3.048</v>
      </c>
      <c r="AM232" s="47">
        <v>3.717</v>
      </c>
      <c r="AN232" s="47">
        <v>4.682</v>
      </c>
      <c r="AO232" s="47">
        <v>6.106</v>
      </c>
      <c r="AP232" s="47">
        <v>8.395</v>
      </c>
      <c r="AQ232" s="49">
        <v>0.0</v>
      </c>
      <c r="AR232" s="47">
        <v>55.7</v>
      </c>
      <c r="AS232" s="47">
        <v>63.79</v>
      </c>
      <c r="AT232" s="47">
        <v>69.56</v>
      </c>
      <c r="AU232" s="47">
        <v>71.48</v>
      </c>
      <c r="AV232" s="47">
        <v>72.96</v>
      </c>
      <c r="AW232" s="47">
        <v>73.69</v>
      </c>
      <c r="AX232" s="47">
        <v>73.45</v>
      </c>
      <c r="AY232" s="47">
        <v>72.54</v>
      </c>
      <c r="AZ232" s="47">
        <v>71.43</v>
      </c>
      <c r="BA232" s="50">
        <v>990.0</v>
      </c>
      <c r="BB232" s="51">
        <v>653.0</v>
      </c>
      <c r="BC232" s="51">
        <v>395.0</v>
      </c>
      <c r="BD232" s="51">
        <v>304.0</v>
      </c>
      <c r="BE232" s="51" t="s">
        <v>639</v>
      </c>
      <c r="BF232" s="51" t="s">
        <v>922</v>
      </c>
      <c r="BG232" s="51" t="s">
        <v>923</v>
      </c>
      <c r="BH232" s="51" t="s">
        <v>924</v>
      </c>
      <c r="BI232" s="51">
        <v>275.0</v>
      </c>
      <c r="BJ232" s="51">
        <v>340.0</v>
      </c>
      <c r="BK232" s="51">
        <v>380.0</v>
      </c>
      <c r="BL232" s="51">
        <v>425.0</v>
      </c>
      <c r="BM232" s="51">
        <v>500.0</v>
      </c>
      <c r="BN232" s="51">
        <v>180.0</v>
      </c>
      <c r="BO232" s="51">
        <v>56.0</v>
      </c>
      <c r="BP232" s="51" t="s">
        <v>925</v>
      </c>
      <c r="BQ232" s="51" t="s">
        <v>926</v>
      </c>
      <c r="BR232" s="52">
        <v>25.0</v>
      </c>
      <c r="BS232" s="53" t="s">
        <v>927</v>
      </c>
      <c r="BT232" s="53" t="s">
        <v>927</v>
      </c>
      <c r="BU232" s="52">
        <v>30.0</v>
      </c>
      <c r="BV232" s="47" t="str">
        <f>IFERROR(__xludf.DUMMYFUNCTION("IFERROR(INDEX(motors!E:E, MATCH(1, (motors!A:A=REGEXEXTRACT(A232,""^\S+""))*(motors!B:B=BU232), 0)), """")"),"")</f>
        <v/>
      </c>
      <c r="BW232" s="47" t="str">
        <f>IFERROR(__xludf.DUMMYFUNCTION("IFERROR(INDEX(motors!F:F, MATCH(1, (motors!A:A=REGEXEXTRACT(A232,""^\S+""))*(motors!B:B=BU232), 0)), """")"),"")</f>
        <v/>
      </c>
      <c r="BX232" s="51">
        <v>2.0</v>
      </c>
      <c r="BY232" s="52">
        <v>350.0</v>
      </c>
      <c r="BZ232" s="53" t="s">
        <v>974</v>
      </c>
      <c r="CA232" s="53" t="str">
        <f>IFERROR(__xludf.DUMMYFUNCTION("IFERROR(REGEXEXTRACT(BZ232, ""(?i)[A-Z]+-D-E-([^-]+)-E""), """")"),"HUBE")</f>
        <v>HUBE</v>
      </c>
    </row>
    <row r="233" ht="11.25" customHeight="1">
      <c r="A233" s="55" t="s">
        <v>975</v>
      </c>
      <c r="B233" s="55">
        <v>7.4126708E7</v>
      </c>
      <c r="C233" s="56">
        <v>0.0</v>
      </c>
      <c r="D233" s="56">
        <v>80.0</v>
      </c>
      <c r="E233" s="56">
        <v>100.0</v>
      </c>
      <c r="F233" s="56">
        <v>120.0</v>
      </c>
      <c r="G233" s="56">
        <v>130.0</v>
      </c>
      <c r="H233" s="56">
        <v>140.0</v>
      </c>
      <c r="I233" s="56">
        <v>150.0</v>
      </c>
      <c r="J233" s="56">
        <v>160.0</v>
      </c>
      <c r="K233" s="56">
        <v>170.0</v>
      </c>
      <c r="L233" s="56">
        <v>180.0</v>
      </c>
      <c r="M233" s="48">
        <v>68.4305015299</v>
      </c>
      <c r="N233" s="56">
        <v>62.6264474499</v>
      </c>
      <c r="O233" s="56">
        <v>59.8889891299</v>
      </c>
      <c r="P233" s="56">
        <v>56.3005976899</v>
      </c>
      <c r="Q233" s="56">
        <v>54.1347465499</v>
      </c>
      <c r="R233" s="56">
        <v>51.6930955299</v>
      </c>
      <c r="S233" s="56">
        <v>48.9546224299</v>
      </c>
      <c r="T233" s="56">
        <v>45.898305049899996</v>
      </c>
      <c r="U233" s="56">
        <v>42.5031211899</v>
      </c>
      <c r="V233" s="56">
        <v>38.7480486499</v>
      </c>
      <c r="W233" s="49">
        <f>W228*2+W229</f>
        <v>16.542</v>
      </c>
      <c r="X233" s="56">
        <v>22.846</v>
      </c>
      <c r="Y233" s="56">
        <v>24.679000000000002</v>
      </c>
      <c r="Z233" s="56">
        <v>26.747999999999998</v>
      </c>
      <c r="AA233" s="56">
        <v>27.576</v>
      </c>
      <c r="AB233" s="56">
        <v>28.157000000000004</v>
      </c>
      <c r="AC233" s="56">
        <v>28.527</v>
      </c>
      <c r="AD233" s="56">
        <v>28.718</v>
      </c>
      <c r="AE233" s="56">
        <v>28.72</v>
      </c>
      <c r="AF233" s="56">
        <v>28.759</v>
      </c>
      <c r="AG233" s="49">
        <v>1.83</v>
      </c>
      <c r="AH233" s="56">
        <v>2.044</v>
      </c>
      <c r="AI233" s="56">
        <v>2.144</v>
      </c>
      <c r="AJ233" s="56">
        <v>2.324</v>
      </c>
      <c r="AK233" s="56">
        <v>2.595</v>
      </c>
      <c r="AL233" s="56">
        <v>3.048</v>
      </c>
      <c r="AM233" s="56">
        <v>3.717</v>
      </c>
      <c r="AN233" s="56">
        <v>4.682</v>
      </c>
      <c r="AO233" s="56">
        <v>6.106</v>
      </c>
      <c r="AP233" s="56">
        <v>8.395</v>
      </c>
      <c r="AQ233" s="49">
        <v>0.0</v>
      </c>
      <c r="AR233" s="56">
        <v>55.7</v>
      </c>
      <c r="AS233" s="56">
        <v>63.79</v>
      </c>
      <c r="AT233" s="56">
        <v>69.56</v>
      </c>
      <c r="AU233" s="56">
        <v>71.48</v>
      </c>
      <c r="AV233" s="56">
        <v>72.96</v>
      </c>
      <c r="AW233" s="56">
        <v>73.69</v>
      </c>
      <c r="AX233" s="56">
        <v>73.45</v>
      </c>
      <c r="AY233" s="56">
        <v>72.54</v>
      </c>
      <c r="AZ233" s="56">
        <v>71.43</v>
      </c>
      <c r="BA233" s="50">
        <v>1142.0</v>
      </c>
      <c r="BB233" s="57">
        <v>653.0</v>
      </c>
      <c r="BC233" s="57">
        <v>395.0</v>
      </c>
      <c r="BD233" s="57">
        <v>304.0</v>
      </c>
      <c r="BE233" s="57" t="s">
        <v>639</v>
      </c>
      <c r="BF233" s="57" t="s">
        <v>922</v>
      </c>
      <c r="BG233" s="57" t="s">
        <v>923</v>
      </c>
      <c r="BH233" s="57" t="s">
        <v>924</v>
      </c>
      <c r="BI233" s="57">
        <v>275.0</v>
      </c>
      <c r="BJ233" s="57">
        <v>340.0</v>
      </c>
      <c r="BK233" s="57">
        <v>380.0</v>
      </c>
      <c r="BL233" s="57">
        <v>425.0</v>
      </c>
      <c r="BM233" s="57">
        <v>500.0</v>
      </c>
      <c r="BN233" s="57">
        <v>180.0</v>
      </c>
      <c r="BO233" s="57">
        <v>56.0</v>
      </c>
      <c r="BP233" s="57" t="s">
        <v>925</v>
      </c>
      <c r="BQ233" s="57" t="s">
        <v>926</v>
      </c>
      <c r="BR233" s="58">
        <v>25.0</v>
      </c>
      <c r="BS233" s="59" t="s">
        <v>927</v>
      </c>
      <c r="BT233" s="59" t="s">
        <v>927</v>
      </c>
      <c r="BU233" s="58">
        <v>30.0</v>
      </c>
      <c r="BV233" s="47">
        <f>IFERROR(__xludf.DUMMYFUNCTION("IFERROR(INDEX(motors!E:E, MATCH(1, (motors!A:A=REGEXEXTRACT(A233,""^\S+""))*(motors!B:B=BU233), 0)), """")"),54.9)</f>
        <v>54.9</v>
      </c>
      <c r="BW233" s="47">
        <f>IFERROR(__xludf.DUMMYFUNCTION("IFERROR(INDEX(motors!F:F, MATCH(1, (motors!A:A=REGEXEXTRACT(A233,""^\S+""))*(motors!B:B=BU233), 0)), """")"),31.6)</f>
        <v>31.6</v>
      </c>
      <c r="BX233" s="57">
        <v>2.0</v>
      </c>
      <c r="BY233" s="58">
        <v>360.0</v>
      </c>
      <c r="BZ233" s="59" t="s">
        <v>976</v>
      </c>
      <c r="CA233" s="53" t="str">
        <f>IFERROR(__xludf.DUMMYFUNCTION("IFERROR(REGEXEXTRACT(BZ233, ""(?i)[A-Z]+-D-E-([^-]+)-E""), """")"),"HUBE")</f>
        <v>HUBE</v>
      </c>
    </row>
    <row r="234" ht="11.25" customHeight="1">
      <c r="A234" s="46" t="s">
        <v>977</v>
      </c>
      <c r="B234" s="46">
        <v>7.4126707E7</v>
      </c>
      <c r="C234" s="47">
        <v>0.0</v>
      </c>
      <c r="D234" s="47">
        <v>80.0</v>
      </c>
      <c r="E234" s="47">
        <v>100.0</v>
      </c>
      <c r="F234" s="47">
        <v>120.0</v>
      </c>
      <c r="G234" s="47">
        <v>130.0</v>
      </c>
      <c r="H234" s="47">
        <v>140.0</v>
      </c>
      <c r="I234" s="47">
        <v>150.0</v>
      </c>
      <c r="J234" s="47">
        <v>160.0</v>
      </c>
      <c r="K234" s="47">
        <v>170.0</v>
      </c>
      <c r="L234" s="47">
        <v>180.0</v>
      </c>
      <c r="M234" s="48">
        <v>74.9887497312</v>
      </c>
      <c r="N234" s="47">
        <v>69.5326126352</v>
      </c>
      <c r="O234" s="47">
        <v>67.1127639612</v>
      </c>
      <c r="P234" s="47">
        <v>63.7233223272</v>
      </c>
      <c r="Q234" s="47">
        <v>61.5794936502</v>
      </c>
      <c r="R234" s="47">
        <v>59.0906541332</v>
      </c>
      <c r="S234" s="47">
        <v>56.2225995762</v>
      </c>
      <c r="T234" s="47">
        <v>52.9411257792</v>
      </c>
      <c r="U234" s="47">
        <v>49.2120285422</v>
      </c>
      <c r="V234" s="47">
        <v>45.0011036652</v>
      </c>
      <c r="W234" s="49">
        <f>W228+W229*2</f>
        <v>19.428</v>
      </c>
      <c r="X234" s="47">
        <v>26.57</v>
      </c>
      <c r="Y234" s="47">
        <v>28.403</v>
      </c>
      <c r="Z234" s="47">
        <v>30.561</v>
      </c>
      <c r="AA234" s="47">
        <v>31.409999999999997</v>
      </c>
      <c r="AB234" s="47">
        <v>32.02</v>
      </c>
      <c r="AC234" s="47">
        <v>32.382000000000005</v>
      </c>
      <c r="AD234" s="47">
        <v>32.521</v>
      </c>
      <c r="AE234" s="47">
        <v>32.399</v>
      </c>
      <c r="AF234" s="47">
        <v>32.306</v>
      </c>
      <c r="AG234" s="49">
        <v>1.83</v>
      </c>
      <c r="AH234" s="47">
        <v>2.044</v>
      </c>
      <c r="AI234" s="47">
        <v>2.144</v>
      </c>
      <c r="AJ234" s="47">
        <v>2.324</v>
      </c>
      <c r="AK234" s="47">
        <v>2.595</v>
      </c>
      <c r="AL234" s="47">
        <v>3.048</v>
      </c>
      <c r="AM234" s="47">
        <v>3.717</v>
      </c>
      <c r="AN234" s="47">
        <v>4.682</v>
      </c>
      <c r="AO234" s="47">
        <v>6.106</v>
      </c>
      <c r="AP234" s="47">
        <v>8.395</v>
      </c>
      <c r="AQ234" s="49">
        <v>0.0</v>
      </c>
      <c r="AR234" s="47">
        <v>55.7</v>
      </c>
      <c r="AS234" s="47">
        <v>63.79</v>
      </c>
      <c r="AT234" s="47">
        <v>69.56</v>
      </c>
      <c r="AU234" s="47">
        <v>71.48</v>
      </c>
      <c r="AV234" s="47">
        <v>72.96</v>
      </c>
      <c r="AW234" s="47">
        <v>73.69</v>
      </c>
      <c r="AX234" s="47">
        <v>73.45</v>
      </c>
      <c r="AY234" s="47">
        <v>72.54</v>
      </c>
      <c r="AZ234" s="47">
        <v>71.43</v>
      </c>
      <c r="BA234" s="50">
        <v>1142.0</v>
      </c>
      <c r="BB234" s="51">
        <v>653.0</v>
      </c>
      <c r="BC234" s="51">
        <v>395.0</v>
      </c>
      <c r="BD234" s="51">
        <v>304.0</v>
      </c>
      <c r="BE234" s="51" t="s">
        <v>639</v>
      </c>
      <c r="BF234" s="51" t="s">
        <v>922</v>
      </c>
      <c r="BG234" s="51" t="s">
        <v>923</v>
      </c>
      <c r="BH234" s="51" t="s">
        <v>924</v>
      </c>
      <c r="BI234" s="51">
        <v>275.0</v>
      </c>
      <c r="BJ234" s="51">
        <v>340.0</v>
      </c>
      <c r="BK234" s="51">
        <v>380.0</v>
      </c>
      <c r="BL234" s="51">
        <v>425.0</v>
      </c>
      <c r="BM234" s="51">
        <v>500.0</v>
      </c>
      <c r="BN234" s="51">
        <v>180.0</v>
      </c>
      <c r="BO234" s="51">
        <v>56.0</v>
      </c>
      <c r="BP234" s="51" t="s">
        <v>925</v>
      </c>
      <c r="BQ234" s="51" t="s">
        <v>926</v>
      </c>
      <c r="BR234" s="52">
        <v>25.0</v>
      </c>
      <c r="BS234" s="53" t="s">
        <v>927</v>
      </c>
      <c r="BT234" s="53" t="s">
        <v>927</v>
      </c>
      <c r="BU234" s="52">
        <v>37.0</v>
      </c>
      <c r="BV234" s="47">
        <f>IFERROR(__xludf.DUMMYFUNCTION("IFERROR(INDEX(motors!E:E, MATCH(1, (motors!A:A=REGEXEXTRACT(A234,""^\S+""))*(motors!B:B=BU234), 0)), """")"),67.4)</f>
        <v>67.4</v>
      </c>
      <c r="BW234" s="47">
        <f>IFERROR(__xludf.DUMMYFUNCTION("IFERROR(INDEX(motors!F:F, MATCH(1, (motors!A:A=REGEXEXTRACT(A234,""^\S+""))*(motors!B:B=BU234), 0)), """")"),38.8)</f>
        <v>38.8</v>
      </c>
      <c r="BX234" s="51">
        <v>2.0</v>
      </c>
      <c r="BY234" s="52">
        <v>360.0</v>
      </c>
      <c r="BZ234" s="53" t="s">
        <v>978</v>
      </c>
      <c r="CA234" s="53" t="str">
        <f>IFERROR(__xludf.DUMMYFUNCTION("IFERROR(REGEXEXTRACT(BZ234, ""(?i)[A-Z]+-D-E-([^-]+)-E""), """")"),"HUBE")</f>
        <v>HUBE</v>
      </c>
    </row>
    <row r="235" ht="11.25" customHeight="1">
      <c r="A235" s="55" t="s">
        <v>979</v>
      </c>
      <c r="B235" s="55">
        <v>7.4126709E7</v>
      </c>
      <c r="C235" s="56">
        <v>0.0</v>
      </c>
      <c r="D235" s="56">
        <v>80.0</v>
      </c>
      <c r="E235" s="56">
        <v>100.0</v>
      </c>
      <c r="F235" s="56">
        <v>120.0</v>
      </c>
      <c r="G235" s="56">
        <v>130.0</v>
      </c>
      <c r="H235" s="56">
        <v>140.0</v>
      </c>
      <c r="I235" s="56">
        <v>150.0</v>
      </c>
      <c r="J235" s="56">
        <v>160.0</v>
      </c>
      <c r="K235" s="56">
        <v>170.0</v>
      </c>
      <c r="L235" s="56">
        <v>180.0</v>
      </c>
      <c r="M235" s="48">
        <v>83.0381093773</v>
      </c>
      <c r="N235" s="56">
        <v>77.7</v>
      </c>
      <c r="O235" s="56">
        <v>74.8915274973</v>
      </c>
      <c r="P235" s="56">
        <v>70.9079217613</v>
      </c>
      <c r="Q235" s="56">
        <v>68.4591169233</v>
      </c>
      <c r="R235" s="56">
        <v>65.6722665053</v>
      </c>
      <c r="S235" s="56">
        <v>62.522337307300006</v>
      </c>
      <c r="T235" s="56">
        <v>58.984296129300006</v>
      </c>
      <c r="U235" s="56">
        <v>55.033109771300005</v>
      </c>
      <c r="V235" s="56">
        <v>50.64374503330001</v>
      </c>
      <c r="W235" s="49">
        <f>W229*3</f>
        <v>22.314</v>
      </c>
      <c r="X235" s="56">
        <v>30.294000000000004</v>
      </c>
      <c r="Y235" s="56">
        <v>32.126999999999995</v>
      </c>
      <c r="Z235" s="56">
        <v>34.374</v>
      </c>
      <c r="AA235" s="56">
        <v>35.244</v>
      </c>
      <c r="AB235" s="56">
        <v>35.883</v>
      </c>
      <c r="AC235" s="56">
        <v>36.237</v>
      </c>
      <c r="AD235" s="56">
        <v>36.324</v>
      </c>
      <c r="AE235" s="56">
        <v>36.078</v>
      </c>
      <c r="AF235" s="56">
        <v>35.853</v>
      </c>
      <c r="AG235" s="49">
        <v>1.83</v>
      </c>
      <c r="AH235" s="56">
        <v>2.044</v>
      </c>
      <c r="AI235" s="56">
        <v>2.144</v>
      </c>
      <c r="AJ235" s="56">
        <v>2.324</v>
      </c>
      <c r="AK235" s="56">
        <v>2.595</v>
      </c>
      <c r="AL235" s="56">
        <v>3.048</v>
      </c>
      <c r="AM235" s="56">
        <v>3.717</v>
      </c>
      <c r="AN235" s="56">
        <v>4.682</v>
      </c>
      <c r="AO235" s="56">
        <v>6.106</v>
      </c>
      <c r="AP235" s="56">
        <v>8.395</v>
      </c>
      <c r="AQ235" s="49">
        <v>0.0</v>
      </c>
      <c r="AR235" s="56">
        <v>55.7</v>
      </c>
      <c r="AS235" s="56">
        <v>63.79</v>
      </c>
      <c r="AT235" s="56">
        <v>69.56</v>
      </c>
      <c r="AU235" s="56">
        <v>71.48</v>
      </c>
      <c r="AV235" s="56">
        <v>72.96</v>
      </c>
      <c r="AW235" s="56">
        <v>73.69</v>
      </c>
      <c r="AX235" s="56">
        <v>73.45</v>
      </c>
      <c r="AY235" s="56">
        <v>72.54</v>
      </c>
      <c r="AZ235" s="56">
        <v>71.43</v>
      </c>
      <c r="BA235" s="50">
        <v>1142.0</v>
      </c>
      <c r="BB235" s="57">
        <v>653.0</v>
      </c>
      <c r="BC235" s="57">
        <v>395.0</v>
      </c>
      <c r="BD235" s="57">
        <v>304.0</v>
      </c>
      <c r="BE235" s="57" t="s">
        <v>639</v>
      </c>
      <c r="BF235" s="57" t="s">
        <v>922</v>
      </c>
      <c r="BG235" s="57" t="s">
        <v>923</v>
      </c>
      <c r="BH235" s="57" t="s">
        <v>924</v>
      </c>
      <c r="BI235" s="57">
        <v>275.0</v>
      </c>
      <c r="BJ235" s="57">
        <v>340.0</v>
      </c>
      <c r="BK235" s="57">
        <v>380.0</v>
      </c>
      <c r="BL235" s="57">
        <v>425.0</v>
      </c>
      <c r="BM235" s="57">
        <v>500.0</v>
      </c>
      <c r="BN235" s="57">
        <v>180.0</v>
      </c>
      <c r="BO235" s="57">
        <v>56.0</v>
      </c>
      <c r="BP235" s="57" t="s">
        <v>925</v>
      </c>
      <c r="BQ235" s="57" t="s">
        <v>926</v>
      </c>
      <c r="BR235" s="58">
        <v>25.0</v>
      </c>
      <c r="BS235" s="59" t="s">
        <v>927</v>
      </c>
      <c r="BT235" s="59" t="s">
        <v>927</v>
      </c>
      <c r="BU235" s="58">
        <v>37.0</v>
      </c>
      <c r="BV235" s="47">
        <f>IFERROR(__xludf.DUMMYFUNCTION("IFERROR(INDEX(motors!E:E, MATCH(1, (motors!A:A=REGEXEXTRACT(A235,""^\S+""))*(motors!B:B=BU235), 0)), """")"),67.4)</f>
        <v>67.4</v>
      </c>
      <c r="BW235" s="47">
        <f>IFERROR(__xludf.DUMMYFUNCTION("IFERROR(INDEX(motors!F:F, MATCH(1, (motors!A:A=REGEXEXTRACT(A235,""^\S+""))*(motors!B:B=BU235), 0)), """")"),38.8)</f>
        <v>38.8</v>
      </c>
      <c r="BX235" s="57">
        <v>2.0</v>
      </c>
      <c r="BY235" s="58">
        <v>385.0</v>
      </c>
      <c r="BZ235" s="59" t="s">
        <v>980</v>
      </c>
      <c r="CA235" s="53" t="str">
        <f>IFERROR(__xludf.DUMMYFUNCTION("IFERROR(REGEXEXTRACT(BZ235, ""(?i)[A-Z]+-D-E-([^-]+)-E""), """")"),"HUBE")</f>
        <v>HUBE</v>
      </c>
    </row>
    <row r="236" ht="11.25" customHeight="1">
      <c r="A236" s="46" t="s">
        <v>981</v>
      </c>
      <c r="B236" s="46">
        <v>7.4126711E7</v>
      </c>
      <c r="C236" s="47">
        <v>0.0</v>
      </c>
      <c r="D236" s="47">
        <v>80.0</v>
      </c>
      <c r="E236" s="47">
        <v>100.0</v>
      </c>
      <c r="F236" s="47">
        <v>120.0</v>
      </c>
      <c r="G236" s="47">
        <v>130.0</v>
      </c>
      <c r="H236" s="47">
        <v>140.0</v>
      </c>
      <c r="I236" s="47">
        <v>150.0</v>
      </c>
      <c r="J236" s="47">
        <v>160.0</v>
      </c>
      <c r="K236" s="47">
        <v>170.0</v>
      </c>
      <c r="L236" s="47">
        <v>180.0</v>
      </c>
      <c r="M236" s="48">
        <v>94.3176465485</v>
      </c>
      <c r="N236" s="47">
        <v>88.0266364045</v>
      </c>
      <c r="O236" s="47">
        <v>84.6</v>
      </c>
      <c r="P236" s="47">
        <v>79.80411997249999</v>
      </c>
      <c r="Q236" s="47">
        <v>76.8971445145</v>
      </c>
      <c r="R236" s="47">
        <v>73.5900937165</v>
      </c>
      <c r="S236" s="47">
        <v>69.85319917849999</v>
      </c>
      <c r="T236" s="47">
        <v>65.6566925005</v>
      </c>
      <c r="U236" s="47">
        <v>60.970805282499995</v>
      </c>
      <c r="V236" s="47">
        <v>55.7657691245</v>
      </c>
      <c r="W236" s="49">
        <f>W228*2+W229*2</f>
        <v>23.98</v>
      </c>
      <c r="X236" s="47">
        <v>32.944</v>
      </c>
      <c r="Y236" s="47">
        <v>35.388</v>
      </c>
      <c r="Z236" s="47">
        <v>38.206</v>
      </c>
      <c r="AA236" s="47">
        <v>39.324</v>
      </c>
      <c r="AB236" s="47">
        <v>40.118</v>
      </c>
      <c r="AC236" s="47">
        <v>40.606</v>
      </c>
      <c r="AD236" s="47">
        <v>40.826</v>
      </c>
      <c r="AE236" s="47">
        <v>40.745999999999995</v>
      </c>
      <c r="AF236" s="47">
        <v>40.71</v>
      </c>
      <c r="AG236" s="49">
        <v>1.83</v>
      </c>
      <c r="AH236" s="47">
        <v>2.044</v>
      </c>
      <c r="AI236" s="47">
        <v>2.144</v>
      </c>
      <c r="AJ236" s="47">
        <v>2.324</v>
      </c>
      <c r="AK236" s="47">
        <v>2.595</v>
      </c>
      <c r="AL236" s="47">
        <v>3.048</v>
      </c>
      <c r="AM236" s="47">
        <v>3.717</v>
      </c>
      <c r="AN236" s="47">
        <v>4.682</v>
      </c>
      <c r="AO236" s="47">
        <v>6.106</v>
      </c>
      <c r="AP236" s="47">
        <v>8.395</v>
      </c>
      <c r="AQ236" s="49">
        <v>0.0</v>
      </c>
      <c r="AR236" s="47">
        <v>55.7</v>
      </c>
      <c r="AS236" s="47">
        <v>63.79</v>
      </c>
      <c r="AT236" s="47">
        <v>69.56</v>
      </c>
      <c r="AU236" s="47">
        <v>71.48</v>
      </c>
      <c r="AV236" s="47">
        <v>72.96</v>
      </c>
      <c r="AW236" s="47">
        <v>73.69</v>
      </c>
      <c r="AX236" s="47">
        <v>73.45</v>
      </c>
      <c r="AY236" s="47">
        <v>72.54</v>
      </c>
      <c r="AZ236" s="47">
        <v>71.43</v>
      </c>
      <c r="BA236" s="50">
        <v>1294.0</v>
      </c>
      <c r="BB236" s="51">
        <v>702.0</v>
      </c>
      <c r="BC236" s="51">
        <v>450.0</v>
      </c>
      <c r="BD236" s="51">
        <v>340.0</v>
      </c>
      <c r="BE236" s="51" t="s">
        <v>639</v>
      </c>
      <c r="BF236" s="51" t="s">
        <v>922</v>
      </c>
      <c r="BG236" s="51" t="s">
        <v>923</v>
      </c>
      <c r="BH236" s="51" t="s">
        <v>924</v>
      </c>
      <c r="BI236" s="51">
        <v>275.0</v>
      </c>
      <c r="BJ236" s="51">
        <v>340.0</v>
      </c>
      <c r="BK236" s="51">
        <v>380.0</v>
      </c>
      <c r="BL236" s="51">
        <v>425.0</v>
      </c>
      <c r="BM236" s="51">
        <v>500.0</v>
      </c>
      <c r="BN236" s="51">
        <v>180.0</v>
      </c>
      <c r="BO236" s="51">
        <v>56.0</v>
      </c>
      <c r="BP236" s="51" t="s">
        <v>925</v>
      </c>
      <c r="BQ236" s="51" t="s">
        <v>926</v>
      </c>
      <c r="BR236" s="52">
        <v>25.0</v>
      </c>
      <c r="BS236" s="53" t="s">
        <v>927</v>
      </c>
      <c r="BT236" s="53" t="s">
        <v>927</v>
      </c>
      <c r="BU236" s="52">
        <v>45.0</v>
      </c>
      <c r="BV236" s="47">
        <f>IFERROR(__xludf.DUMMYFUNCTION("IFERROR(INDEX(motors!E:E, MATCH(1, (motors!A:A=REGEXEXTRACT(A236,""^\S+""))*(motors!B:B=BU236), 0)), """")"),80.8)</f>
        <v>80.8</v>
      </c>
      <c r="BW236" s="47">
        <f>IFERROR(__xludf.DUMMYFUNCTION("IFERROR(INDEX(motors!F:F, MATCH(1, (motors!A:A=REGEXEXTRACT(A236,""^\S+""))*(motors!B:B=BU236), 0)), """")"),46.5)</f>
        <v>46.5</v>
      </c>
      <c r="BX236" s="51">
        <v>2.0</v>
      </c>
      <c r="BY236" s="52">
        <v>460.0</v>
      </c>
      <c r="BZ236" s="53" t="s">
        <v>982</v>
      </c>
      <c r="CA236" s="53" t="str">
        <f>IFERROR(__xludf.DUMMYFUNCTION("IFERROR(REGEXEXTRACT(BZ236, ""(?i)[A-Z]+-D-E-([^-]+)-E""), """")"),"HUBE")</f>
        <v>HUBE</v>
      </c>
    </row>
    <row r="237" ht="11.25" customHeight="1">
      <c r="A237" s="55" t="s">
        <v>983</v>
      </c>
      <c r="B237" s="55">
        <v>7.412671E7</v>
      </c>
      <c r="C237" s="56">
        <v>0.0</v>
      </c>
      <c r="D237" s="56">
        <v>80.0</v>
      </c>
      <c r="E237" s="56">
        <v>100.0</v>
      </c>
      <c r="F237" s="56">
        <v>120.0</v>
      </c>
      <c r="G237" s="56">
        <v>130.0</v>
      </c>
      <c r="H237" s="56">
        <v>140.0</v>
      </c>
      <c r="I237" s="56">
        <v>150.0</v>
      </c>
      <c r="J237" s="56">
        <v>160.0</v>
      </c>
      <c r="K237" s="56">
        <v>170.0</v>
      </c>
      <c r="L237" s="56">
        <v>180.0</v>
      </c>
      <c r="M237" s="48">
        <v>104.1879651751</v>
      </c>
      <c r="N237" s="56">
        <v>95.7054612711</v>
      </c>
      <c r="O237" s="56">
        <v>91.97172469510001</v>
      </c>
      <c r="P237" s="56">
        <v>87.02217747910001</v>
      </c>
      <c r="Q237" s="56">
        <v>84.00232388110001</v>
      </c>
      <c r="R237" s="56">
        <v>80.57153642310001</v>
      </c>
      <c r="S237" s="56">
        <v>76.6941547051</v>
      </c>
      <c r="T237" s="56">
        <v>72.3345183271</v>
      </c>
      <c r="U237" s="56">
        <v>67.45696688910002</v>
      </c>
      <c r="V237" s="56">
        <v>62.0258399911</v>
      </c>
      <c r="W237" s="49">
        <f>W228+W229*3</f>
        <v>26.866</v>
      </c>
      <c r="X237" s="56">
        <v>36.668000000000006</v>
      </c>
      <c r="Y237" s="56">
        <v>39.111999999999995</v>
      </c>
      <c r="Z237" s="56">
        <v>42.019000000000005</v>
      </c>
      <c r="AA237" s="56">
        <v>43.158</v>
      </c>
      <c r="AB237" s="56">
        <v>43.981</v>
      </c>
      <c r="AC237" s="56">
        <v>44.461</v>
      </c>
      <c r="AD237" s="56">
        <v>44.629</v>
      </c>
      <c r="AE237" s="56">
        <v>44.425000000000004</v>
      </c>
      <c r="AF237" s="56">
        <v>44.257000000000005</v>
      </c>
      <c r="AG237" s="49">
        <v>1.83</v>
      </c>
      <c r="AH237" s="56">
        <v>2.044</v>
      </c>
      <c r="AI237" s="56">
        <v>2.144</v>
      </c>
      <c r="AJ237" s="56">
        <v>2.324</v>
      </c>
      <c r="AK237" s="56">
        <v>2.595</v>
      </c>
      <c r="AL237" s="56">
        <v>3.048</v>
      </c>
      <c r="AM237" s="56">
        <v>3.717</v>
      </c>
      <c r="AN237" s="56">
        <v>4.682</v>
      </c>
      <c r="AO237" s="56">
        <v>6.106</v>
      </c>
      <c r="AP237" s="56">
        <v>8.395</v>
      </c>
      <c r="AQ237" s="49">
        <v>0.0</v>
      </c>
      <c r="AR237" s="56">
        <v>55.7</v>
      </c>
      <c r="AS237" s="56">
        <v>63.79</v>
      </c>
      <c r="AT237" s="56">
        <v>69.56</v>
      </c>
      <c r="AU237" s="56">
        <v>71.48</v>
      </c>
      <c r="AV237" s="56">
        <v>72.96</v>
      </c>
      <c r="AW237" s="56">
        <v>73.69</v>
      </c>
      <c r="AX237" s="56">
        <v>73.45</v>
      </c>
      <c r="AY237" s="56">
        <v>72.54</v>
      </c>
      <c r="AZ237" s="56">
        <v>71.43</v>
      </c>
      <c r="BA237" s="50">
        <v>1294.0</v>
      </c>
      <c r="BB237" s="57">
        <v>702.0</v>
      </c>
      <c r="BC237" s="57">
        <v>450.0</v>
      </c>
      <c r="BD237" s="57">
        <v>340.0</v>
      </c>
      <c r="BE237" s="57" t="s">
        <v>639</v>
      </c>
      <c r="BF237" s="57" t="s">
        <v>922</v>
      </c>
      <c r="BG237" s="57" t="s">
        <v>923</v>
      </c>
      <c r="BH237" s="57" t="s">
        <v>924</v>
      </c>
      <c r="BI237" s="57">
        <v>275.0</v>
      </c>
      <c r="BJ237" s="57">
        <v>340.0</v>
      </c>
      <c r="BK237" s="57">
        <v>380.0</v>
      </c>
      <c r="BL237" s="57">
        <v>425.0</v>
      </c>
      <c r="BM237" s="57">
        <v>500.0</v>
      </c>
      <c r="BN237" s="57">
        <v>180.0</v>
      </c>
      <c r="BO237" s="57">
        <v>56.0</v>
      </c>
      <c r="BP237" s="57" t="s">
        <v>925</v>
      </c>
      <c r="BQ237" s="57" t="s">
        <v>926</v>
      </c>
      <c r="BR237" s="58">
        <v>25.0</v>
      </c>
      <c r="BS237" s="59" t="s">
        <v>927</v>
      </c>
      <c r="BT237" s="59" t="s">
        <v>927</v>
      </c>
      <c r="BU237" s="58">
        <v>45.0</v>
      </c>
      <c r="BV237" s="47">
        <f>IFERROR(__xludf.DUMMYFUNCTION("IFERROR(INDEX(motors!E:E, MATCH(1, (motors!A:A=REGEXEXTRACT(A237,""^\S+""))*(motors!B:B=BU237), 0)), """")"),80.8)</f>
        <v>80.8</v>
      </c>
      <c r="BW237" s="47">
        <f>IFERROR(__xludf.DUMMYFUNCTION("IFERROR(INDEX(motors!F:F, MATCH(1, (motors!A:A=REGEXEXTRACT(A237,""^\S+""))*(motors!B:B=BU237), 0)), """")"),46.5)</f>
        <v>46.5</v>
      </c>
      <c r="BX237" s="57">
        <v>2.0</v>
      </c>
      <c r="BY237" s="58">
        <v>460.0</v>
      </c>
      <c r="BZ237" s="59" t="s">
        <v>984</v>
      </c>
      <c r="CA237" s="53" t="str">
        <f>IFERROR(__xludf.DUMMYFUNCTION("IFERROR(REGEXEXTRACT(BZ237, ""(?i)[A-Z]+-D-E-([^-]+)-E""), """")"),"HUBE")</f>
        <v>HUBE</v>
      </c>
    </row>
    <row r="238" ht="11.25" customHeight="1">
      <c r="A238" s="46" t="s">
        <v>985</v>
      </c>
      <c r="B238" s="46">
        <v>7.4126712E7</v>
      </c>
      <c r="C238" s="47">
        <v>0.0</v>
      </c>
      <c r="D238" s="47">
        <v>80.0</v>
      </c>
      <c r="E238" s="47">
        <v>100.0</v>
      </c>
      <c r="F238" s="47">
        <v>120.0</v>
      </c>
      <c r="G238" s="47">
        <v>130.0</v>
      </c>
      <c r="H238" s="47">
        <v>140.0</v>
      </c>
      <c r="I238" s="47">
        <v>150.0</v>
      </c>
      <c r="J238" s="47">
        <v>160.0</v>
      </c>
      <c r="K238" s="47">
        <v>170.0</v>
      </c>
      <c r="L238" s="47">
        <v>180.0</v>
      </c>
      <c r="M238" s="48">
        <v>111.9297232708</v>
      </c>
      <c r="N238" s="47">
        <v>103.7750582388</v>
      </c>
      <c r="O238" s="47">
        <v>100.1</v>
      </c>
      <c r="P238" s="47">
        <v>94.7123689228</v>
      </c>
      <c r="Q238" s="47">
        <v>91.5262800938</v>
      </c>
      <c r="R238" s="47">
        <v>87.8979738648</v>
      </c>
      <c r="S238" s="47">
        <v>83.7904248358</v>
      </c>
      <c r="T238" s="47">
        <v>79.1666076068</v>
      </c>
      <c r="U238" s="47">
        <v>73.9894967778</v>
      </c>
      <c r="V238" s="47">
        <v>68.2220669488</v>
      </c>
      <c r="W238" s="49">
        <f>W229*4</f>
        <v>29.752</v>
      </c>
      <c r="X238" s="47">
        <v>40.392</v>
      </c>
      <c r="Y238" s="47">
        <v>42.836</v>
      </c>
      <c r="Z238" s="47">
        <v>45.832</v>
      </c>
      <c r="AA238" s="47">
        <v>46.992</v>
      </c>
      <c r="AB238" s="47">
        <v>47.844</v>
      </c>
      <c r="AC238" s="47">
        <v>48.316</v>
      </c>
      <c r="AD238" s="47">
        <v>48.432</v>
      </c>
      <c r="AE238" s="47">
        <v>48.104</v>
      </c>
      <c r="AF238" s="47">
        <v>47.804</v>
      </c>
      <c r="AG238" s="49">
        <v>1.83</v>
      </c>
      <c r="AH238" s="47">
        <v>2.044</v>
      </c>
      <c r="AI238" s="47">
        <v>2.144</v>
      </c>
      <c r="AJ238" s="47">
        <v>2.324</v>
      </c>
      <c r="AK238" s="47">
        <v>2.595</v>
      </c>
      <c r="AL238" s="47">
        <v>3.048</v>
      </c>
      <c r="AM238" s="47">
        <v>3.717</v>
      </c>
      <c r="AN238" s="47">
        <v>4.682</v>
      </c>
      <c r="AO238" s="47">
        <v>6.106</v>
      </c>
      <c r="AP238" s="47">
        <v>8.395</v>
      </c>
      <c r="AQ238" s="49">
        <v>0.0</v>
      </c>
      <c r="AR238" s="47">
        <v>55.7</v>
      </c>
      <c r="AS238" s="47">
        <v>63.79</v>
      </c>
      <c r="AT238" s="47">
        <v>69.56</v>
      </c>
      <c r="AU238" s="47">
        <v>71.48</v>
      </c>
      <c r="AV238" s="47">
        <v>72.96</v>
      </c>
      <c r="AW238" s="47">
        <v>73.69</v>
      </c>
      <c r="AX238" s="47">
        <v>73.45</v>
      </c>
      <c r="AY238" s="47">
        <v>72.54</v>
      </c>
      <c r="AZ238" s="47">
        <v>71.43</v>
      </c>
      <c r="BA238" s="50">
        <v>1324.0</v>
      </c>
      <c r="BB238" s="51">
        <v>772.0</v>
      </c>
      <c r="BC238" s="51">
        <v>490.0</v>
      </c>
      <c r="BD238" s="51">
        <v>370.0</v>
      </c>
      <c r="BE238" s="51" t="s">
        <v>639</v>
      </c>
      <c r="BF238" s="51" t="s">
        <v>922</v>
      </c>
      <c r="BG238" s="51" t="s">
        <v>923</v>
      </c>
      <c r="BH238" s="51" t="s">
        <v>924</v>
      </c>
      <c r="BI238" s="51">
        <v>275.0</v>
      </c>
      <c r="BJ238" s="51">
        <v>340.0</v>
      </c>
      <c r="BK238" s="51">
        <v>380.0</v>
      </c>
      <c r="BL238" s="51">
        <v>425.0</v>
      </c>
      <c r="BM238" s="51">
        <v>500.0</v>
      </c>
      <c r="BN238" s="51">
        <v>180.0</v>
      </c>
      <c r="BO238" s="51">
        <v>56.0</v>
      </c>
      <c r="BP238" s="51" t="s">
        <v>925</v>
      </c>
      <c r="BQ238" s="51" t="s">
        <v>926</v>
      </c>
      <c r="BR238" s="52">
        <v>25.0</v>
      </c>
      <c r="BS238" s="53" t="s">
        <v>927</v>
      </c>
      <c r="BT238" s="53" t="s">
        <v>927</v>
      </c>
      <c r="BU238" s="52">
        <v>55.0</v>
      </c>
      <c r="BV238" s="47">
        <f>IFERROR(__xludf.DUMMYFUNCTION("IFERROR(INDEX(motors!E:E, MATCH(1, (motors!A:A=REGEXEXTRACT(A238,""^\S+""))*(motors!B:B=BU238), 0)), """")"),98.5)</f>
        <v>98.5</v>
      </c>
      <c r="BW238" s="47">
        <f>IFERROR(__xludf.DUMMYFUNCTION("IFERROR(INDEX(motors!F:F, MATCH(1, (motors!A:A=REGEXEXTRACT(A238,""^\S+""))*(motors!B:B=BU238), 0)), """")"),56.7)</f>
        <v>56.7</v>
      </c>
      <c r="BX238" s="51">
        <v>2.0</v>
      </c>
      <c r="BY238" s="52">
        <v>560.0</v>
      </c>
      <c r="BZ238" s="53" t="s">
        <v>986</v>
      </c>
      <c r="CA238" s="53" t="str">
        <f>IFERROR(__xludf.DUMMYFUNCTION("IFERROR(REGEXEXTRACT(BZ238, ""(?i)[A-Z]+-D-E-([^-]+)-E""), """")"),"HUBE")</f>
        <v>HUBE</v>
      </c>
    </row>
    <row r="239" ht="11.25" customHeight="1">
      <c r="A239" s="55" t="s">
        <v>987</v>
      </c>
      <c r="B239" s="55">
        <v>7.4126714E7</v>
      </c>
      <c r="C239" s="56">
        <v>0.0</v>
      </c>
      <c r="D239" s="56">
        <v>80.0</v>
      </c>
      <c r="E239" s="56">
        <v>100.0</v>
      </c>
      <c r="F239" s="56">
        <v>120.0</v>
      </c>
      <c r="G239" s="56">
        <v>130.0</v>
      </c>
      <c r="H239" s="56">
        <v>140.0</v>
      </c>
      <c r="I239" s="56">
        <v>150.0</v>
      </c>
      <c r="J239" s="56">
        <v>160.0</v>
      </c>
      <c r="K239" s="56">
        <v>170.0</v>
      </c>
      <c r="L239" s="56">
        <v>180.0</v>
      </c>
      <c r="M239" s="48">
        <v>124.7139821584</v>
      </c>
      <c r="N239" s="56">
        <v>114.2971545424</v>
      </c>
      <c r="O239" s="56">
        <v>109.6839910384</v>
      </c>
      <c r="P239" s="56">
        <v>103.6163360944</v>
      </c>
      <c r="Q239" s="56">
        <v>99.9353698324</v>
      </c>
      <c r="R239" s="56">
        <v>95.76873531039999</v>
      </c>
      <c r="S239" s="56">
        <v>91.0757507284</v>
      </c>
      <c r="T239" s="56">
        <v>85.8157342864</v>
      </c>
      <c r="U239" s="56">
        <v>79.9480041844</v>
      </c>
      <c r="V239" s="56">
        <v>73.43187862239999</v>
      </c>
      <c r="W239" s="49">
        <f>W228*2+W229*3</f>
        <v>31.418</v>
      </c>
      <c r="X239" s="56">
        <v>43.042</v>
      </c>
      <c r="Y239" s="56">
        <v>46.096999999999994</v>
      </c>
      <c r="Z239" s="56">
        <v>49.664</v>
      </c>
      <c r="AA239" s="56">
        <v>51.072</v>
      </c>
      <c r="AB239" s="56">
        <v>52.07900000000001</v>
      </c>
      <c r="AC239" s="56">
        <v>52.685</v>
      </c>
      <c r="AD239" s="56">
        <v>52.934</v>
      </c>
      <c r="AE239" s="56">
        <v>52.772000000000006</v>
      </c>
      <c r="AF239" s="56">
        <v>52.661</v>
      </c>
      <c r="AG239" s="49">
        <v>1.83</v>
      </c>
      <c r="AH239" s="56">
        <v>2.044</v>
      </c>
      <c r="AI239" s="56">
        <v>2.144</v>
      </c>
      <c r="AJ239" s="56">
        <v>2.324</v>
      </c>
      <c r="AK239" s="56">
        <v>2.595</v>
      </c>
      <c r="AL239" s="56">
        <v>3.048</v>
      </c>
      <c r="AM239" s="56">
        <v>3.717</v>
      </c>
      <c r="AN239" s="56">
        <v>4.682</v>
      </c>
      <c r="AO239" s="56">
        <v>6.106</v>
      </c>
      <c r="AP239" s="56">
        <v>8.395</v>
      </c>
      <c r="AQ239" s="49">
        <v>0.0</v>
      </c>
      <c r="AR239" s="56">
        <v>55.7</v>
      </c>
      <c r="AS239" s="56">
        <v>63.79</v>
      </c>
      <c r="AT239" s="56">
        <v>69.56</v>
      </c>
      <c r="AU239" s="56">
        <v>71.48</v>
      </c>
      <c r="AV239" s="56">
        <v>72.96</v>
      </c>
      <c r="AW239" s="56">
        <v>73.69</v>
      </c>
      <c r="AX239" s="56">
        <v>73.45</v>
      </c>
      <c r="AY239" s="56">
        <v>72.54</v>
      </c>
      <c r="AZ239" s="56">
        <v>71.43</v>
      </c>
      <c r="BA239" s="50">
        <v>1476.0</v>
      </c>
      <c r="BB239" s="57">
        <v>772.0</v>
      </c>
      <c r="BC239" s="57">
        <v>490.0</v>
      </c>
      <c r="BD239" s="57">
        <v>370.0</v>
      </c>
      <c r="BE239" s="57" t="s">
        <v>639</v>
      </c>
      <c r="BF239" s="57" t="s">
        <v>922</v>
      </c>
      <c r="BG239" s="57" t="s">
        <v>923</v>
      </c>
      <c r="BH239" s="57" t="s">
        <v>924</v>
      </c>
      <c r="BI239" s="57">
        <v>275.0</v>
      </c>
      <c r="BJ239" s="57">
        <v>340.0</v>
      </c>
      <c r="BK239" s="57">
        <v>380.0</v>
      </c>
      <c r="BL239" s="57">
        <v>425.0</v>
      </c>
      <c r="BM239" s="57">
        <v>500.0</v>
      </c>
      <c r="BN239" s="57">
        <v>180.0</v>
      </c>
      <c r="BO239" s="57">
        <v>56.0</v>
      </c>
      <c r="BP239" s="57" t="s">
        <v>925</v>
      </c>
      <c r="BQ239" s="57" t="s">
        <v>926</v>
      </c>
      <c r="BR239" s="58">
        <v>25.0</v>
      </c>
      <c r="BS239" s="59" t="s">
        <v>927</v>
      </c>
      <c r="BT239" s="59" t="s">
        <v>927</v>
      </c>
      <c r="BU239" s="58">
        <v>55.0</v>
      </c>
      <c r="BV239" s="47">
        <f>IFERROR(__xludf.DUMMYFUNCTION("IFERROR(INDEX(motors!E:E, MATCH(1, (motors!A:A=REGEXEXTRACT(A239,""^\S+""))*(motors!B:B=BU239), 0)), """")"),98.5)</f>
        <v>98.5</v>
      </c>
      <c r="BW239" s="47">
        <f>IFERROR(__xludf.DUMMYFUNCTION("IFERROR(INDEX(motors!F:F, MATCH(1, (motors!A:A=REGEXEXTRACT(A239,""^\S+""))*(motors!B:B=BU239), 0)), """")"),56.7)</f>
        <v>56.7</v>
      </c>
      <c r="BX239" s="57">
        <v>2.0</v>
      </c>
      <c r="BY239" s="58">
        <v>690.0</v>
      </c>
      <c r="BZ239" s="59" t="s">
        <v>988</v>
      </c>
      <c r="CA239" s="53" t="str">
        <f>IFERROR(__xludf.DUMMYFUNCTION("IFERROR(REGEXEXTRACT(BZ239, ""(?i)[A-Z]+-D-E-([^-]+)-E""), """")"),"HUBE")</f>
        <v>HUBE</v>
      </c>
    </row>
    <row r="240" ht="11.25" customHeight="1">
      <c r="A240" s="46" t="s">
        <v>989</v>
      </c>
      <c r="B240" s="46">
        <v>7.4126713E7</v>
      </c>
      <c r="C240" s="47">
        <v>0.0</v>
      </c>
      <c r="D240" s="47">
        <v>80.0</v>
      </c>
      <c r="E240" s="47">
        <v>100.0</v>
      </c>
      <c r="F240" s="47">
        <v>120.0</v>
      </c>
      <c r="G240" s="47">
        <v>130.0</v>
      </c>
      <c r="H240" s="47">
        <v>140.0</v>
      </c>
      <c r="I240" s="47">
        <v>150.0</v>
      </c>
      <c r="J240" s="47">
        <v>160.0</v>
      </c>
      <c r="K240" s="47">
        <v>170.0</v>
      </c>
      <c r="L240" s="47">
        <v>180.0</v>
      </c>
      <c r="M240" s="48">
        <v>132.7905211149</v>
      </c>
      <c r="N240" s="47">
        <v>121.6936131149</v>
      </c>
      <c r="O240" s="47">
        <v>117.33293271490001</v>
      </c>
      <c r="P240" s="47">
        <v>111.44833655490001</v>
      </c>
      <c r="Q240" s="47">
        <v>107.7956115649</v>
      </c>
      <c r="R240" s="47">
        <v>103.5951574349</v>
      </c>
      <c r="S240" s="47">
        <v>98.7913907649</v>
      </c>
      <c r="T240" s="47">
        <v>93.3287281549</v>
      </c>
      <c r="U240" s="47">
        <v>87.1515862049</v>
      </c>
      <c r="V240" s="47">
        <v>80.2043815149</v>
      </c>
      <c r="W240" s="49">
        <f>W228+W229*4</f>
        <v>34.304</v>
      </c>
      <c r="X240" s="47">
        <v>46.766000000000005</v>
      </c>
      <c r="Y240" s="47">
        <v>49.821</v>
      </c>
      <c r="Z240" s="47">
        <v>53.477000000000004</v>
      </c>
      <c r="AA240" s="47">
        <v>54.906</v>
      </c>
      <c r="AB240" s="47">
        <v>55.942</v>
      </c>
      <c r="AC240" s="47">
        <v>56.540000000000006</v>
      </c>
      <c r="AD240" s="47">
        <v>56.737</v>
      </c>
      <c r="AE240" s="47">
        <v>56.451</v>
      </c>
      <c r="AF240" s="47">
        <v>56.208</v>
      </c>
      <c r="AG240" s="49">
        <v>1.83</v>
      </c>
      <c r="AH240" s="47">
        <v>2.044</v>
      </c>
      <c r="AI240" s="47">
        <v>2.144</v>
      </c>
      <c r="AJ240" s="47">
        <v>2.324</v>
      </c>
      <c r="AK240" s="47">
        <v>2.595</v>
      </c>
      <c r="AL240" s="47">
        <v>3.048</v>
      </c>
      <c r="AM240" s="47">
        <v>3.717</v>
      </c>
      <c r="AN240" s="47">
        <v>4.682</v>
      </c>
      <c r="AO240" s="47">
        <v>6.106</v>
      </c>
      <c r="AP240" s="47">
        <v>8.395</v>
      </c>
      <c r="AQ240" s="49">
        <v>0.0</v>
      </c>
      <c r="AR240" s="47">
        <v>55.7</v>
      </c>
      <c r="AS240" s="47">
        <v>63.79</v>
      </c>
      <c r="AT240" s="47">
        <v>69.56</v>
      </c>
      <c r="AU240" s="47">
        <v>71.48</v>
      </c>
      <c r="AV240" s="47">
        <v>72.96</v>
      </c>
      <c r="AW240" s="47">
        <v>73.69</v>
      </c>
      <c r="AX240" s="47">
        <v>73.45</v>
      </c>
      <c r="AY240" s="47">
        <v>72.54</v>
      </c>
      <c r="AZ240" s="47">
        <v>71.43</v>
      </c>
      <c r="BA240" s="50">
        <v>1476.0</v>
      </c>
      <c r="BB240" s="51">
        <v>840.0</v>
      </c>
      <c r="BC240" s="51">
        <v>550.0</v>
      </c>
      <c r="BD240" s="51">
        <v>410.0</v>
      </c>
      <c r="BE240" s="51" t="s">
        <v>639</v>
      </c>
      <c r="BF240" s="51" t="s">
        <v>922</v>
      </c>
      <c r="BG240" s="51" t="s">
        <v>923</v>
      </c>
      <c r="BH240" s="51" t="s">
        <v>924</v>
      </c>
      <c r="BI240" s="51">
        <v>275.0</v>
      </c>
      <c r="BJ240" s="51">
        <v>340.0</v>
      </c>
      <c r="BK240" s="51">
        <v>380.0</v>
      </c>
      <c r="BL240" s="51">
        <v>425.0</v>
      </c>
      <c r="BM240" s="51">
        <v>500.0</v>
      </c>
      <c r="BN240" s="51">
        <v>180.0</v>
      </c>
      <c r="BO240" s="51">
        <v>56.0</v>
      </c>
      <c r="BP240" s="51" t="s">
        <v>925</v>
      </c>
      <c r="BQ240" s="51" t="s">
        <v>926</v>
      </c>
      <c r="BR240" s="52">
        <v>25.0</v>
      </c>
      <c r="BS240" s="53" t="s">
        <v>927</v>
      </c>
      <c r="BT240" s="53" t="s">
        <v>927</v>
      </c>
      <c r="BU240" s="52">
        <v>75.0</v>
      </c>
      <c r="BV240" s="47">
        <f>IFERROR(__xludf.DUMMYFUNCTION("IFERROR(INDEX(motors!E:E, MATCH(1, (motors!A:A=REGEXEXTRACT(A240,""^\S+""))*(motors!B:B=BU240), 0)), """")"),133.7)</f>
        <v>133.7</v>
      </c>
      <c r="BW240" s="47">
        <f>IFERROR(__xludf.DUMMYFUNCTION("IFERROR(INDEX(motors!F:F, MATCH(1, (motors!A:A=REGEXEXTRACT(A240,""^\S+""))*(motors!B:B=BU240), 0)), """")"),77.0)</f>
        <v>77</v>
      </c>
      <c r="BX240" s="51">
        <v>2.0</v>
      </c>
      <c r="BY240" s="66">
        <v>690.0</v>
      </c>
      <c r="BZ240" s="53" t="s">
        <v>990</v>
      </c>
      <c r="CA240" s="53" t="str">
        <f>IFERROR(__xludf.DUMMYFUNCTION("IFERROR(REGEXEXTRACT(BZ240, ""(?i)[A-Z]+-D-E-([^-]+)-E""), """")"),"HUBE")</f>
        <v>HUBE</v>
      </c>
    </row>
    <row r="241" ht="11.25" customHeight="1">
      <c r="A241" s="55" t="s">
        <v>991</v>
      </c>
      <c r="B241" s="55">
        <v>7.4126715E7</v>
      </c>
      <c r="C241" s="56">
        <v>0.0</v>
      </c>
      <c r="D241" s="56">
        <v>80.0</v>
      </c>
      <c r="E241" s="56">
        <v>100.0</v>
      </c>
      <c r="F241" s="56">
        <v>120.0</v>
      </c>
      <c r="G241" s="56">
        <v>130.0</v>
      </c>
      <c r="H241" s="56">
        <v>140.0</v>
      </c>
      <c r="I241" s="56">
        <v>150.0</v>
      </c>
      <c r="J241" s="56">
        <v>160.0</v>
      </c>
      <c r="K241" s="56">
        <v>170.0</v>
      </c>
      <c r="L241" s="56">
        <v>180.0</v>
      </c>
      <c r="M241" s="48">
        <v>140.0615322136</v>
      </c>
      <c r="N241" s="56">
        <v>129.1991148856</v>
      </c>
      <c r="O241" s="56">
        <v>124.9517535536</v>
      </c>
      <c r="P241" s="56">
        <v>119.1081022216</v>
      </c>
      <c r="Q241" s="56">
        <v>115.43398230560001</v>
      </c>
      <c r="R241" s="56">
        <v>111.17636728960001</v>
      </c>
      <c r="S241" s="56">
        <v>106.2737829736</v>
      </c>
      <c r="T241" s="56">
        <v>100.66475515760001</v>
      </c>
      <c r="U241" s="56">
        <v>94.2878096416</v>
      </c>
      <c r="V241" s="56">
        <v>87.08147222560001</v>
      </c>
      <c r="W241" s="49">
        <f>W229*5</f>
        <v>37.19</v>
      </c>
      <c r="X241" s="56">
        <v>50.49</v>
      </c>
      <c r="Y241" s="56">
        <v>53.545</v>
      </c>
      <c r="Z241" s="56">
        <v>57.29</v>
      </c>
      <c r="AA241" s="56">
        <v>58.739999999999995</v>
      </c>
      <c r="AB241" s="56">
        <v>59.805</v>
      </c>
      <c r="AC241" s="56">
        <v>60.395</v>
      </c>
      <c r="AD241" s="56">
        <v>60.540000000000006</v>
      </c>
      <c r="AE241" s="56">
        <v>60.129999999999995</v>
      </c>
      <c r="AF241" s="56">
        <v>59.755</v>
      </c>
      <c r="AG241" s="49">
        <v>1.83</v>
      </c>
      <c r="AH241" s="56">
        <v>2.044</v>
      </c>
      <c r="AI241" s="56">
        <v>2.144</v>
      </c>
      <c r="AJ241" s="56">
        <v>2.324</v>
      </c>
      <c r="AK241" s="56">
        <v>2.595</v>
      </c>
      <c r="AL241" s="56">
        <v>3.048</v>
      </c>
      <c r="AM241" s="56">
        <v>3.717</v>
      </c>
      <c r="AN241" s="56">
        <v>4.682</v>
      </c>
      <c r="AO241" s="56">
        <v>6.106</v>
      </c>
      <c r="AP241" s="56">
        <v>8.395</v>
      </c>
      <c r="AQ241" s="49">
        <v>0.0</v>
      </c>
      <c r="AR241" s="56">
        <v>55.7</v>
      </c>
      <c r="AS241" s="56">
        <v>63.79</v>
      </c>
      <c r="AT241" s="56">
        <v>69.56</v>
      </c>
      <c r="AU241" s="56">
        <v>71.48</v>
      </c>
      <c r="AV241" s="56">
        <v>72.96</v>
      </c>
      <c r="AW241" s="56">
        <v>73.69</v>
      </c>
      <c r="AX241" s="56">
        <v>73.45</v>
      </c>
      <c r="AY241" s="56">
        <v>72.54</v>
      </c>
      <c r="AZ241" s="56">
        <v>71.43</v>
      </c>
      <c r="BA241" s="50">
        <v>1476.0</v>
      </c>
      <c r="BB241" s="57">
        <v>840.0</v>
      </c>
      <c r="BC241" s="57">
        <v>550.0</v>
      </c>
      <c r="BD241" s="57">
        <v>410.0</v>
      </c>
      <c r="BE241" s="57" t="s">
        <v>639</v>
      </c>
      <c r="BF241" s="57" t="s">
        <v>922</v>
      </c>
      <c r="BG241" s="57" t="s">
        <v>923</v>
      </c>
      <c r="BH241" s="57" t="s">
        <v>924</v>
      </c>
      <c r="BI241" s="57">
        <v>275.0</v>
      </c>
      <c r="BJ241" s="57">
        <v>340.0</v>
      </c>
      <c r="BK241" s="57">
        <v>380.0</v>
      </c>
      <c r="BL241" s="57">
        <v>425.0</v>
      </c>
      <c r="BM241" s="57">
        <v>500.0</v>
      </c>
      <c r="BN241" s="57">
        <v>180.0</v>
      </c>
      <c r="BO241" s="57">
        <v>56.0</v>
      </c>
      <c r="BP241" s="57" t="s">
        <v>925</v>
      </c>
      <c r="BQ241" s="57" t="s">
        <v>926</v>
      </c>
      <c r="BR241" s="58">
        <v>25.0</v>
      </c>
      <c r="BS241" s="59" t="s">
        <v>927</v>
      </c>
      <c r="BT241" s="59" t="s">
        <v>927</v>
      </c>
      <c r="BU241" s="58">
        <v>75.0</v>
      </c>
      <c r="BV241" s="47">
        <f>IFERROR(__xludf.DUMMYFUNCTION("IFERROR(INDEX(motors!E:E, MATCH(1, (motors!A:A=REGEXEXTRACT(A241,""^\S+""))*(motors!B:B=BU241), 0)), """")"),133.7)</f>
        <v>133.7</v>
      </c>
      <c r="BW241" s="47">
        <f>IFERROR(__xludf.DUMMYFUNCTION("IFERROR(INDEX(motors!F:F, MATCH(1, (motors!A:A=REGEXEXTRACT(A241,""^\S+""))*(motors!B:B=BU241), 0)), """")"),77.0)</f>
        <v>77</v>
      </c>
      <c r="BX241" s="57">
        <v>2.0</v>
      </c>
      <c r="BY241" s="58">
        <v>690.0</v>
      </c>
      <c r="BZ241" s="59" t="s">
        <v>992</v>
      </c>
      <c r="CA241" s="53" t="str">
        <f>IFERROR(__xludf.DUMMYFUNCTION("IFERROR(REGEXEXTRACT(BZ241, ""(?i)[A-Z]+-D-E-([^-]+)-E""), """")"),"HUBE")</f>
        <v>HUBE</v>
      </c>
    </row>
    <row r="242" ht="11.25" customHeight="1">
      <c r="A242" s="46" t="s">
        <v>993</v>
      </c>
      <c r="B242" s="46">
        <v>7.4126717E7</v>
      </c>
      <c r="C242" s="47">
        <v>0.0</v>
      </c>
      <c r="D242" s="47">
        <v>80.0</v>
      </c>
      <c r="E242" s="47">
        <v>100.0</v>
      </c>
      <c r="F242" s="47">
        <v>120.0</v>
      </c>
      <c r="G242" s="47">
        <v>130.0</v>
      </c>
      <c r="H242" s="47">
        <v>140.0</v>
      </c>
      <c r="I242" s="47">
        <v>150.0</v>
      </c>
      <c r="J242" s="47">
        <v>160.0</v>
      </c>
      <c r="K242" s="47">
        <v>170.0</v>
      </c>
      <c r="L242" s="47">
        <v>180.0</v>
      </c>
      <c r="M242" s="48">
        <v>148.075982656</v>
      </c>
      <c r="N242" s="47">
        <v>139.0</v>
      </c>
      <c r="O242" s="47">
        <v>133.7</v>
      </c>
      <c r="P242" s="47">
        <v>126.35253937600001</v>
      </c>
      <c r="Q242" s="47">
        <v>121.95046232600001</v>
      </c>
      <c r="R242" s="47">
        <v>117.004655936</v>
      </c>
      <c r="S242" s="47">
        <v>111.48405040600001</v>
      </c>
      <c r="T242" s="47">
        <v>105.357575936</v>
      </c>
      <c r="U242" s="47">
        <v>98.59416272600001</v>
      </c>
      <c r="V242" s="47">
        <v>91.16274097600001</v>
      </c>
      <c r="W242" s="49">
        <f>W228*2+W229*4</f>
        <v>38.856</v>
      </c>
      <c r="X242" s="47">
        <v>53.14</v>
      </c>
      <c r="Y242" s="47">
        <v>56.806</v>
      </c>
      <c r="Z242" s="47">
        <v>61.122</v>
      </c>
      <c r="AA242" s="47">
        <v>62.81999999999999</v>
      </c>
      <c r="AB242" s="47">
        <v>64.04</v>
      </c>
      <c r="AC242" s="47">
        <v>64.76400000000001</v>
      </c>
      <c r="AD242" s="47">
        <v>65.042</v>
      </c>
      <c r="AE242" s="47">
        <v>64.798</v>
      </c>
      <c r="AF242" s="47">
        <v>64.612</v>
      </c>
      <c r="AG242" s="49">
        <v>1.83</v>
      </c>
      <c r="AH242" s="47">
        <v>2.044</v>
      </c>
      <c r="AI242" s="47">
        <v>2.144</v>
      </c>
      <c r="AJ242" s="47">
        <v>2.324</v>
      </c>
      <c r="AK242" s="47">
        <v>2.595</v>
      </c>
      <c r="AL242" s="47">
        <v>3.048</v>
      </c>
      <c r="AM242" s="47">
        <v>3.717</v>
      </c>
      <c r="AN242" s="47">
        <v>4.682</v>
      </c>
      <c r="AO242" s="47">
        <v>6.106</v>
      </c>
      <c r="AP242" s="47">
        <v>8.395</v>
      </c>
      <c r="AQ242" s="49">
        <v>0.0</v>
      </c>
      <c r="AR242" s="47">
        <v>55.7</v>
      </c>
      <c r="AS242" s="47">
        <v>63.79</v>
      </c>
      <c r="AT242" s="47">
        <v>69.56</v>
      </c>
      <c r="AU242" s="47">
        <v>71.48</v>
      </c>
      <c r="AV242" s="47">
        <v>72.96</v>
      </c>
      <c r="AW242" s="47">
        <v>73.69</v>
      </c>
      <c r="AX242" s="47">
        <v>73.45</v>
      </c>
      <c r="AY242" s="47">
        <v>72.54</v>
      </c>
      <c r="AZ242" s="47">
        <v>71.43</v>
      </c>
      <c r="BA242" s="50">
        <v>1628.0</v>
      </c>
      <c r="BB242" s="51">
        <v>840.0</v>
      </c>
      <c r="BC242" s="51">
        <v>550.0</v>
      </c>
      <c r="BD242" s="51">
        <v>410.0</v>
      </c>
      <c r="BE242" s="51" t="s">
        <v>639</v>
      </c>
      <c r="BF242" s="51" t="s">
        <v>922</v>
      </c>
      <c r="BG242" s="51" t="s">
        <v>923</v>
      </c>
      <c r="BH242" s="51" t="s">
        <v>924</v>
      </c>
      <c r="BI242" s="51">
        <v>275.0</v>
      </c>
      <c r="BJ242" s="51">
        <v>340.0</v>
      </c>
      <c r="BK242" s="51">
        <v>380.0</v>
      </c>
      <c r="BL242" s="51">
        <v>425.0</v>
      </c>
      <c r="BM242" s="51">
        <v>500.0</v>
      </c>
      <c r="BN242" s="51">
        <v>180.0</v>
      </c>
      <c r="BO242" s="51">
        <v>56.0</v>
      </c>
      <c r="BP242" s="51" t="s">
        <v>925</v>
      </c>
      <c r="BQ242" s="51" t="s">
        <v>926</v>
      </c>
      <c r="BR242" s="52">
        <v>25.0</v>
      </c>
      <c r="BS242" s="53" t="s">
        <v>927</v>
      </c>
      <c r="BT242" s="53" t="s">
        <v>927</v>
      </c>
      <c r="BU242" s="52">
        <v>75.0</v>
      </c>
      <c r="BV242" s="47">
        <f>IFERROR(__xludf.DUMMYFUNCTION("IFERROR(INDEX(motors!E:E, MATCH(1, (motors!A:A=REGEXEXTRACT(A242,""^\S+""))*(motors!B:B=BU242), 0)), """")"),133.7)</f>
        <v>133.7</v>
      </c>
      <c r="BW242" s="47">
        <f>IFERROR(__xludf.DUMMYFUNCTION("IFERROR(INDEX(motors!F:F, MATCH(1, (motors!A:A=REGEXEXTRACT(A242,""^\S+""))*(motors!B:B=BU242), 0)), """")"),77.0)</f>
        <v>77</v>
      </c>
      <c r="BX242" s="51">
        <v>2.0</v>
      </c>
      <c r="BY242" s="52">
        <v>700.0</v>
      </c>
      <c r="BZ242" s="53" t="s">
        <v>994</v>
      </c>
      <c r="CA242" s="53" t="str">
        <f>IFERROR(__xludf.DUMMYFUNCTION("IFERROR(REGEXEXTRACT(BZ242, ""(?i)[A-Z]+-D-E-([^-]+)-E""), """")"),"HUBE")</f>
        <v>HUBE</v>
      </c>
    </row>
    <row r="243" ht="11.25" customHeight="1">
      <c r="A243" s="55" t="s">
        <v>995</v>
      </c>
      <c r="B243" s="55">
        <v>7.4126716E7</v>
      </c>
      <c r="C243" s="56">
        <v>0.0</v>
      </c>
      <c r="D243" s="56">
        <v>80.0</v>
      </c>
      <c r="E243" s="56">
        <v>100.0</v>
      </c>
      <c r="F243" s="56">
        <v>120.0</v>
      </c>
      <c r="G243" s="56">
        <v>130.0</v>
      </c>
      <c r="H243" s="56">
        <v>140.0</v>
      </c>
      <c r="I243" s="56">
        <v>150.0</v>
      </c>
      <c r="J243" s="56">
        <v>160.0</v>
      </c>
      <c r="K243" s="56">
        <v>170.0</v>
      </c>
      <c r="L243" s="56">
        <v>180.0</v>
      </c>
      <c r="M243" s="48">
        <v>157.9559803722</v>
      </c>
      <c r="N243" s="56">
        <v>147.0371272442</v>
      </c>
      <c r="O243" s="56">
        <v>142.1753869622</v>
      </c>
      <c r="P243" s="56">
        <v>135.3903494802</v>
      </c>
      <c r="Q243" s="56">
        <v>131.10933078920002</v>
      </c>
      <c r="R243" s="56">
        <v>126.1467715982</v>
      </c>
      <c r="S243" s="56">
        <v>120.43576650720001</v>
      </c>
      <c r="T243" s="56">
        <v>113.90941011620001</v>
      </c>
      <c r="U243" s="56">
        <v>106.5007970252</v>
      </c>
      <c r="V243" s="56">
        <v>98.1430218342</v>
      </c>
      <c r="W243" s="49">
        <f>W228+W229*5</f>
        <v>41.742</v>
      </c>
      <c r="X243" s="56">
        <v>56.864000000000004</v>
      </c>
      <c r="Y243" s="56">
        <v>60.53</v>
      </c>
      <c r="Z243" s="56">
        <v>64.935</v>
      </c>
      <c r="AA243" s="56">
        <v>66.654</v>
      </c>
      <c r="AB243" s="56">
        <v>67.903</v>
      </c>
      <c r="AC243" s="56">
        <v>68.619</v>
      </c>
      <c r="AD243" s="56">
        <v>68.845</v>
      </c>
      <c r="AE243" s="56">
        <v>68.47699999999999</v>
      </c>
      <c r="AF243" s="56">
        <v>68.159</v>
      </c>
      <c r="AG243" s="49">
        <v>1.83</v>
      </c>
      <c r="AH243" s="56">
        <v>2.044</v>
      </c>
      <c r="AI243" s="56">
        <v>2.144</v>
      </c>
      <c r="AJ243" s="56">
        <v>2.324</v>
      </c>
      <c r="AK243" s="56">
        <v>2.595</v>
      </c>
      <c r="AL243" s="56">
        <v>3.048</v>
      </c>
      <c r="AM243" s="56">
        <v>3.717</v>
      </c>
      <c r="AN243" s="56">
        <v>4.682</v>
      </c>
      <c r="AO243" s="56">
        <v>6.106</v>
      </c>
      <c r="AP243" s="56">
        <v>8.395</v>
      </c>
      <c r="AQ243" s="49">
        <v>0.0</v>
      </c>
      <c r="AR243" s="56">
        <v>55.7</v>
      </c>
      <c r="AS243" s="56">
        <v>63.79</v>
      </c>
      <c r="AT243" s="56">
        <v>69.56</v>
      </c>
      <c r="AU243" s="56">
        <v>71.48</v>
      </c>
      <c r="AV243" s="56">
        <v>72.96</v>
      </c>
      <c r="AW243" s="56">
        <v>73.69</v>
      </c>
      <c r="AX243" s="56">
        <v>73.45</v>
      </c>
      <c r="AY243" s="56">
        <v>72.54</v>
      </c>
      <c r="AZ243" s="56">
        <v>71.43</v>
      </c>
      <c r="BA243" s="50">
        <v>1628.0</v>
      </c>
      <c r="BB243" s="57">
        <v>840.0</v>
      </c>
      <c r="BC243" s="57">
        <v>550.0</v>
      </c>
      <c r="BD243" s="57">
        <v>410.0</v>
      </c>
      <c r="BE243" s="57" t="s">
        <v>639</v>
      </c>
      <c r="BF243" s="57" t="s">
        <v>922</v>
      </c>
      <c r="BG243" s="57" t="s">
        <v>923</v>
      </c>
      <c r="BH243" s="57" t="s">
        <v>924</v>
      </c>
      <c r="BI243" s="57">
        <v>275.0</v>
      </c>
      <c r="BJ243" s="57">
        <v>340.0</v>
      </c>
      <c r="BK243" s="57">
        <v>380.0</v>
      </c>
      <c r="BL243" s="57">
        <v>425.0</v>
      </c>
      <c r="BM243" s="57">
        <v>500.0</v>
      </c>
      <c r="BN243" s="57">
        <v>180.0</v>
      </c>
      <c r="BO243" s="57">
        <v>56.0</v>
      </c>
      <c r="BP243" s="57" t="s">
        <v>925</v>
      </c>
      <c r="BQ243" s="57" t="s">
        <v>926</v>
      </c>
      <c r="BR243" s="58">
        <v>25.0</v>
      </c>
      <c r="BS243" s="59" t="s">
        <v>927</v>
      </c>
      <c r="BT243" s="59" t="s">
        <v>927</v>
      </c>
      <c r="BU243" s="58">
        <v>75.0</v>
      </c>
      <c r="BV243" s="47">
        <f>IFERROR(__xludf.DUMMYFUNCTION("IFERROR(INDEX(motors!E:E, MATCH(1, (motors!A:A=REGEXEXTRACT(A243,""^\S+""))*(motors!B:B=BU243), 0)), """")"),133.7)</f>
        <v>133.7</v>
      </c>
      <c r="BW243" s="47">
        <f>IFERROR(__xludf.DUMMYFUNCTION("IFERROR(INDEX(motors!F:F, MATCH(1, (motors!A:A=REGEXEXTRACT(A243,""^\S+""))*(motors!B:B=BU243), 0)), """")"),77.0)</f>
        <v>77</v>
      </c>
      <c r="BX243" s="57">
        <v>2.0</v>
      </c>
      <c r="BY243" s="58">
        <v>700.0</v>
      </c>
      <c r="BZ243" s="59" t="s">
        <v>996</v>
      </c>
      <c r="CA243" s="53" t="str">
        <f>IFERROR(__xludf.DUMMYFUNCTION("IFERROR(REGEXEXTRACT(BZ243, ""(?i)[A-Z]+-D-E-([^-]+)-E""), """")"),"HUBE")</f>
        <v>HUBE</v>
      </c>
    </row>
    <row r="244" ht="11.25" customHeight="1">
      <c r="A244" s="46" t="s">
        <v>997</v>
      </c>
      <c r="B244" s="46">
        <v>7.4126718E7</v>
      </c>
      <c r="C244" s="47">
        <v>0.0</v>
      </c>
      <c r="D244" s="47">
        <v>80.0</v>
      </c>
      <c r="E244" s="47">
        <v>100.0</v>
      </c>
      <c r="F244" s="47">
        <v>120.0</v>
      </c>
      <c r="G244" s="47">
        <v>130.0</v>
      </c>
      <c r="H244" s="47">
        <v>140.0</v>
      </c>
      <c r="I244" s="47">
        <v>150.0</v>
      </c>
      <c r="J244" s="47">
        <v>160.0</v>
      </c>
      <c r="K244" s="47">
        <v>170.0</v>
      </c>
      <c r="L244" s="47">
        <v>180.0</v>
      </c>
      <c r="M244" s="48">
        <v>172.1907577407</v>
      </c>
      <c r="N244" s="47">
        <v>159.0237435727</v>
      </c>
      <c r="O244" s="47">
        <v>151.01312363070002</v>
      </c>
      <c r="P244" s="47">
        <v>140.35687072870002</v>
      </c>
      <c r="Q244" s="47">
        <v>133.7775559177</v>
      </c>
      <c r="R244" s="47">
        <v>127.62594166670002</v>
      </c>
      <c r="S244" s="47">
        <v>120.8483975757</v>
      </c>
      <c r="T244" s="47">
        <v>112.5</v>
      </c>
      <c r="U244" s="47">
        <v>104.20099827370001</v>
      </c>
      <c r="V244" s="47">
        <v>94.2238822627</v>
      </c>
      <c r="W244" s="49">
        <f>W229*6</f>
        <v>44.628</v>
      </c>
      <c r="X244" s="47">
        <v>60.58800000000001</v>
      </c>
      <c r="Y244" s="47">
        <v>64.25399999999999</v>
      </c>
      <c r="Z244" s="47">
        <v>68.748</v>
      </c>
      <c r="AA244" s="47">
        <v>70.488</v>
      </c>
      <c r="AB244" s="47">
        <v>71.766</v>
      </c>
      <c r="AC244" s="47">
        <v>72.474</v>
      </c>
      <c r="AD244" s="47">
        <v>72.648</v>
      </c>
      <c r="AE244" s="47">
        <v>72.156</v>
      </c>
      <c r="AF244" s="47">
        <v>71.706</v>
      </c>
      <c r="AG244" s="49">
        <v>1.83</v>
      </c>
      <c r="AH244" s="47">
        <v>2.044</v>
      </c>
      <c r="AI244" s="47">
        <v>2.144</v>
      </c>
      <c r="AJ244" s="47">
        <v>2.324</v>
      </c>
      <c r="AK244" s="47">
        <v>2.595</v>
      </c>
      <c r="AL244" s="47">
        <v>3.048</v>
      </c>
      <c r="AM244" s="47">
        <v>3.717</v>
      </c>
      <c r="AN244" s="47">
        <v>4.682</v>
      </c>
      <c r="AO244" s="47">
        <v>6.106</v>
      </c>
      <c r="AP244" s="47">
        <v>8.395</v>
      </c>
      <c r="AQ244" s="49">
        <v>0.0</v>
      </c>
      <c r="AR244" s="47">
        <v>55.7</v>
      </c>
      <c r="AS244" s="47">
        <v>63.79</v>
      </c>
      <c r="AT244" s="47">
        <v>69.56</v>
      </c>
      <c r="AU244" s="47">
        <v>71.48</v>
      </c>
      <c r="AV244" s="47">
        <v>72.96</v>
      </c>
      <c r="AW244" s="47">
        <v>73.69</v>
      </c>
      <c r="AX244" s="47">
        <v>73.45</v>
      </c>
      <c r="AY244" s="47">
        <v>72.54</v>
      </c>
      <c r="AZ244" s="47">
        <v>71.43</v>
      </c>
      <c r="BA244" s="50">
        <v>1628.0</v>
      </c>
      <c r="BB244" s="51">
        <v>840.0</v>
      </c>
      <c r="BC244" s="51">
        <v>550.0</v>
      </c>
      <c r="BD244" s="51">
        <v>410.0</v>
      </c>
      <c r="BE244" s="51" t="s">
        <v>639</v>
      </c>
      <c r="BF244" s="51" t="s">
        <v>922</v>
      </c>
      <c r="BG244" s="51" t="s">
        <v>923</v>
      </c>
      <c r="BH244" s="51" t="s">
        <v>924</v>
      </c>
      <c r="BI244" s="51">
        <v>275.0</v>
      </c>
      <c r="BJ244" s="51">
        <v>340.0</v>
      </c>
      <c r="BK244" s="51">
        <v>380.0</v>
      </c>
      <c r="BL244" s="51">
        <v>425.0</v>
      </c>
      <c r="BM244" s="51">
        <v>500.0</v>
      </c>
      <c r="BN244" s="51">
        <v>180.0</v>
      </c>
      <c r="BO244" s="51">
        <v>56.0</v>
      </c>
      <c r="BP244" s="51" t="s">
        <v>925</v>
      </c>
      <c r="BQ244" s="51" t="s">
        <v>926</v>
      </c>
      <c r="BR244" s="52">
        <v>25.0</v>
      </c>
      <c r="BS244" s="53" t="s">
        <v>927</v>
      </c>
      <c r="BT244" s="53" t="s">
        <v>927</v>
      </c>
      <c r="BU244" s="52">
        <v>75.0</v>
      </c>
      <c r="BV244" s="47">
        <f>IFERROR(__xludf.DUMMYFUNCTION("IFERROR(INDEX(motors!E:E, MATCH(1, (motors!A:A=REGEXEXTRACT(A244,""^\S+""))*(motors!B:B=BU244), 0)), """")"),133.7)</f>
        <v>133.7</v>
      </c>
      <c r="BW244" s="47">
        <f>IFERROR(__xludf.DUMMYFUNCTION("IFERROR(INDEX(motors!F:F, MATCH(1, (motors!A:A=REGEXEXTRACT(A244,""^\S+""))*(motors!B:B=BU244), 0)), """")"),77.0)</f>
        <v>77</v>
      </c>
      <c r="BX244" s="51">
        <v>2.0</v>
      </c>
      <c r="BY244" s="52">
        <v>700.0</v>
      </c>
      <c r="BZ244" s="53" t="s">
        <v>998</v>
      </c>
      <c r="CA244" s="53" t="str">
        <f>IFERROR(__xludf.DUMMYFUNCTION("IFERROR(REGEXEXTRACT(BZ244, ""(?i)[A-Z]+-D-E-([^-]+)-E""), """")"),"HUBE")</f>
        <v>HUBE</v>
      </c>
    </row>
    <row r="245" ht="11.25" customHeight="1">
      <c r="A245" s="55"/>
      <c r="B245" s="55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48"/>
      <c r="N245" s="56"/>
      <c r="O245" s="56"/>
      <c r="P245" s="56"/>
      <c r="Q245" s="56"/>
      <c r="R245" s="56"/>
      <c r="S245" s="56"/>
      <c r="T245" s="56"/>
      <c r="U245" s="56"/>
      <c r="V245" s="56"/>
      <c r="W245" s="49"/>
      <c r="X245" s="56"/>
      <c r="Y245" s="56"/>
      <c r="Z245" s="56"/>
      <c r="AA245" s="56"/>
      <c r="AB245" s="56"/>
      <c r="AC245" s="56"/>
      <c r="AD245" s="56"/>
      <c r="AE245" s="56"/>
      <c r="AF245" s="56"/>
      <c r="AG245" s="49"/>
      <c r="AH245" s="56"/>
      <c r="AI245" s="56"/>
      <c r="AJ245" s="56"/>
      <c r="AK245" s="56"/>
      <c r="AL245" s="56"/>
      <c r="AM245" s="56"/>
      <c r="AN245" s="56"/>
      <c r="AO245" s="56"/>
      <c r="AP245" s="56"/>
      <c r="AQ245" s="49"/>
      <c r="AR245" s="56"/>
      <c r="AS245" s="56"/>
      <c r="AT245" s="56"/>
      <c r="AU245" s="56"/>
      <c r="AV245" s="56"/>
      <c r="AW245" s="56"/>
      <c r="AX245" s="56"/>
      <c r="AY245" s="56"/>
      <c r="AZ245" s="56"/>
      <c r="BA245" s="50"/>
      <c r="BB245" s="57"/>
      <c r="BC245" s="57"/>
      <c r="BD245" s="57"/>
      <c r="BE245" s="57"/>
      <c r="BF245" s="57"/>
      <c r="BG245" s="57"/>
      <c r="BH245" s="57"/>
      <c r="BI245" s="57"/>
      <c r="BJ245" s="57"/>
      <c r="BK245" s="57"/>
      <c r="BL245" s="57"/>
      <c r="BM245" s="57"/>
      <c r="BN245" s="57"/>
      <c r="BO245" s="57"/>
      <c r="BP245" s="57"/>
      <c r="BQ245" s="57"/>
      <c r="BR245" s="59"/>
      <c r="BS245" s="59"/>
      <c r="BT245" s="59"/>
      <c r="BU245" s="59"/>
      <c r="BV245" s="47" t="str">
        <f>IFERROR(__xludf.DUMMYFUNCTION("IFERROR(INDEX(motors!E:E, MATCH(1, (motors!A:A=REGEXEXTRACT(A245,""^\S+""))*(motors!B:B=BU245), 0)), """")"),"")</f>
        <v/>
      </c>
      <c r="BW245" s="47" t="str">
        <f>IFERROR(__xludf.DUMMYFUNCTION("IFERROR(INDEX(motors!F:F, MATCH(1, (motors!A:A=REGEXEXTRACT(A245,""^\S+""))*(motors!B:B=BU245), 0)), """")"),"")</f>
        <v/>
      </c>
      <c r="BX245" s="57"/>
      <c r="BY245" s="59"/>
      <c r="BZ245" s="59"/>
      <c r="CA245" s="53" t="str">
        <f>IFERROR(__xludf.DUMMYFUNCTION("IFERROR(REGEXEXTRACT(BZ245, ""(?i)[A-Z]+-D-E-([^-]+)-E""), """")"),"")</f>
        <v/>
      </c>
    </row>
    <row r="246" ht="11.25" customHeight="1">
      <c r="A246" s="45" t="s">
        <v>999</v>
      </c>
      <c r="B246" s="46">
        <v>7.4127702E7</v>
      </c>
      <c r="C246" s="47">
        <v>0.0</v>
      </c>
      <c r="D246" s="47">
        <v>100.0</v>
      </c>
      <c r="E246" s="47">
        <v>120.0</v>
      </c>
      <c r="F246" s="47">
        <v>140.0</v>
      </c>
      <c r="G246" s="47">
        <v>160.0</v>
      </c>
      <c r="H246" s="47">
        <v>180.0</v>
      </c>
      <c r="I246" s="47">
        <v>200.0</v>
      </c>
      <c r="J246" s="47">
        <v>220.0</v>
      </c>
      <c r="K246" s="47">
        <v>240.0</v>
      </c>
      <c r="L246" s="47">
        <v>240.0</v>
      </c>
      <c r="M246" s="48">
        <v>27.5586011904</v>
      </c>
      <c r="N246" s="47">
        <v>25.559942290400002</v>
      </c>
      <c r="O246" s="47">
        <v>24.881055710400002</v>
      </c>
      <c r="P246" s="47">
        <v>24.0206599304</v>
      </c>
      <c r="Q246" s="47">
        <v>22.935468550400003</v>
      </c>
      <c r="R246" s="47">
        <v>21.5795071704</v>
      </c>
      <c r="S246" s="47">
        <v>20.0</v>
      </c>
      <c r="T246" s="47">
        <v>17.857936810400002</v>
      </c>
      <c r="U246" s="47">
        <v>15.3869390304</v>
      </c>
      <c r="V246" s="47">
        <v>15.3869390304</v>
      </c>
      <c r="W246" s="49">
        <v>11.2578837046</v>
      </c>
      <c r="X246" s="47">
        <v>13.2096481546</v>
      </c>
      <c r="Y246" s="47">
        <v>13.741792324599999</v>
      </c>
      <c r="Z246" s="47">
        <v>14.366694654599998</v>
      </c>
      <c r="AA246" s="47">
        <v>15.057004744599999</v>
      </c>
      <c r="AB246" s="47">
        <v>15.761948194599999</v>
      </c>
      <c r="AC246" s="47">
        <v>16.407326604599998</v>
      </c>
      <c r="AD246" s="47">
        <v>16.895517574599996</v>
      </c>
      <c r="AE246" s="47">
        <v>17.1054747046</v>
      </c>
      <c r="AF246" s="47">
        <v>17.1054747046</v>
      </c>
      <c r="AG246" s="49">
        <v>2.26</v>
      </c>
      <c r="AH246" s="47">
        <v>2.42</v>
      </c>
      <c r="AI246" s="47">
        <v>2.52</v>
      </c>
      <c r="AJ246" s="47">
        <v>2.657</v>
      </c>
      <c r="AK246" s="47">
        <v>2.832</v>
      </c>
      <c r="AL246" s="47">
        <v>3.126</v>
      </c>
      <c r="AM246" s="47">
        <v>3.645</v>
      </c>
      <c r="AN246" s="47">
        <v>4.57</v>
      </c>
      <c r="AO246" s="47">
        <v>6.492</v>
      </c>
      <c r="AP246" s="47">
        <v>6.492</v>
      </c>
      <c r="AQ246" s="49">
        <v>0.0</v>
      </c>
      <c r="AR246" s="47">
        <v>52.4</v>
      </c>
      <c r="AS246" s="47">
        <v>60.06</v>
      </c>
      <c r="AT246" s="47">
        <v>66.63</v>
      </c>
      <c r="AU246" s="47">
        <v>71.33</v>
      </c>
      <c r="AV246" s="47">
        <v>74.45</v>
      </c>
      <c r="AW246" s="47">
        <v>76.66</v>
      </c>
      <c r="AX246" s="47">
        <v>77.9</v>
      </c>
      <c r="AY246" s="47">
        <v>78.6</v>
      </c>
      <c r="AZ246" s="47">
        <v>78.6</v>
      </c>
      <c r="BA246" s="50">
        <v>915.0</v>
      </c>
      <c r="BB246" s="51">
        <v>542.0</v>
      </c>
      <c r="BC246" s="51">
        <v>313.0</v>
      </c>
      <c r="BD246" s="51">
        <v>257.0</v>
      </c>
      <c r="BE246" s="51" t="s">
        <v>639</v>
      </c>
      <c r="BF246" s="51" t="s">
        <v>922</v>
      </c>
      <c r="BG246" s="51" t="s">
        <v>923</v>
      </c>
      <c r="BH246" s="51" t="s">
        <v>924</v>
      </c>
      <c r="BI246" s="51">
        <v>385.0</v>
      </c>
      <c r="BJ246" s="51">
        <v>460.0</v>
      </c>
      <c r="BK246" s="51">
        <v>490.0</v>
      </c>
      <c r="BL246" s="51">
        <v>500.0</v>
      </c>
      <c r="BM246" s="51">
        <v>610.0</v>
      </c>
      <c r="BN246" s="51">
        <v>200.0</v>
      </c>
      <c r="BO246" s="51">
        <v>60.0</v>
      </c>
      <c r="BP246" s="51" t="s">
        <v>925</v>
      </c>
      <c r="BQ246" s="51" t="s">
        <v>926</v>
      </c>
      <c r="BR246" s="52">
        <v>25.0</v>
      </c>
      <c r="BS246" s="53" t="s">
        <v>927</v>
      </c>
      <c r="BT246" s="53" t="s">
        <v>927</v>
      </c>
      <c r="BU246" s="52">
        <v>18.5</v>
      </c>
      <c r="BV246" s="47">
        <f>IFERROR(__xludf.DUMMYFUNCTION("IFERROR(INDEX(motors!E:E, MATCH(1, (motors!A:A=REGEXEXTRACT(A246,""^\S+""))*(motors!B:B=BU246), 0)), """")"),34.2)</f>
        <v>34.2</v>
      </c>
      <c r="BW246" s="47">
        <f>IFERROR(__xludf.DUMMYFUNCTION("IFERROR(INDEX(motors!F:F, MATCH(1, (motors!A:A=REGEXEXTRACT(A246,""^\S+""))*(motors!B:B=BU246), 0)), """")"),19.7)</f>
        <v>19.7</v>
      </c>
      <c r="BX246" s="51">
        <v>2.0</v>
      </c>
      <c r="BY246" s="52">
        <v>311.0</v>
      </c>
      <c r="BZ246" s="53" t="s">
        <v>1000</v>
      </c>
      <c r="CA246" s="53" t="str">
        <f>IFERROR(__xludf.DUMMYFUNCTION("IFERROR(REGEXEXTRACT(BZ246, ""(?i)[A-Z]+-D-E-([^-]+)-E""), """")"),"HUBE")</f>
        <v>HUBE</v>
      </c>
    </row>
    <row r="247" ht="11.25" customHeight="1">
      <c r="A247" s="54" t="s">
        <v>1001</v>
      </c>
      <c r="B247" s="55">
        <v>7.4127701E7</v>
      </c>
      <c r="C247" s="56">
        <v>0.0</v>
      </c>
      <c r="D247" s="56">
        <v>100.0</v>
      </c>
      <c r="E247" s="56">
        <v>120.0</v>
      </c>
      <c r="F247" s="56">
        <v>140.0</v>
      </c>
      <c r="G247" s="56">
        <v>160.0</v>
      </c>
      <c r="H247" s="56">
        <v>180.0</v>
      </c>
      <c r="I247" s="56">
        <v>200.0</v>
      </c>
      <c r="J247" s="56">
        <v>220.0</v>
      </c>
      <c r="K247" s="56">
        <v>240.0</v>
      </c>
      <c r="L247" s="56">
        <v>240.0</v>
      </c>
      <c r="M247" s="48">
        <v>30.8001556973</v>
      </c>
      <c r="N247" s="56">
        <v>29.0280051873</v>
      </c>
      <c r="O247" s="56">
        <v>28.3771707653</v>
      </c>
      <c r="P247" s="56">
        <v>27.5703925033</v>
      </c>
      <c r="Q247" s="56">
        <v>26.5739648013</v>
      </c>
      <c r="R247" s="56">
        <v>25.3495740593</v>
      </c>
      <c r="S247" s="56">
        <v>23.8542986773</v>
      </c>
      <c r="T247" s="56">
        <v>22.0406090553</v>
      </c>
      <c r="U247" s="56">
        <v>19.9</v>
      </c>
      <c r="V247" s="56">
        <v>19.9</v>
      </c>
      <c r="W247" s="49">
        <v>12.8190667951</v>
      </c>
      <c r="X247" s="56">
        <v>15.2992044251</v>
      </c>
      <c r="Y247" s="56">
        <v>15.9311050711</v>
      </c>
      <c r="Z247" s="56">
        <v>16.6487959571</v>
      </c>
      <c r="AA247" s="56">
        <v>17.4320018831</v>
      </c>
      <c r="AB247" s="56">
        <v>18.2416316491</v>
      </c>
      <c r="AC247" s="56">
        <v>19.019778055099998</v>
      </c>
      <c r="AD247" s="56">
        <v>19.6897179011</v>
      </c>
      <c r="AE247" s="56">
        <v>20.1559119871</v>
      </c>
      <c r="AF247" s="56">
        <v>20.1559119871</v>
      </c>
      <c r="AG247" s="49">
        <v>2.26</v>
      </c>
      <c r="AH247" s="56">
        <v>2.42</v>
      </c>
      <c r="AI247" s="56">
        <v>2.52</v>
      </c>
      <c r="AJ247" s="56">
        <v>2.657</v>
      </c>
      <c r="AK247" s="56">
        <v>2.832</v>
      </c>
      <c r="AL247" s="56">
        <v>3.126</v>
      </c>
      <c r="AM247" s="56">
        <v>3.645</v>
      </c>
      <c r="AN247" s="56">
        <v>4.57</v>
      </c>
      <c r="AO247" s="56">
        <v>6.492</v>
      </c>
      <c r="AP247" s="56">
        <v>6.492</v>
      </c>
      <c r="AQ247" s="49">
        <v>0.0</v>
      </c>
      <c r="AR247" s="56">
        <v>52.4</v>
      </c>
      <c r="AS247" s="56">
        <v>60.06</v>
      </c>
      <c r="AT247" s="56">
        <v>66.63</v>
      </c>
      <c r="AU247" s="56">
        <v>71.33</v>
      </c>
      <c r="AV247" s="56">
        <v>74.45</v>
      </c>
      <c r="AW247" s="56">
        <v>76.66</v>
      </c>
      <c r="AX247" s="56">
        <v>77.9</v>
      </c>
      <c r="AY247" s="56">
        <v>78.6</v>
      </c>
      <c r="AZ247" s="56">
        <v>78.6</v>
      </c>
      <c r="BA247" s="50">
        <v>915.0</v>
      </c>
      <c r="BB247" s="57">
        <v>580.0</v>
      </c>
      <c r="BC247" s="57">
        <v>356.0</v>
      </c>
      <c r="BD247" s="57">
        <v>270.0</v>
      </c>
      <c r="BE247" s="57" t="s">
        <v>639</v>
      </c>
      <c r="BF247" s="57" t="s">
        <v>922</v>
      </c>
      <c r="BG247" s="57" t="s">
        <v>923</v>
      </c>
      <c r="BH247" s="57" t="s">
        <v>924</v>
      </c>
      <c r="BI247" s="57">
        <v>385.0</v>
      </c>
      <c r="BJ247" s="57">
        <v>460.0</v>
      </c>
      <c r="BK247" s="57">
        <v>490.0</v>
      </c>
      <c r="BL247" s="57">
        <v>500.0</v>
      </c>
      <c r="BM247" s="57">
        <v>610.0</v>
      </c>
      <c r="BN247" s="57">
        <v>200.0</v>
      </c>
      <c r="BO247" s="57">
        <v>60.0</v>
      </c>
      <c r="BP247" s="57" t="s">
        <v>925</v>
      </c>
      <c r="BQ247" s="57" t="s">
        <v>926</v>
      </c>
      <c r="BR247" s="58">
        <v>25.0</v>
      </c>
      <c r="BS247" s="59" t="s">
        <v>927</v>
      </c>
      <c r="BT247" s="59" t="s">
        <v>927</v>
      </c>
      <c r="BU247" s="58">
        <v>22.0</v>
      </c>
      <c r="BV247" s="47">
        <f>IFERROR(__xludf.DUMMYFUNCTION("IFERROR(INDEX(motors!E:E, MATCH(1, (motors!A:A=REGEXEXTRACT(A247,""^\S+""))*(motors!B:B=BU247), 0)), """")"),40.5)</f>
        <v>40.5</v>
      </c>
      <c r="BW247" s="47">
        <f>IFERROR(__xludf.DUMMYFUNCTION("IFERROR(INDEX(motors!F:F, MATCH(1, (motors!A:A=REGEXEXTRACT(A247,""^\S+""))*(motors!B:B=BU247), 0)), """")"),23.3)</f>
        <v>23.3</v>
      </c>
      <c r="BX247" s="57">
        <v>2.0</v>
      </c>
      <c r="BY247" s="58">
        <v>347.0</v>
      </c>
      <c r="BZ247" s="59" t="s">
        <v>1002</v>
      </c>
      <c r="CA247" s="53" t="str">
        <f>IFERROR(__xludf.DUMMYFUNCTION("IFERROR(REGEXEXTRACT(BZ247, ""(?i)[A-Z]+-D-E-([^-]+)-E""), """")"),"HUBE")</f>
        <v>HUBE</v>
      </c>
    </row>
    <row r="248" ht="11.25" customHeight="1">
      <c r="A248" s="46" t="s">
        <v>1003</v>
      </c>
      <c r="B248" s="46">
        <v>7.4127703E7</v>
      </c>
      <c r="C248" s="47">
        <v>0.0</v>
      </c>
      <c r="D248" s="47">
        <v>100.0</v>
      </c>
      <c r="E248" s="47">
        <v>120.0</v>
      </c>
      <c r="F248" s="47">
        <v>140.0</v>
      </c>
      <c r="G248" s="47">
        <v>160.0</v>
      </c>
      <c r="H248" s="47">
        <v>180.0</v>
      </c>
      <c r="I248" s="47">
        <v>200.0</v>
      </c>
      <c r="J248" s="47">
        <v>220.0</v>
      </c>
      <c r="K248" s="47">
        <v>240.0</v>
      </c>
      <c r="L248" s="47">
        <v>240.0</v>
      </c>
      <c r="M248" s="48">
        <v>40.6768185413</v>
      </c>
      <c r="N248" s="47">
        <v>38.581072731300004</v>
      </c>
      <c r="O248" s="47">
        <v>38.0001971693</v>
      </c>
      <c r="P248" s="47">
        <v>37.307542407300005</v>
      </c>
      <c r="Q248" s="47">
        <v>36.4560348453</v>
      </c>
      <c r="R248" s="47">
        <v>35.3874648833</v>
      </c>
      <c r="S248" s="47">
        <v>34.032486921300006</v>
      </c>
      <c r="T248" s="47">
        <v>32.310619359300006</v>
      </c>
      <c r="U248" s="47">
        <v>30.130244597300003</v>
      </c>
      <c r="V248" s="47">
        <v>30.130244597300003</v>
      </c>
      <c r="W248" s="49">
        <v>17.6811037426</v>
      </c>
      <c r="X248" s="47">
        <v>21.2896223026</v>
      </c>
      <c r="Y248" s="47">
        <v>22.334011294600003</v>
      </c>
      <c r="Z248" s="47">
        <v>23.4102500466</v>
      </c>
      <c r="AA248" s="47">
        <v>24.469762558600003</v>
      </c>
      <c r="AB248" s="47">
        <v>25.455908830600002</v>
      </c>
      <c r="AC248" s="47">
        <v>26.3039848626</v>
      </c>
      <c r="AD248" s="47">
        <v>26.941222654600004</v>
      </c>
      <c r="AE248" s="47">
        <v>27.286790206600003</v>
      </c>
      <c r="AF248" s="47">
        <v>27.286790206600003</v>
      </c>
      <c r="AG248" s="49">
        <v>2.26</v>
      </c>
      <c r="AH248" s="47">
        <v>2.42</v>
      </c>
      <c r="AI248" s="47">
        <v>2.52</v>
      </c>
      <c r="AJ248" s="47">
        <v>2.657</v>
      </c>
      <c r="AK248" s="47">
        <v>2.832</v>
      </c>
      <c r="AL248" s="47">
        <v>3.126</v>
      </c>
      <c r="AM248" s="47">
        <v>3.645</v>
      </c>
      <c r="AN248" s="47">
        <v>4.57</v>
      </c>
      <c r="AO248" s="47">
        <v>6.492</v>
      </c>
      <c r="AP248" s="47">
        <v>6.492</v>
      </c>
      <c r="AQ248" s="49">
        <v>0.0</v>
      </c>
      <c r="AR248" s="47">
        <v>52.4</v>
      </c>
      <c r="AS248" s="47">
        <v>60.06</v>
      </c>
      <c r="AT248" s="47">
        <v>66.63</v>
      </c>
      <c r="AU248" s="47">
        <v>71.33</v>
      </c>
      <c r="AV248" s="47">
        <v>74.45</v>
      </c>
      <c r="AW248" s="47">
        <v>76.66</v>
      </c>
      <c r="AX248" s="47">
        <v>77.9</v>
      </c>
      <c r="AY248" s="47">
        <v>78.6</v>
      </c>
      <c r="AZ248" s="47">
        <v>78.6</v>
      </c>
      <c r="BA248" s="50">
        <v>915.0</v>
      </c>
      <c r="BB248" s="51">
        <v>653.0</v>
      </c>
      <c r="BC248" s="51">
        <v>395.0</v>
      </c>
      <c r="BD248" s="51">
        <v>304.0</v>
      </c>
      <c r="BE248" s="51" t="s">
        <v>639</v>
      </c>
      <c r="BF248" s="51" t="s">
        <v>922</v>
      </c>
      <c r="BG248" s="51" t="s">
        <v>923</v>
      </c>
      <c r="BH248" s="51" t="s">
        <v>924</v>
      </c>
      <c r="BI248" s="51">
        <v>385.0</v>
      </c>
      <c r="BJ248" s="51">
        <v>460.0</v>
      </c>
      <c r="BK248" s="51">
        <v>490.0</v>
      </c>
      <c r="BL248" s="51">
        <v>500.0</v>
      </c>
      <c r="BM248" s="51">
        <v>610.0</v>
      </c>
      <c r="BN248" s="51">
        <v>200.0</v>
      </c>
      <c r="BO248" s="51">
        <v>60.0</v>
      </c>
      <c r="BP248" s="51" t="s">
        <v>925</v>
      </c>
      <c r="BQ248" s="51" t="s">
        <v>926</v>
      </c>
      <c r="BR248" s="52">
        <v>25.0</v>
      </c>
      <c r="BS248" s="53" t="s">
        <v>927</v>
      </c>
      <c r="BT248" s="53" t="s">
        <v>927</v>
      </c>
      <c r="BU248" s="52">
        <v>30.0</v>
      </c>
      <c r="BV248" s="47">
        <f>IFERROR(__xludf.DUMMYFUNCTION("IFERROR(INDEX(motors!E:E, MATCH(1, (motors!A:A=REGEXEXTRACT(A248,""^\S+""))*(motors!B:B=BU248), 0)), """")"),54.9)</f>
        <v>54.9</v>
      </c>
      <c r="BW248" s="47">
        <f>IFERROR(__xludf.DUMMYFUNCTION("IFERROR(INDEX(motors!F:F, MATCH(1, (motors!A:A=REGEXEXTRACT(A248,""^\S+""))*(motors!B:B=BU248), 0)), """")"),31.6)</f>
        <v>31.6</v>
      </c>
      <c r="BX248" s="51">
        <v>2.0</v>
      </c>
      <c r="BY248" s="52">
        <v>403.0</v>
      </c>
      <c r="BZ248" s="53" t="s">
        <v>1004</v>
      </c>
      <c r="CA248" s="53" t="str">
        <f>IFERROR(__xludf.DUMMYFUNCTION("IFERROR(REGEXEXTRACT(BZ248, ""(?i)[A-Z]+-D-E-([^-]+)-E""), """")"),"HUBE")</f>
        <v>HUBE</v>
      </c>
    </row>
    <row r="249" ht="11.25" customHeight="1">
      <c r="A249" s="54" t="s">
        <v>1005</v>
      </c>
      <c r="B249" s="55">
        <v>7.4127704E7</v>
      </c>
      <c r="C249" s="56">
        <v>0.0</v>
      </c>
      <c r="D249" s="56">
        <v>100.0</v>
      </c>
      <c r="E249" s="56">
        <v>120.0</v>
      </c>
      <c r="F249" s="56">
        <v>140.0</v>
      </c>
      <c r="G249" s="56">
        <v>160.0</v>
      </c>
      <c r="H249" s="56">
        <v>180.0</v>
      </c>
      <c r="I249" s="56">
        <v>200.0</v>
      </c>
      <c r="J249" s="56">
        <v>220.0</v>
      </c>
      <c r="K249" s="56">
        <v>240.0</v>
      </c>
      <c r="L249" s="56">
        <v>240.0</v>
      </c>
      <c r="M249" s="48">
        <v>56.3611287771</v>
      </c>
      <c r="N249" s="56">
        <v>52.7</v>
      </c>
      <c r="O249" s="56">
        <v>51.3</v>
      </c>
      <c r="P249" s="56">
        <v>49.4</v>
      </c>
      <c r="Q249" s="56">
        <v>47.1</v>
      </c>
      <c r="R249" s="56">
        <v>44.2</v>
      </c>
      <c r="S249" s="56">
        <v>40.907176157100004</v>
      </c>
      <c r="T249" s="56">
        <v>36.9333944951</v>
      </c>
      <c r="U249" s="56">
        <v>31.8768464331</v>
      </c>
      <c r="V249" s="56">
        <v>31.8768464331</v>
      </c>
      <c r="W249" s="49">
        <f t="shared" ref="W249:W250" si="4">W246*2</f>
        <v>22.51576741</v>
      </c>
      <c r="X249" s="56">
        <v>26.4192963092</v>
      </c>
      <c r="Y249" s="56">
        <v>27.483584649199997</v>
      </c>
      <c r="Z249" s="56">
        <v>28.733389309199996</v>
      </c>
      <c r="AA249" s="56">
        <v>30.114009489199997</v>
      </c>
      <c r="AB249" s="56">
        <v>31.523896389199997</v>
      </c>
      <c r="AC249" s="56">
        <v>32.814653209199996</v>
      </c>
      <c r="AD249" s="56">
        <v>33.79103514919999</v>
      </c>
      <c r="AE249" s="56">
        <v>34.2109494092</v>
      </c>
      <c r="AF249" s="56">
        <v>34.2109494092</v>
      </c>
      <c r="AG249" s="49">
        <v>2.26</v>
      </c>
      <c r="AH249" s="56">
        <v>2.42</v>
      </c>
      <c r="AI249" s="56">
        <v>2.52</v>
      </c>
      <c r="AJ249" s="56">
        <v>2.657</v>
      </c>
      <c r="AK249" s="56">
        <v>2.832</v>
      </c>
      <c r="AL249" s="56">
        <v>3.126</v>
      </c>
      <c r="AM249" s="56">
        <v>3.645</v>
      </c>
      <c r="AN249" s="56">
        <v>4.57</v>
      </c>
      <c r="AO249" s="56">
        <v>6.492</v>
      </c>
      <c r="AP249" s="56">
        <v>6.492</v>
      </c>
      <c r="AQ249" s="49">
        <v>0.0</v>
      </c>
      <c r="AR249" s="56">
        <v>52.4</v>
      </c>
      <c r="AS249" s="56">
        <v>60.06</v>
      </c>
      <c r="AT249" s="56">
        <v>66.63</v>
      </c>
      <c r="AU249" s="56">
        <v>71.33</v>
      </c>
      <c r="AV249" s="56">
        <v>74.45</v>
      </c>
      <c r="AW249" s="56">
        <v>76.66</v>
      </c>
      <c r="AX249" s="56">
        <v>77.9</v>
      </c>
      <c r="AY249" s="56">
        <v>78.6</v>
      </c>
      <c r="AZ249" s="56">
        <v>78.6</v>
      </c>
      <c r="BA249" s="50">
        <v>1109.0</v>
      </c>
      <c r="BB249" s="57">
        <v>653.0</v>
      </c>
      <c r="BC249" s="57">
        <v>395.0</v>
      </c>
      <c r="BD249" s="57">
        <v>304.0</v>
      </c>
      <c r="BE249" s="57" t="s">
        <v>639</v>
      </c>
      <c r="BF249" s="57" t="s">
        <v>922</v>
      </c>
      <c r="BG249" s="57" t="s">
        <v>923</v>
      </c>
      <c r="BH249" s="57" t="s">
        <v>924</v>
      </c>
      <c r="BI249" s="57">
        <v>385.0</v>
      </c>
      <c r="BJ249" s="57">
        <v>460.0</v>
      </c>
      <c r="BK249" s="57">
        <v>490.0</v>
      </c>
      <c r="BL249" s="57">
        <v>500.0</v>
      </c>
      <c r="BM249" s="57">
        <v>610.0</v>
      </c>
      <c r="BN249" s="57">
        <v>200.0</v>
      </c>
      <c r="BO249" s="57">
        <v>60.0</v>
      </c>
      <c r="BP249" s="57" t="s">
        <v>925</v>
      </c>
      <c r="BQ249" s="57" t="s">
        <v>926</v>
      </c>
      <c r="BR249" s="58">
        <v>25.0</v>
      </c>
      <c r="BS249" s="59" t="s">
        <v>927</v>
      </c>
      <c r="BT249" s="59" t="s">
        <v>927</v>
      </c>
      <c r="BU249" s="58">
        <v>37.0</v>
      </c>
      <c r="BV249" s="47">
        <f>IFERROR(__xludf.DUMMYFUNCTION("IFERROR(INDEX(motors!E:E, MATCH(1, (motors!A:A=REGEXEXTRACT(A249,""^\S+""))*(motors!B:B=BU249), 0)), """")"),67.4)</f>
        <v>67.4</v>
      </c>
      <c r="BW249" s="47">
        <f>IFERROR(__xludf.DUMMYFUNCTION("IFERROR(INDEX(motors!F:F, MATCH(1, (motors!A:A=REGEXEXTRACT(A249,""^\S+""))*(motors!B:B=BU249), 0)), """")"),38.8)</f>
        <v>38.8</v>
      </c>
      <c r="BX249" s="57">
        <v>2.0</v>
      </c>
      <c r="BY249" s="58">
        <v>447.0</v>
      </c>
      <c r="BZ249" s="59" t="s">
        <v>1006</v>
      </c>
      <c r="CA249" s="53" t="str">
        <f>IFERROR(__xludf.DUMMYFUNCTION("IFERROR(REGEXEXTRACT(BZ249, ""(?i)[A-Z]+-D-E-([^-]+)-E""), """")"),"HUBE")</f>
        <v>HUBE</v>
      </c>
    </row>
    <row r="250" ht="11.25" customHeight="1">
      <c r="A250" s="45" t="s">
        <v>1007</v>
      </c>
      <c r="B250" s="46">
        <v>7.4127705E7</v>
      </c>
      <c r="C250" s="47">
        <v>0.0</v>
      </c>
      <c r="D250" s="47">
        <v>100.0</v>
      </c>
      <c r="E250" s="47">
        <v>120.0</v>
      </c>
      <c r="F250" s="47">
        <v>140.0</v>
      </c>
      <c r="G250" s="47">
        <v>160.0</v>
      </c>
      <c r="H250" s="47">
        <v>180.0</v>
      </c>
      <c r="I250" s="47">
        <v>200.0</v>
      </c>
      <c r="J250" s="47">
        <v>220.0</v>
      </c>
      <c r="K250" s="47">
        <v>240.0</v>
      </c>
      <c r="L250" s="47">
        <v>240.0</v>
      </c>
      <c r="M250" s="48">
        <v>63.2053332997</v>
      </c>
      <c r="N250" s="47">
        <v>59.386005229700004</v>
      </c>
      <c r="O250" s="47">
        <v>57.9558484957</v>
      </c>
      <c r="P250" s="47">
        <v>56.2712379217</v>
      </c>
      <c r="Q250" s="47">
        <v>54.2560983077</v>
      </c>
      <c r="R250" s="47">
        <v>51.8032504537</v>
      </c>
      <c r="S250" s="47">
        <v>48.7744111597</v>
      </c>
      <c r="T250" s="47">
        <v>45.0001932257</v>
      </c>
      <c r="U250" s="47">
        <v>40.2801054517</v>
      </c>
      <c r="V250" s="47">
        <v>40.2801054517</v>
      </c>
      <c r="W250" s="49">
        <f t="shared" si="4"/>
        <v>25.63813359</v>
      </c>
      <c r="X250" s="47">
        <v>30.5984088502</v>
      </c>
      <c r="Y250" s="47">
        <v>31.8622101422</v>
      </c>
      <c r="Z250" s="47">
        <v>33.2975919142</v>
      </c>
      <c r="AA250" s="47">
        <v>34.8640037662</v>
      </c>
      <c r="AB250" s="47">
        <v>36.4832632982</v>
      </c>
      <c r="AC250" s="47">
        <v>38.039556110199996</v>
      </c>
      <c r="AD250" s="47">
        <v>39.3794358022</v>
      </c>
      <c r="AE250" s="47">
        <v>40.3118239742</v>
      </c>
      <c r="AF250" s="47">
        <v>40.3118239742</v>
      </c>
      <c r="AG250" s="49">
        <v>2.26</v>
      </c>
      <c r="AH250" s="47">
        <v>2.42</v>
      </c>
      <c r="AI250" s="47">
        <v>2.52</v>
      </c>
      <c r="AJ250" s="47">
        <v>2.657</v>
      </c>
      <c r="AK250" s="47">
        <v>2.832</v>
      </c>
      <c r="AL250" s="47">
        <v>3.126</v>
      </c>
      <c r="AM250" s="47">
        <v>3.645</v>
      </c>
      <c r="AN250" s="47">
        <v>4.57</v>
      </c>
      <c r="AO250" s="47">
        <v>6.492</v>
      </c>
      <c r="AP250" s="47">
        <v>6.492</v>
      </c>
      <c r="AQ250" s="49">
        <v>0.0</v>
      </c>
      <c r="AR250" s="47">
        <v>52.4</v>
      </c>
      <c r="AS250" s="47">
        <v>60.06</v>
      </c>
      <c r="AT250" s="47">
        <v>66.63</v>
      </c>
      <c r="AU250" s="47">
        <v>71.33</v>
      </c>
      <c r="AV250" s="47">
        <v>74.45</v>
      </c>
      <c r="AW250" s="47">
        <v>76.66</v>
      </c>
      <c r="AX250" s="47">
        <v>77.9</v>
      </c>
      <c r="AY250" s="47">
        <v>78.6</v>
      </c>
      <c r="AZ250" s="47">
        <v>78.6</v>
      </c>
      <c r="BA250" s="50">
        <v>1139.0</v>
      </c>
      <c r="BB250" s="51">
        <v>702.0</v>
      </c>
      <c r="BC250" s="51">
        <v>450.0</v>
      </c>
      <c r="BD250" s="51">
        <v>340.0</v>
      </c>
      <c r="BE250" s="51" t="s">
        <v>639</v>
      </c>
      <c r="BF250" s="51" t="s">
        <v>922</v>
      </c>
      <c r="BG250" s="51" t="s">
        <v>923</v>
      </c>
      <c r="BH250" s="51" t="s">
        <v>924</v>
      </c>
      <c r="BI250" s="51">
        <v>385.0</v>
      </c>
      <c r="BJ250" s="51">
        <v>460.0</v>
      </c>
      <c r="BK250" s="51">
        <v>490.0</v>
      </c>
      <c r="BL250" s="51">
        <v>500.0</v>
      </c>
      <c r="BM250" s="51">
        <v>610.0</v>
      </c>
      <c r="BN250" s="51">
        <v>200.0</v>
      </c>
      <c r="BO250" s="51">
        <v>60.0</v>
      </c>
      <c r="BP250" s="51" t="s">
        <v>925</v>
      </c>
      <c r="BQ250" s="51" t="s">
        <v>926</v>
      </c>
      <c r="BR250" s="52">
        <v>25.0</v>
      </c>
      <c r="BS250" s="53" t="s">
        <v>927</v>
      </c>
      <c r="BT250" s="53" t="s">
        <v>927</v>
      </c>
      <c r="BU250" s="52">
        <v>45.0</v>
      </c>
      <c r="BV250" s="47">
        <f>IFERROR(__xludf.DUMMYFUNCTION("IFERROR(INDEX(motors!E:E, MATCH(1, (motors!A:A=REGEXEXTRACT(A250,""^\S+""))*(motors!B:B=BU250), 0)), """")"),80.8)</f>
        <v>80.8</v>
      </c>
      <c r="BW250" s="47">
        <f>IFERROR(__xludf.DUMMYFUNCTION("IFERROR(INDEX(motors!F:F, MATCH(1, (motors!A:A=REGEXEXTRACT(A250,""^\S+""))*(motors!B:B=BU250), 0)), """")"),46.5)</f>
        <v>46.5</v>
      </c>
      <c r="BX250" s="51">
        <v>2.0</v>
      </c>
      <c r="BY250" s="52">
        <v>504.0</v>
      </c>
      <c r="BZ250" s="53" t="s">
        <v>1008</v>
      </c>
      <c r="CA250" s="53" t="str">
        <f>IFERROR(__xludf.DUMMYFUNCTION("IFERROR(REGEXEXTRACT(BZ250, ""(?i)[A-Z]+-D-E-([^-]+)-E""), """")"),"HUBE")</f>
        <v>HUBE</v>
      </c>
    </row>
    <row r="251" ht="11.25" customHeight="1">
      <c r="A251" s="54" t="s">
        <v>1009</v>
      </c>
      <c r="B251" s="55">
        <v>7.4127706E7</v>
      </c>
      <c r="C251" s="56">
        <v>0.0</v>
      </c>
      <c r="D251" s="56">
        <v>100.0</v>
      </c>
      <c r="E251" s="56">
        <v>120.0</v>
      </c>
      <c r="F251" s="56">
        <v>140.0</v>
      </c>
      <c r="G251" s="56">
        <v>160.0</v>
      </c>
      <c r="H251" s="56">
        <v>180.0</v>
      </c>
      <c r="I251" s="56">
        <v>200.0</v>
      </c>
      <c r="J251" s="56">
        <v>220.0</v>
      </c>
      <c r="K251" s="56">
        <v>240.0</v>
      </c>
      <c r="L251" s="56">
        <v>240.0</v>
      </c>
      <c r="M251" s="48">
        <v>72.9575662028</v>
      </c>
      <c r="N251" s="56">
        <v>69.12715686279999</v>
      </c>
      <c r="O251" s="56">
        <v>67.7677731548</v>
      </c>
      <c r="P251" s="56">
        <v>66.1587997668</v>
      </c>
      <c r="Q251" s="56">
        <v>64.2273390988</v>
      </c>
      <c r="R251" s="56">
        <v>61.875149550799996</v>
      </c>
      <c r="S251" s="56">
        <v>58.978645522799994</v>
      </c>
      <c r="T251" s="56">
        <v>55.38889741479999</v>
      </c>
      <c r="U251" s="56">
        <v>50.9316316268</v>
      </c>
      <c r="V251" s="56">
        <v>50.9316316268</v>
      </c>
      <c r="W251" s="49">
        <f>W247+W248</f>
        <v>30.50017054</v>
      </c>
      <c r="X251" s="56">
        <v>36.5888267277</v>
      </c>
      <c r="Y251" s="56">
        <v>38.2651163657</v>
      </c>
      <c r="Z251" s="56">
        <v>40.059046003700004</v>
      </c>
      <c r="AA251" s="56">
        <v>41.9017644417</v>
      </c>
      <c r="AB251" s="56">
        <v>43.6975404797</v>
      </c>
      <c r="AC251" s="56">
        <v>45.323762917699995</v>
      </c>
      <c r="AD251" s="56">
        <v>46.63094055570001</v>
      </c>
      <c r="AE251" s="56">
        <v>47.4427021937</v>
      </c>
      <c r="AF251" s="56">
        <v>47.4427021937</v>
      </c>
      <c r="AG251" s="49">
        <v>2.26</v>
      </c>
      <c r="AH251" s="56">
        <v>2.42</v>
      </c>
      <c r="AI251" s="56">
        <v>2.52</v>
      </c>
      <c r="AJ251" s="56">
        <v>2.657</v>
      </c>
      <c r="AK251" s="56">
        <v>2.832</v>
      </c>
      <c r="AL251" s="56">
        <v>3.126</v>
      </c>
      <c r="AM251" s="56">
        <v>3.645</v>
      </c>
      <c r="AN251" s="56">
        <v>4.57</v>
      </c>
      <c r="AO251" s="56">
        <v>6.492</v>
      </c>
      <c r="AP251" s="56">
        <v>6.492</v>
      </c>
      <c r="AQ251" s="49">
        <v>0.0</v>
      </c>
      <c r="AR251" s="56">
        <v>52.4</v>
      </c>
      <c r="AS251" s="56">
        <v>60.06</v>
      </c>
      <c r="AT251" s="56">
        <v>66.63</v>
      </c>
      <c r="AU251" s="56">
        <v>71.33</v>
      </c>
      <c r="AV251" s="56">
        <v>74.45</v>
      </c>
      <c r="AW251" s="56">
        <v>76.66</v>
      </c>
      <c r="AX251" s="56">
        <v>77.9</v>
      </c>
      <c r="AY251" s="56">
        <v>78.6</v>
      </c>
      <c r="AZ251" s="56">
        <v>78.6</v>
      </c>
      <c r="BA251" s="50">
        <v>1139.0</v>
      </c>
      <c r="BB251" s="57">
        <v>772.0</v>
      </c>
      <c r="BC251" s="57">
        <v>490.0</v>
      </c>
      <c r="BD251" s="57">
        <v>370.0</v>
      </c>
      <c r="BE251" s="57" t="s">
        <v>639</v>
      </c>
      <c r="BF251" s="57" t="s">
        <v>922</v>
      </c>
      <c r="BG251" s="57" t="s">
        <v>923</v>
      </c>
      <c r="BH251" s="57" t="s">
        <v>924</v>
      </c>
      <c r="BI251" s="57">
        <v>385.0</v>
      </c>
      <c r="BJ251" s="57">
        <v>460.0</v>
      </c>
      <c r="BK251" s="57">
        <v>490.0</v>
      </c>
      <c r="BL251" s="57">
        <v>500.0</v>
      </c>
      <c r="BM251" s="57">
        <v>610.0</v>
      </c>
      <c r="BN251" s="57">
        <v>200.0</v>
      </c>
      <c r="BO251" s="57">
        <v>60.0</v>
      </c>
      <c r="BP251" s="57" t="s">
        <v>925</v>
      </c>
      <c r="BQ251" s="57" t="s">
        <v>926</v>
      </c>
      <c r="BR251" s="58">
        <v>25.0</v>
      </c>
      <c r="BS251" s="59" t="s">
        <v>927</v>
      </c>
      <c r="BT251" s="59" t="s">
        <v>927</v>
      </c>
      <c r="BU251" s="58">
        <v>55.0</v>
      </c>
      <c r="BV251" s="47">
        <f>IFERROR(__xludf.DUMMYFUNCTION("IFERROR(INDEX(motors!E:E, MATCH(1, (motors!A:A=REGEXEXTRACT(A251,""^\S+""))*(motors!B:B=BU251), 0)), """")"),98.5)</f>
        <v>98.5</v>
      </c>
      <c r="BW251" s="47">
        <f>IFERROR(__xludf.DUMMYFUNCTION("IFERROR(INDEX(motors!F:F, MATCH(1, (motors!A:A=REGEXEXTRACT(A251,""^\S+""))*(motors!B:B=BU251), 0)), """")"),56.7)</f>
        <v>56.7</v>
      </c>
      <c r="BX251" s="57">
        <v>2.0</v>
      </c>
      <c r="BY251" s="58">
        <v>595.0</v>
      </c>
      <c r="BZ251" s="59" t="s">
        <v>1010</v>
      </c>
      <c r="CA251" s="53" t="str">
        <f>IFERROR(__xludf.DUMMYFUNCTION("IFERROR(REGEXEXTRACT(BZ251, ""(?i)[A-Z]+-D-E-([^-]+)-E""), """")"),"HUBE")</f>
        <v>HUBE</v>
      </c>
    </row>
    <row r="252" ht="11.25" customHeight="1">
      <c r="A252" s="46" t="s">
        <v>1011</v>
      </c>
      <c r="B252" s="46">
        <v>7.4127707E7</v>
      </c>
      <c r="C252" s="47">
        <v>0.0</v>
      </c>
      <c r="D252" s="47">
        <v>100.0</v>
      </c>
      <c r="E252" s="47">
        <v>120.0</v>
      </c>
      <c r="F252" s="47">
        <v>140.0</v>
      </c>
      <c r="G252" s="47">
        <v>160.0</v>
      </c>
      <c r="H252" s="47">
        <v>180.0</v>
      </c>
      <c r="I252" s="47">
        <v>200.0</v>
      </c>
      <c r="J252" s="47">
        <v>220.0</v>
      </c>
      <c r="K252" s="47">
        <v>240.0</v>
      </c>
      <c r="L252" s="47">
        <v>240.0</v>
      </c>
      <c r="M252" s="48">
        <v>82.7557088379</v>
      </c>
      <c r="N252" s="47">
        <v>78.6444673279</v>
      </c>
      <c r="O252" s="47">
        <v>77.36260774590001</v>
      </c>
      <c r="P252" s="47">
        <v>75.8449108039</v>
      </c>
      <c r="Q252" s="47">
        <v>74.0198661019</v>
      </c>
      <c r="R252" s="47">
        <v>71.7979152399</v>
      </c>
      <c r="S252" s="47">
        <v>69.0714518179</v>
      </c>
      <c r="T252" s="47">
        <v>65.7148214359</v>
      </c>
      <c r="U252" s="47">
        <v>61.5843216939</v>
      </c>
      <c r="V252" s="47">
        <v>61.5843216939</v>
      </c>
      <c r="W252" s="49">
        <f>W248*2</f>
        <v>35.36220749</v>
      </c>
      <c r="X252" s="47">
        <v>42.5792446052</v>
      </c>
      <c r="Y252" s="47">
        <v>44.66802258920001</v>
      </c>
      <c r="Z252" s="47">
        <v>46.8205000932</v>
      </c>
      <c r="AA252" s="47">
        <v>48.939525117200006</v>
      </c>
      <c r="AB252" s="47">
        <v>50.911817661200004</v>
      </c>
      <c r="AC252" s="47">
        <v>52.6079697252</v>
      </c>
      <c r="AD252" s="47">
        <v>53.88244530920001</v>
      </c>
      <c r="AE252" s="47">
        <v>54.573580413200006</v>
      </c>
      <c r="AF252" s="47">
        <v>54.573580413200006</v>
      </c>
      <c r="AG252" s="49">
        <v>2.26</v>
      </c>
      <c r="AH252" s="47">
        <v>2.42</v>
      </c>
      <c r="AI252" s="47">
        <v>2.52</v>
      </c>
      <c r="AJ252" s="47">
        <v>2.657</v>
      </c>
      <c r="AK252" s="47">
        <v>2.832</v>
      </c>
      <c r="AL252" s="47">
        <v>3.126</v>
      </c>
      <c r="AM252" s="47">
        <v>3.645</v>
      </c>
      <c r="AN252" s="47">
        <v>4.57</v>
      </c>
      <c r="AO252" s="47">
        <v>6.492</v>
      </c>
      <c r="AP252" s="47">
        <v>6.492</v>
      </c>
      <c r="AQ252" s="49">
        <v>0.0</v>
      </c>
      <c r="AR252" s="47">
        <v>52.4</v>
      </c>
      <c r="AS252" s="47">
        <v>60.06</v>
      </c>
      <c r="AT252" s="47">
        <v>66.63</v>
      </c>
      <c r="AU252" s="47">
        <v>71.33</v>
      </c>
      <c r="AV252" s="47">
        <v>74.45</v>
      </c>
      <c r="AW252" s="47">
        <v>76.66</v>
      </c>
      <c r="AX252" s="47">
        <v>77.9</v>
      </c>
      <c r="AY252" s="47">
        <v>78.6</v>
      </c>
      <c r="AZ252" s="47">
        <v>78.6</v>
      </c>
      <c r="BA252" s="50">
        <v>1139.0</v>
      </c>
      <c r="BB252" s="51">
        <v>772.0</v>
      </c>
      <c r="BC252" s="51">
        <v>490.0</v>
      </c>
      <c r="BD252" s="51">
        <v>370.0</v>
      </c>
      <c r="BE252" s="51" t="s">
        <v>639</v>
      </c>
      <c r="BF252" s="51" t="s">
        <v>922</v>
      </c>
      <c r="BG252" s="51" t="s">
        <v>923</v>
      </c>
      <c r="BH252" s="51" t="s">
        <v>924</v>
      </c>
      <c r="BI252" s="51">
        <v>385.0</v>
      </c>
      <c r="BJ252" s="51">
        <v>460.0</v>
      </c>
      <c r="BK252" s="51">
        <v>490.0</v>
      </c>
      <c r="BL252" s="51">
        <v>500.0</v>
      </c>
      <c r="BM252" s="51">
        <v>610.0</v>
      </c>
      <c r="BN252" s="51">
        <v>200.0</v>
      </c>
      <c r="BO252" s="51">
        <v>60.0</v>
      </c>
      <c r="BP252" s="51" t="s">
        <v>925</v>
      </c>
      <c r="BQ252" s="51" t="s">
        <v>926</v>
      </c>
      <c r="BR252" s="52">
        <v>25.0</v>
      </c>
      <c r="BS252" s="53" t="s">
        <v>927</v>
      </c>
      <c r="BT252" s="53" t="s">
        <v>927</v>
      </c>
      <c r="BU252" s="52">
        <v>55.0</v>
      </c>
      <c r="BV252" s="47">
        <f>IFERROR(__xludf.DUMMYFUNCTION("IFERROR(INDEX(motors!E:E, MATCH(1, (motors!A:A=REGEXEXTRACT(A252,""^\S+""))*(motors!B:B=BU252), 0)), """")"),98.5)</f>
        <v>98.5</v>
      </c>
      <c r="BW252" s="47">
        <f>IFERROR(__xludf.DUMMYFUNCTION("IFERROR(INDEX(motors!F:F, MATCH(1, (motors!A:A=REGEXEXTRACT(A252,""^\S+""))*(motors!B:B=BU252), 0)), """")"),56.7)</f>
        <v>56.7</v>
      </c>
      <c r="BX252" s="51">
        <v>2.0</v>
      </c>
      <c r="BY252" s="52">
        <v>595.0</v>
      </c>
      <c r="BZ252" s="53" t="s">
        <v>1012</v>
      </c>
      <c r="CA252" s="53" t="str">
        <f>IFERROR(__xludf.DUMMYFUNCTION("IFERROR(REGEXEXTRACT(BZ252, ""(?i)[A-Z]+-D-E-([^-]+)-E""), """")"),"HUBE")</f>
        <v>HUBE</v>
      </c>
    </row>
    <row r="253" ht="11.25" customHeight="1">
      <c r="A253" s="54" t="s">
        <v>1013</v>
      </c>
      <c r="B253" s="55">
        <v>7.4127709E7</v>
      </c>
      <c r="C253" s="56">
        <v>0.0</v>
      </c>
      <c r="D253" s="56">
        <v>100.0</v>
      </c>
      <c r="E253" s="56">
        <v>120.0</v>
      </c>
      <c r="F253" s="56">
        <v>140.0</v>
      </c>
      <c r="G253" s="56">
        <v>160.0</v>
      </c>
      <c r="H253" s="56">
        <v>180.0</v>
      </c>
      <c r="I253" s="56">
        <v>200.0</v>
      </c>
      <c r="J253" s="56">
        <v>220.0</v>
      </c>
      <c r="K253" s="56">
        <v>240.0</v>
      </c>
      <c r="L253" s="56">
        <v>240.0</v>
      </c>
      <c r="M253" s="48">
        <v>97.1977292785</v>
      </c>
      <c r="N253" s="56">
        <v>91.51561719850001</v>
      </c>
      <c r="O253" s="56">
        <v>89.1076387825</v>
      </c>
      <c r="P253" s="56">
        <v>86.3572883665</v>
      </c>
      <c r="Q253" s="56">
        <v>83.1919659505</v>
      </c>
      <c r="R253" s="56">
        <v>79.4853115345</v>
      </c>
      <c r="S253" s="56">
        <v>75.05720511850001</v>
      </c>
      <c r="T253" s="56">
        <v>69.6737667025</v>
      </c>
      <c r="U253" s="56">
        <v>63.04735628650001</v>
      </c>
      <c r="V253" s="56">
        <v>63.04735628650001</v>
      </c>
      <c r="W253" s="49">
        <f>W246*2+W248</f>
        <v>40.19687115</v>
      </c>
      <c r="X253" s="56">
        <v>47.7089186118</v>
      </c>
      <c r="Y253" s="56">
        <v>49.8175959438</v>
      </c>
      <c r="Z253" s="56">
        <v>52.1436393558</v>
      </c>
      <c r="AA253" s="56">
        <v>54.5837720478</v>
      </c>
      <c r="AB253" s="56">
        <v>56.9798052198</v>
      </c>
      <c r="AC253" s="56">
        <v>59.11863807179999</v>
      </c>
      <c r="AD253" s="56">
        <v>60.732257803799996</v>
      </c>
      <c r="AE253" s="56">
        <v>61.4977396158</v>
      </c>
      <c r="AF253" s="56">
        <v>61.4977396158</v>
      </c>
      <c r="AG253" s="49">
        <v>2.26</v>
      </c>
      <c r="AH253" s="56">
        <v>2.42</v>
      </c>
      <c r="AI253" s="56">
        <v>2.52</v>
      </c>
      <c r="AJ253" s="56">
        <v>2.657</v>
      </c>
      <c r="AK253" s="56">
        <v>2.832</v>
      </c>
      <c r="AL253" s="56">
        <v>3.126</v>
      </c>
      <c r="AM253" s="56">
        <v>3.645</v>
      </c>
      <c r="AN253" s="56">
        <v>4.57</v>
      </c>
      <c r="AO253" s="56">
        <v>6.492</v>
      </c>
      <c r="AP253" s="56">
        <v>6.492</v>
      </c>
      <c r="AQ253" s="49">
        <v>0.0</v>
      </c>
      <c r="AR253" s="56">
        <v>52.4</v>
      </c>
      <c r="AS253" s="56">
        <v>60.06</v>
      </c>
      <c r="AT253" s="56">
        <v>66.63</v>
      </c>
      <c r="AU253" s="56">
        <v>71.33</v>
      </c>
      <c r="AV253" s="56">
        <v>74.45</v>
      </c>
      <c r="AW253" s="56">
        <v>76.66</v>
      </c>
      <c r="AX253" s="56">
        <v>77.9</v>
      </c>
      <c r="AY253" s="56">
        <v>78.6</v>
      </c>
      <c r="AZ253" s="56">
        <v>78.6</v>
      </c>
      <c r="BA253" s="50">
        <v>1333.0</v>
      </c>
      <c r="BB253" s="57">
        <v>840.0</v>
      </c>
      <c r="BC253" s="57">
        <v>550.0</v>
      </c>
      <c r="BD253" s="57">
        <v>410.0</v>
      </c>
      <c r="BE253" s="57" t="s">
        <v>639</v>
      </c>
      <c r="BF253" s="57" t="s">
        <v>922</v>
      </c>
      <c r="BG253" s="57" t="s">
        <v>923</v>
      </c>
      <c r="BH253" s="57" t="s">
        <v>924</v>
      </c>
      <c r="BI253" s="57">
        <v>385.0</v>
      </c>
      <c r="BJ253" s="57">
        <v>460.0</v>
      </c>
      <c r="BK253" s="57">
        <v>490.0</v>
      </c>
      <c r="BL253" s="57">
        <v>500.0</v>
      </c>
      <c r="BM253" s="57">
        <v>610.0</v>
      </c>
      <c r="BN253" s="57">
        <v>200.0</v>
      </c>
      <c r="BO253" s="57">
        <v>60.0</v>
      </c>
      <c r="BP253" s="57" t="s">
        <v>925</v>
      </c>
      <c r="BQ253" s="57" t="s">
        <v>926</v>
      </c>
      <c r="BR253" s="58">
        <v>25.0</v>
      </c>
      <c r="BS253" s="59" t="s">
        <v>927</v>
      </c>
      <c r="BT253" s="59" t="s">
        <v>927</v>
      </c>
      <c r="BU253" s="58">
        <v>75.0</v>
      </c>
      <c r="BV253" s="47">
        <f>IFERROR(__xludf.DUMMYFUNCTION("IFERROR(INDEX(motors!E:E, MATCH(1, (motors!A:A=REGEXEXTRACT(A253,""^\S+""))*(motors!B:B=BU253), 0)), """")"),133.7)</f>
        <v>133.7</v>
      </c>
      <c r="BW253" s="47">
        <f>IFERROR(__xludf.DUMMYFUNCTION("IFERROR(INDEX(motors!F:F, MATCH(1, (motors!A:A=REGEXEXTRACT(A253,""^\S+""))*(motors!B:B=BU253), 0)), """")"),77.0)</f>
        <v>77</v>
      </c>
      <c r="BX253" s="57">
        <v>2.0</v>
      </c>
      <c r="BY253" s="58">
        <v>748.0</v>
      </c>
      <c r="BZ253" s="59" t="s">
        <v>1014</v>
      </c>
      <c r="CA253" s="53" t="str">
        <f>IFERROR(__xludf.DUMMYFUNCTION("IFERROR(REGEXEXTRACT(BZ253, ""(?i)[A-Z]+-D-E-([^-]+)-E""), """")"),"HUBE")</f>
        <v>HUBE</v>
      </c>
    </row>
    <row r="254" ht="11.25" customHeight="1">
      <c r="A254" s="45" t="s">
        <v>1015</v>
      </c>
      <c r="B254" s="46">
        <v>7.4127708E7</v>
      </c>
      <c r="C254" s="47">
        <v>0.0</v>
      </c>
      <c r="D254" s="47">
        <v>100.0</v>
      </c>
      <c r="E254" s="47">
        <v>120.0</v>
      </c>
      <c r="F254" s="47">
        <v>140.0</v>
      </c>
      <c r="G254" s="47">
        <v>160.0</v>
      </c>
      <c r="H254" s="47">
        <v>180.0</v>
      </c>
      <c r="I254" s="47">
        <v>200.0</v>
      </c>
      <c r="J254" s="47">
        <v>220.0</v>
      </c>
      <c r="K254" s="47">
        <v>240.0</v>
      </c>
      <c r="L254" s="47">
        <v>240.0</v>
      </c>
      <c r="M254" s="48">
        <v>101.3595341025</v>
      </c>
      <c r="N254" s="47">
        <v>95.07265118250001</v>
      </c>
      <c r="O254" s="47">
        <v>92.8044689985</v>
      </c>
      <c r="P254" s="47">
        <v>90.1733900145</v>
      </c>
      <c r="Q254" s="47">
        <v>87.0907198305</v>
      </c>
      <c r="R254" s="47">
        <v>83.42898004650002</v>
      </c>
      <c r="S254" s="47">
        <v>79.0219082625</v>
      </c>
      <c r="T254" s="47">
        <v>73.6644580785</v>
      </c>
      <c r="U254" s="47">
        <v>67.1127990945</v>
      </c>
      <c r="V254" s="47">
        <v>67.1127990945</v>
      </c>
      <c r="W254" s="49">
        <f>W246+W247+W248</f>
        <v>41.75805424</v>
      </c>
      <c r="X254" s="47">
        <v>49.7984748823</v>
      </c>
      <c r="Y254" s="47">
        <v>52.0069086903</v>
      </c>
      <c r="Z254" s="47">
        <v>54.4257406583</v>
      </c>
      <c r="AA254" s="47">
        <v>56.9587691863</v>
      </c>
      <c r="AB254" s="47">
        <v>59.4594886743</v>
      </c>
      <c r="AC254" s="47">
        <v>61.731089522299996</v>
      </c>
      <c r="AD254" s="47">
        <v>63.5264581303</v>
      </c>
      <c r="AE254" s="47">
        <v>64.5481768983</v>
      </c>
      <c r="AF254" s="47">
        <v>64.5481768983</v>
      </c>
      <c r="AG254" s="49">
        <v>2.26</v>
      </c>
      <c r="AH254" s="47">
        <v>2.42</v>
      </c>
      <c r="AI254" s="47">
        <v>2.52</v>
      </c>
      <c r="AJ254" s="47">
        <v>2.657</v>
      </c>
      <c r="AK254" s="47">
        <v>2.832</v>
      </c>
      <c r="AL254" s="47">
        <v>3.126</v>
      </c>
      <c r="AM254" s="47">
        <v>3.645</v>
      </c>
      <c r="AN254" s="47">
        <v>4.57</v>
      </c>
      <c r="AO254" s="47">
        <v>6.492</v>
      </c>
      <c r="AP254" s="47">
        <v>6.492</v>
      </c>
      <c r="AQ254" s="49">
        <v>0.0</v>
      </c>
      <c r="AR254" s="47">
        <v>52.4</v>
      </c>
      <c r="AS254" s="47">
        <v>60.06</v>
      </c>
      <c r="AT254" s="47">
        <v>66.63</v>
      </c>
      <c r="AU254" s="47">
        <v>71.33</v>
      </c>
      <c r="AV254" s="47">
        <v>74.45</v>
      </c>
      <c r="AW254" s="47">
        <v>76.66</v>
      </c>
      <c r="AX254" s="47">
        <v>77.9</v>
      </c>
      <c r="AY254" s="47">
        <v>78.6</v>
      </c>
      <c r="AZ254" s="47">
        <v>78.6</v>
      </c>
      <c r="BA254" s="50">
        <v>1333.0</v>
      </c>
      <c r="BB254" s="51">
        <v>840.0</v>
      </c>
      <c r="BC254" s="51">
        <v>550.0</v>
      </c>
      <c r="BD254" s="51">
        <v>410.0</v>
      </c>
      <c r="BE254" s="51" t="s">
        <v>639</v>
      </c>
      <c r="BF254" s="51" t="s">
        <v>922</v>
      </c>
      <c r="BG254" s="51" t="s">
        <v>923</v>
      </c>
      <c r="BH254" s="51" t="s">
        <v>924</v>
      </c>
      <c r="BI254" s="51">
        <v>385.0</v>
      </c>
      <c r="BJ254" s="51">
        <v>460.0</v>
      </c>
      <c r="BK254" s="51">
        <v>490.0</v>
      </c>
      <c r="BL254" s="51">
        <v>500.0</v>
      </c>
      <c r="BM254" s="51">
        <v>610.0</v>
      </c>
      <c r="BN254" s="51">
        <v>200.0</v>
      </c>
      <c r="BO254" s="51">
        <v>60.0</v>
      </c>
      <c r="BP254" s="51" t="s">
        <v>925</v>
      </c>
      <c r="BQ254" s="51" t="s">
        <v>926</v>
      </c>
      <c r="BR254" s="52">
        <v>25.0</v>
      </c>
      <c r="BS254" s="53" t="s">
        <v>927</v>
      </c>
      <c r="BT254" s="53" t="s">
        <v>927</v>
      </c>
      <c r="BU254" s="52">
        <v>75.0</v>
      </c>
      <c r="BV254" s="47">
        <f>IFERROR(__xludf.DUMMYFUNCTION("IFERROR(INDEX(motors!E:E, MATCH(1, (motors!A:A=REGEXEXTRACT(A254,""^\S+""))*(motors!B:B=BU254), 0)), """")"),133.7)</f>
        <v>133.7</v>
      </c>
      <c r="BW254" s="47">
        <f>IFERROR(__xludf.DUMMYFUNCTION("IFERROR(INDEX(motors!F:F, MATCH(1, (motors!A:A=REGEXEXTRACT(A254,""^\S+""))*(motors!B:B=BU254), 0)), """")"),77.0)</f>
        <v>77</v>
      </c>
      <c r="BX254" s="51">
        <v>2.0</v>
      </c>
      <c r="BY254" s="52">
        <v>748.0</v>
      </c>
      <c r="BZ254" s="53" t="s">
        <v>1016</v>
      </c>
      <c r="CA254" s="53" t="str">
        <f>IFERROR(__xludf.DUMMYFUNCTION("IFERROR(REGEXEXTRACT(BZ254, ""(?i)[A-Z]+-D-E-([^-]+)-E""), """")"),"HUBE")</f>
        <v>HUBE</v>
      </c>
    </row>
    <row r="255" ht="11.25" customHeight="1">
      <c r="A255" s="54" t="s">
        <v>1017</v>
      </c>
      <c r="B255" s="55">
        <v>7.412771E7</v>
      </c>
      <c r="C255" s="56">
        <v>0.0</v>
      </c>
      <c r="D255" s="56">
        <v>100.0</v>
      </c>
      <c r="E255" s="56">
        <v>120.0</v>
      </c>
      <c r="F255" s="56">
        <v>140.0</v>
      </c>
      <c r="G255" s="56">
        <v>160.0</v>
      </c>
      <c r="H255" s="56">
        <v>180.0</v>
      </c>
      <c r="I255" s="56">
        <v>200.0</v>
      </c>
      <c r="J255" s="56">
        <v>220.0</v>
      </c>
      <c r="K255" s="56">
        <v>240.0</v>
      </c>
      <c r="L255" s="56">
        <v>240.0</v>
      </c>
      <c r="M255" s="48">
        <v>105.7619032068</v>
      </c>
      <c r="N255" s="56">
        <v>99.5192596468</v>
      </c>
      <c r="O255" s="56">
        <v>97.2720786948</v>
      </c>
      <c r="P255" s="56">
        <v>94.7396024628</v>
      </c>
      <c r="Q255" s="56">
        <v>91.81550615079999</v>
      </c>
      <c r="R255" s="56">
        <v>88.33010495879999</v>
      </c>
      <c r="S255" s="56">
        <v>84.0503540868</v>
      </c>
      <c r="T255" s="56">
        <v>78.6798487348</v>
      </c>
      <c r="U255" s="56">
        <v>71.8588241028</v>
      </c>
      <c r="V255" s="56">
        <v>71.8588241028</v>
      </c>
      <c r="W255" s="49">
        <f>W247*2+W248</f>
        <v>43.31923733</v>
      </c>
      <c r="X255" s="56">
        <v>51.8880311528</v>
      </c>
      <c r="Y255" s="56">
        <v>54.1962214368</v>
      </c>
      <c r="Z255" s="56">
        <v>56.707841960799996</v>
      </c>
      <c r="AA255" s="56">
        <v>59.3337663248</v>
      </c>
      <c r="AB255" s="56">
        <v>61.9391721288</v>
      </c>
      <c r="AC255" s="56">
        <v>64.3435409728</v>
      </c>
      <c r="AD255" s="56">
        <v>66.3206584568</v>
      </c>
      <c r="AE255" s="56">
        <v>67.59861418080001</v>
      </c>
      <c r="AF255" s="56">
        <v>67.59861418080001</v>
      </c>
      <c r="AG255" s="49">
        <v>2.26</v>
      </c>
      <c r="AH255" s="56">
        <v>2.42</v>
      </c>
      <c r="AI255" s="56">
        <v>2.52</v>
      </c>
      <c r="AJ255" s="56">
        <v>2.657</v>
      </c>
      <c r="AK255" s="56">
        <v>2.832</v>
      </c>
      <c r="AL255" s="56">
        <v>3.126</v>
      </c>
      <c r="AM255" s="56">
        <v>3.645</v>
      </c>
      <c r="AN255" s="56">
        <v>4.57</v>
      </c>
      <c r="AO255" s="56">
        <v>6.492</v>
      </c>
      <c r="AP255" s="56">
        <v>6.492</v>
      </c>
      <c r="AQ255" s="49">
        <v>0.0</v>
      </c>
      <c r="AR255" s="56">
        <v>52.4</v>
      </c>
      <c r="AS255" s="56">
        <v>60.06</v>
      </c>
      <c r="AT255" s="56">
        <v>66.63</v>
      </c>
      <c r="AU255" s="56">
        <v>71.33</v>
      </c>
      <c r="AV255" s="56">
        <v>74.45</v>
      </c>
      <c r="AW255" s="56">
        <v>76.66</v>
      </c>
      <c r="AX255" s="56">
        <v>77.9</v>
      </c>
      <c r="AY255" s="56">
        <v>78.6</v>
      </c>
      <c r="AZ255" s="56">
        <v>78.6</v>
      </c>
      <c r="BA255" s="50">
        <v>1333.0</v>
      </c>
      <c r="BB255" s="57">
        <v>840.0</v>
      </c>
      <c r="BC255" s="57">
        <v>550.0</v>
      </c>
      <c r="BD255" s="57">
        <v>410.0</v>
      </c>
      <c r="BE255" s="57" t="s">
        <v>639</v>
      </c>
      <c r="BF255" s="57" t="s">
        <v>922</v>
      </c>
      <c r="BG255" s="57" t="s">
        <v>923</v>
      </c>
      <c r="BH255" s="57" t="s">
        <v>924</v>
      </c>
      <c r="BI255" s="57">
        <v>385.0</v>
      </c>
      <c r="BJ255" s="57">
        <v>460.0</v>
      </c>
      <c r="BK255" s="57">
        <v>490.0</v>
      </c>
      <c r="BL255" s="57">
        <v>500.0</v>
      </c>
      <c r="BM255" s="57">
        <v>610.0</v>
      </c>
      <c r="BN255" s="57">
        <v>200.0</v>
      </c>
      <c r="BO255" s="57">
        <v>60.0</v>
      </c>
      <c r="BP255" s="57" t="s">
        <v>925</v>
      </c>
      <c r="BQ255" s="57" t="s">
        <v>926</v>
      </c>
      <c r="BR255" s="58">
        <v>25.0</v>
      </c>
      <c r="BS255" s="59" t="s">
        <v>927</v>
      </c>
      <c r="BT255" s="59" t="s">
        <v>927</v>
      </c>
      <c r="BU255" s="58">
        <v>75.0</v>
      </c>
      <c r="BV255" s="47">
        <f>IFERROR(__xludf.DUMMYFUNCTION("IFERROR(INDEX(motors!E:E, MATCH(1, (motors!A:A=REGEXEXTRACT(A255,""^\S+""))*(motors!B:B=BU255), 0)), """")"),133.7)</f>
        <v>133.7</v>
      </c>
      <c r="BW255" s="47">
        <f>IFERROR(__xludf.DUMMYFUNCTION("IFERROR(INDEX(motors!F:F, MATCH(1, (motors!A:A=REGEXEXTRACT(A255,""^\S+""))*(motors!B:B=BU255), 0)), """")"),77.0)</f>
        <v>77</v>
      </c>
      <c r="BX255" s="57">
        <v>2.0</v>
      </c>
      <c r="BY255" s="58">
        <v>748.0</v>
      </c>
      <c r="BZ255" s="59" t="s">
        <v>1018</v>
      </c>
      <c r="CA255" s="53" t="str">
        <f>IFERROR(__xludf.DUMMYFUNCTION("IFERROR(REGEXEXTRACT(BZ255, ""(?i)[A-Z]+-D-E-([^-]+)-E""), """")"),"HUBE")</f>
        <v>HUBE</v>
      </c>
    </row>
    <row r="256" ht="11.25" customHeight="1">
      <c r="A256" s="45" t="s">
        <v>1019</v>
      </c>
      <c r="B256" s="46">
        <v>7.4127711E7</v>
      </c>
      <c r="C256" s="47">
        <v>0.0</v>
      </c>
      <c r="D256" s="47">
        <v>100.0</v>
      </c>
      <c r="E256" s="47">
        <v>120.0</v>
      </c>
      <c r="F256" s="47">
        <v>140.0</v>
      </c>
      <c r="G256" s="47">
        <v>160.0</v>
      </c>
      <c r="H256" s="47">
        <v>180.0</v>
      </c>
      <c r="I256" s="47">
        <v>200.0</v>
      </c>
      <c r="J256" s="47">
        <v>220.0</v>
      </c>
      <c r="K256" s="47">
        <v>240.0</v>
      </c>
      <c r="L256" s="47">
        <v>240.0</v>
      </c>
      <c r="M256" s="48">
        <v>110.6750116398</v>
      </c>
      <c r="N256" s="47">
        <v>104.64224694980001</v>
      </c>
      <c r="O256" s="47">
        <v>102.3851698518</v>
      </c>
      <c r="P256" s="47">
        <v>99.8196940338</v>
      </c>
      <c r="Q256" s="47">
        <v>96.85850749580001</v>
      </c>
      <c r="R256" s="47">
        <v>93.3616902378</v>
      </c>
      <c r="S256" s="47">
        <v>89.1367142598</v>
      </c>
      <c r="T256" s="47">
        <v>83.9384435618</v>
      </c>
      <c r="U256" s="47">
        <v>77.4691341438</v>
      </c>
      <c r="V256" s="47">
        <v>77.4691341438</v>
      </c>
      <c r="W256" s="49">
        <f>W246+W248*2</f>
        <v>46.62009119</v>
      </c>
      <c r="X256" s="47">
        <v>55.78889275980001</v>
      </c>
      <c r="Y256" s="47">
        <v>58.409814913800005</v>
      </c>
      <c r="Z256" s="47">
        <v>61.1871947478</v>
      </c>
      <c r="AA256" s="47">
        <v>63.996529861800006</v>
      </c>
      <c r="AB256" s="47">
        <v>66.6737658558</v>
      </c>
      <c r="AC256" s="47">
        <v>69.0152963298</v>
      </c>
      <c r="AD256" s="47">
        <v>70.7779628838</v>
      </c>
      <c r="AE256" s="47">
        <v>71.6790551178</v>
      </c>
      <c r="AF256" s="47">
        <v>71.6790551178</v>
      </c>
      <c r="AG256" s="49">
        <v>2.26</v>
      </c>
      <c r="AH256" s="47">
        <v>2.42</v>
      </c>
      <c r="AI256" s="47">
        <v>2.52</v>
      </c>
      <c r="AJ256" s="47">
        <v>2.657</v>
      </c>
      <c r="AK256" s="47">
        <v>2.832</v>
      </c>
      <c r="AL256" s="47">
        <v>3.126</v>
      </c>
      <c r="AM256" s="47">
        <v>3.645</v>
      </c>
      <c r="AN256" s="47">
        <v>4.57</v>
      </c>
      <c r="AO256" s="47">
        <v>6.492</v>
      </c>
      <c r="AP256" s="47">
        <v>6.492</v>
      </c>
      <c r="AQ256" s="49">
        <v>0.0</v>
      </c>
      <c r="AR256" s="47">
        <v>52.4</v>
      </c>
      <c r="AS256" s="47">
        <v>60.06</v>
      </c>
      <c r="AT256" s="47">
        <v>66.63</v>
      </c>
      <c r="AU256" s="47">
        <v>71.33</v>
      </c>
      <c r="AV256" s="47">
        <v>74.45</v>
      </c>
      <c r="AW256" s="47">
        <v>76.66</v>
      </c>
      <c r="AX256" s="47">
        <v>77.9</v>
      </c>
      <c r="AY256" s="47">
        <v>78.6</v>
      </c>
      <c r="AZ256" s="47">
        <v>78.6</v>
      </c>
      <c r="BA256" s="50">
        <v>1333.0</v>
      </c>
      <c r="BB256" s="51">
        <v>840.0</v>
      </c>
      <c r="BC256" s="51">
        <v>550.0</v>
      </c>
      <c r="BD256" s="51">
        <v>410.0</v>
      </c>
      <c r="BE256" s="51" t="s">
        <v>639</v>
      </c>
      <c r="BF256" s="51" t="s">
        <v>922</v>
      </c>
      <c r="BG256" s="51" t="s">
        <v>923</v>
      </c>
      <c r="BH256" s="51" t="s">
        <v>924</v>
      </c>
      <c r="BI256" s="51">
        <v>385.0</v>
      </c>
      <c r="BJ256" s="51">
        <v>460.0</v>
      </c>
      <c r="BK256" s="51">
        <v>490.0</v>
      </c>
      <c r="BL256" s="51">
        <v>500.0</v>
      </c>
      <c r="BM256" s="51">
        <v>610.0</v>
      </c>
      <c r="BN256" s="51">
        <v>200.0</v>
      </c>
      <c r="BO256" s="51">
        <v>60.0</v>
      </c>
      <c r="BP256" s="51" t="s">
        <v>925</v>
      </c>
      <c r="BQ256" s="51" t="s">
        <v>926</v>
      </c>
      <c r="BR256" s="52">
        <v>25.0</v>
      </c>
      <c r="BS256" s="53" t="s">
        <v>927</v>
      </c>
      <c r="BT256" s="53" t="s">
        <v>927</v>
      </c>
      <c r="BU256" s="52">
        <v>75.0</v>
      </c>
      <c r="BV256" s="47">
        <f>IFERROR(__xludf.DUMMYFUNCTION("IFERROR(INDEX(motors!E:E, MATCH(1, (motors!A:A=REGEXEXTRACT(A256,""^\S+""))*(motors!B:B=BU256), 0)), """")"),133.7)</f>
        <v>133.7</v>
      </c>
      <c r="BW256" s="47">
        <f>IFERROR(__xludf.DUMMYFUNCTION("IFERROR(INDEX(motors!F:F, MATCH(1, (motors!A:A=REGEXEXTRACT(A256,""^\S+""))*(motors!B:B=BU256), 0)), """")"),77.0)</f>
        <v>77</v>
      </c>
      <c r="BX256" s="51">
        <v>2.0</v>
      </c>
      <c r="BY256" s="52">
        <v>748.0</v>
      </c>
      <c r="BZ256" s="53" t="s">
        <v>1020</v>
      </c>
      <c r="CA256" s="53" t="str">
        <f>IFERROR(__xludf.DUMMYFUNCTION("IFERROR(REGEXEXTRACT(BZ256, ""(?i)[A-Z]+-D-E-([^-]+)-E""), """")"),"HUBE")</f>
        <v>HUBE</v>
      </c>
    </row>
    <row r="257" ht="11.25" customHeight="1">
      <c r="A257" s="54" t="s">
        <v>1021</v>
      </c>
      <c r="B257" s="55">
        <v>7.4127712E7</v>
      </c>
      <c r="C257" s="56">
        <v>0.0</v>
      </c>
      <c r="D257" s="56">
        <v>100.0</v>
      </c>
      <c r="E257" s="56">
        <v>120.0</v>
      </c>
      <c r="F257" s="56">
        <v>140.0</v>
      </c>
      <c r="G257" s="56">
        <v>160.0</v>
      </c>
      <c r="H257" s="56">
        <v>180.0</v>
      </c>
      <c r="I257" s="56">
        <v>200.0</v>
      </c>
      <c r="J257" s="56">
        <v>220.0</v>
      </c>
      <c r="K257" s="56">
        <v>240.0</v>
      </c>
      <c r="L257" s="56">
        <v>240.0</v>
      </c>
      <c r="M257" s="48">
        <v>113.8396782496</v>
      </c>
      <c r="N257" s="56">
        <v>108.0372136396</v>
      </c>
      <c r="O257" s="56">
        <v>105.93344775759999</v>
      </c>
      <c r="P257" s="56">
        <v>103.5207455556</v>
      </c>
      <c r="Q257" s="56">
        <v>100.7016190336</v>
      </c>
      <c r="R257" s="56">
        <v>97.3286601916</v>
      </c>
      <c r="S257" s="56">
        <v>93.2045410296</v>
      </c>
      <c r="T257" s="56">
        <v>88.0820135476</v>
      </c>
      <c r="U257" s="56">
        <v>81.6639097456</v>
      </c>
      <c r="V257" s="56">
        <v>81.6639097456</v>
      </c>
      <c r="W257" s="49">
        <f>W247+W248*2</f>
        <v>48.18127428</v>
      </c>
      <c r="X257" s="56">
        <v>57.878449030300004</v>
      </c>
      <c r="Y257" s="56">
        <v>60.599127660300006</v>
      </c>
      <c r="Z257" s="56">
        <v>63.4692960503</v>
      </c>
      <c r="AA257" s="56">
        <v>66.3715270003</v>
      </c>
      <c r="AB257" s="56">
        <v>69.1534493103</v>
      </c>
      <c r="AC257" s="56">
        <v>71.6277477803</v>
      </c>
      <c r="AD257" s="56">
        <v>73.5721632103</v>
      </c>
      <c r="AE257" s="56">
        <v>74.7294924003</v>
      </c>
      <c r="AF257" s="56">
        <v>74.7294924003</v>
      </c>
      <c r="AG257" s="49">
        <v>2.26</v>
      </c>
      <c r="AH257" s="56">
        <v>2.42</v>
      </c>
      <c r="AI257" s="56">
        <v>2.52</v>
      </c>
      <c r="AJ257" s="56">
        <v>2.657</v>
      </c>
      <c r="AK257" s="56">
        <v>2.832</v>
      </c>
      <c r="AL257" s="56">
        <v>3.126</v>
      </c>
      <c r="AM257" s="56">
        <v>3.645</v>
      </c>
      <c r="AN257" s="56">
        <v>4.57</v>
      </c>
      <c r="AO257" s="56">
        <v>6.492</v>
      </c>
      <c r="AP257" s="56">
        <v>6.492</v>
      </c>
      <c r="AQ257" s="49">
        <v>0.0</v>
      </c>
      <c r="AR257" s="56">
        <v>52.4</v>
      </c>
      <c r="AS257" s="56">
        <v>60.06</v>
      </c>
      <c r="AT257" s="56">
        <v>66.63</v>
      </c>
      <c r="AU257" s="56">
        <v>71.33</v>
      </c>
      <c r="AV257" s="56">
        <v>74.45</v>
      </c>
      <c r="AW257" s="56">
        <v>76.66</v>
      </c>
      <c r="AX257" s="56">
        <v>77.9</v>
      </c>
      <c r="AY257" s="56">
        <v>78.6</v>
      </c>
      <c r="AZ257" s="56">
        <v>78.6</v>
      </c>
      <c r="BA257" s="50">
        <v>1333.0</v>
      </c>
      <c r="BB257" s="57">
        <v>840.0</v>
      </c>
      <c r="BC257" s="57">
        <v>550.0</v>
      </c>
      <c r="BD257" s="57">
        <v>410.0</v>
      </c>
      <c r="BE257" s="57" t="s">
        <v>639</v>
      </c>
      <c r="BF257" s="57" t="s">
        <v>922</v>
      </c>
      <c r="BG257" s="57" t="s">
        <v>923</v>
      </c>
      <c r="BH257" s="57" t="s">
        <v>924</v>
      </c>
      <c r="BI257" s="57">
        <v>385.0</v>
      </c>
      <c r="BJ257" s="57">
        <v>460.0</v>
      </c>
      <c r="BK257" s="57">
        <v>490.0</v>
      </c>
      <c r="BL257" s="57">
        <v>500.0</v>
      </c>
      <c r="BM257" s="57">
        <v>610.0</v>
      </c>
      <c r="BN257" s="57">
        <v>200.0</v>
      </c>
      <c r="BO257" s="57">
        <v>60.0</v>
      </c>
      <c r="BP257" s="57" t="s">
        <v>925</v>
      </c>
      <c r="BQ257" s="57" t="s">
        <v>926</v>
      </c>
      <c r="BR257" s="58">
        <v>25.0</v>
      </c>
      <c r="BS257" s="59" t="s">
        <v>927</v>
      </c>
      <c r="BT257" s="59" t="s">
        <v>927</v>
      </c>
      <c r="BU257" s="58">
        <v>75.0</v>
      </c>
      <c r="BV257" s="47">
        <f>IFERROR(__xludf.DUMMYFUNCTION("IFERROR(INDEX(motors!E:E, MATCH(1, (motors!A:A=REGEXEXTRACT(A257,""^\S+""))*(motors!B:B=BU257), 0)), """")"),133.7)</f>
        <v>133.7</v>
      </c>
      <c r="BW257" s="47">
        <f>IFERROR(__xludf.DUMMYFUNCTION("IFERROR(INDEX(motors!F:F, MATCH(1, (motors!A:A=REGEXEXTRACT(A257,""^\S+""))*(motors!B:B=BU257), 0)), """")"),77.0)</f>
        <v>77</v>
      </c>
      <c r="BX257" s="57">
        <v>2.0</v>
      </c>
      <c r="BY257" s="58">
        <v>748.0</v>
      </c>
      <c r="BZ257" s="59" t="s">
        <v>1022</v>
      </c>
      <c r="CA257" s="53" t="str">
        <f>IFERROR(__xludf.DUMMYFUNCTION("IFERROR(REGEXEXTRACT(BZ257, ""(?i)[A-Z]+-D-E-([^-]+)-E""), """")"),"HUBE")</f>
        <v>HUBE</v>
      </c>
    </row>
    <row r="258" ht="11.25" customHeight="1">
      <c r="A258" s="46" t="s">
        <v>1023</v>
      </c>
      <c r="B258" s="46">
        <v>7.4127713E7</v>
      </c>
      <c r="C258" s="47">
        <v>0.0</v>
      </c>
      <c r="D258" s="47">
        <v>100.0</v>
      </c>
      <c r="E258" s="47">
        <v>120.0</v>
      </c>
      <c r="F258" s="47">
        <v>140.0</v>
      </c>
      <c r="G258" s="47">
        <v>160.0</v>
      </c>
      <c r="H258" s="47">
        <v>180.0</v>
      </c>
      <c r="I258" s="47">
        <v>200.0</v>
      </c>
      <c r="J258" s="47">
        <v>220.0</v>
      </c>
      <c r="K258" s="47">
        <v>240.0</v>
      </c>
      <c r="L258" s="47">
        <v>240.0</v>
      </c>
      <c r="M258" s="48">
        <v>123.632343583</v>
      </c>
      <c r="N258" s="47">
        <v>117.76770659299999</v>
      </c>
      <c r="O258" s="47">
        <v>115.66741103499999</v>
      </c>
      <c r="P258" s="47">
        <v>113.28663115699999</v>
      </c>
      <c r="Q258" s="47">
        <v>110.52935255899999</v>
      </c>
      <c r="R258" s="47">
        <v>107.245416841</v>
      </c>
      <c r="S258" s="47">
        <v>103.230521603</v>
      </c>
      <c r="T258" s="47">
        <v>98.226220445</v>
      </c>
      <c r="U258" s="47">
        <v>91.91992296699999</v>
      </c>
      <c r="V258" s="47">
        <v>91.91992296699999</v>
      </c>
      <c r="W258" s="49">
        <f>W248*3</f>
        <v>53.04331123</v>
      </c>
      <c r="X258" s="47">
        <v>63.868866907800005</v>
      </c>
      <c r="Y258" s="47">
        <v>67.00203388380001</v>
      </c>
      <c r="Z258" s="47">
        <v>70.23075013980001</v>
      </c>
      <c r="AA258" s="47">
        <v>73.40928767580002</v>
      </c>
      <c r="AB258" s="47">
        <v>76.3677264918</v>
      </c>
      <c r="AC258" s="47">
        <v>78.9119545878</v>
      </c>
      <c r="AD258" s="47">
        <v>80.8236679638</v>
      </c>
      <c r="AE258" s="47">
        <v>81.86037061980001</v>
      </c>
      <c r="AF258" s="47">
        <v>81.86037061980001</v>
      </c>
      <c r="AG258" s="49">
        <v>2.26</v>
      </c>
      <c r="AH258" s="47">
        <v>2.42</v>
      </c>
      <c r="AI258" s="47">
        <v>2.52</v>
      </c>
      <c r="AJ258" s="47">
        <v>2.657</v>
      </c>
      <c r="AK258" s="47">
        <v>2.832</v>
      </c>
      <c r="AL258" s="47">
        <v>3.126</v>
      </c>
      <c r="AM258" s="47">
        <v>3.645</v>
      </c>
      <c r="AN258" s="47">
        <v>4.57</v>
      </c>
      <c r="AO258" s="47">
        <v>6.492</v>
      </c>
      <c r="AP258" s="47">
        <v>6.492</v>
      </c>
      <c r="AQ258" s="49">
        <v>0.0</v>
      </c>
      <c r="AR258" s="47">
        <v>52.4</v>
      </c>
      <c r="AS258" s="47">
        <v>60.06</v>
      </c>
      <c r="AT258" s="47">
        <v>66.63</v>
      </c>
      <c r="AU258" s="47">
        <v>71.33</v>
      </c>
      <c r="AV258" s="47">
        <v>74.45</v>
      </c>
      <c r="AW258" s="47">
        <v>76.66</v>
      </c>
      <c r="AX258" s="47">
        <v>77.9</v>
      </c>
      <c r="AY258" s="47">
        <v>78.6</v>
      </c>
      <c r="AZ258" s="47">
        <v>78.6</v>
      </c>
      <c r="BA258" s="50">
        <v>1333.0</v>
      </c>
      <c r="BB258" s="51">
        <v>890.0</v>
      </c>
      <c r="BC258" s="51">
        <v>550.0</v>
      </c>
      <c r="BD258" s="51">
        <v>410.0</v>
      </c>
      <c r="BE258" s="51" t="s">
        <v>639</v>
      </c>
      <c r="BF258" s="51" t="s">
        <v>922</v>
      </c>
      <c r="BG258" s="51" t="s">
        <v>923</v>
      </c>
      <c r="BH258" s="51" t="s">
        <v>924</v>
      </c>
      <c r="BI258" s="51">
        <v>385.0</v>
      </c>
      <c r="BJ258" s="51">
        <v>460.0</v>
      </c>
      <c r="BK258" s="51">
        <v>490.0</v>
      </c>
      <c r="BL258" s="51">
        <v>500.0</v>
      </c>
      <c r="BM258" s="51">
        <v>610.0</v>
      </c>
      <c r="BN258" s="51">
        <v>200.0</v>
      </c>
      <c r="BO258" s="51">
        <v>60.0</v>
      </c>
      <c r="BP258" s="51" t="s">
        <v>925</v>
      </c>
      <c r="BQ258" s="51" t="s">
        <v>926</v>
      </c>
      <c r="BR258" s="52">
        <v>25.0</v>
      </c>
      <c r="BS258" s="53" t="s">
        <v>927</v>
      </c>
      <c r="BT258" s="53" t="s">
        <v>927</v>
      </c>
      <c r="BU258" s="52">
        <v>90.0</v>
      </c>
      <c r="BV258" s="47">
        <f>IFERROR(__xludf.DUMMYFUNCTION("IFERROR(INDEX(motors!E:E, MATCH(1, (motors!A:A=REGEXEXTRACT(A258,""^\S+""))*(motors!B:B=BU258), 0)), """")"),159.9)</f>
        <v>159.9</v>
      </c>
      <c r="BW258" s="47">
        <f>IFERROR(__xludf.DUMMYFUNCTION("IFERROR(INDEX(motors!F:F, MATCH(1, (motors!A:A=REGEXEXTRACT(A258,""^\S+""))*(motors!B:B=BU258), 0)), """")"),92.1)</f>
        <v>92.1</v>
      </c>
      <c r="BX258" s="51">
        <v>2.0</v>
      </c>
      <c r="BY258" s="52">
        <v>817.0</v>
      </c>
      <c r="BZ258" s="53" t="s">
        <v>1024</v>
      </c>
      <c r="CA258" s="53" t="str">
        <f>IFERROR(__xludf.DUMMYFUNCTION("IFERROR(REGEXEXTRACT(BZ258, ""(?i)[A-Z]+-D-E-([^-]+)-E""), """")"),"HUBE")</f>
        <v>HUBE</v>
      </c>
    </row>
    <row r="259" ht="11.25" customHeight="1">
      <c r="A259" s="54" t="s">
        <v>1025</v>
      </c>
      <c r="B259" s="55">
        <v>7.4127714E7</v>
      </c>
      <c r="C259" s="56">
        <v>0.0</v>
      </c>
      <c r="D259" s="56">
        <v>100.0</v>
      </c>
      <c r="E259" s="56">
        <v>120.0</v>
      </c>
      <c r="F259" s="56">
        <v>140.0</v>
      </c>
      <c r="G259" s="56">
        <v>160.0</v>
      </c>
      <c r="H259" s="56">
        <v>180.0</v>
      </c>
      <c r="I259" s="56">
        <v>200.0</v>
      </c>
      <c r="J259" s="56">
        <v>220.0</v>
      </c>
      <c r="K259" s="56">
        <v>240.0</v>
      </c>
      <c r="L259" s="56">
        <v>240.0</v>
      </c>
      <c r="M259" s="48">
        <v>139.9916579576</v>
      </c>
      <c r="N259" s="56">
        <v>131.7724541176</v>
      </c>
      <c r="O259" s="56">
        <v>128.7256405496</v>
      </c>
      <c r="P259" s="56">
        <v>125.17030058160002</v>
      </c>
      <c r="Q259" s="56">
        <v>120.98984701360001</v>
      </c>
      <c r="R259" s="56">
        <v>116.01815664560002</v>
      </c>
      <c r="S259" s="56">
        <v>110.03957027760002</v>
      </c>
      <c r="T259" s="56">
        <v>102.78889270960002</v>
      </c>
      <c r="U259" s="56">
        <v>93.95139274160002</v>
      </c>
      <c r="V259" s="56">
        <v>93.95139274160002</v>
      </c>
      <c r="W259" s="49">
        <f>W246*2+W248*2</f>
        <v>57.87797489</v>
      </c>
      <c r="X259" s="56">
        <v>68.9985409144</v>
      </c>
      <c r="Y259" s="56">
        <v>72.1516072384</v>
      </c>
      <c r="Z259" s="56">
        <v>75.5538894024</v>
      </c>
      <c r="AA259" s="56">
        <v>79.0535346064</v>
      </c>
      <c r="AB259" s="56">
        <v>82.43571405040001</v>
      </c>
      <c r="AC259" s="56">
        <v>85.4226229344</v>
      </c>
      <c r="AD259" s="56">
        <v>87.67348045840001</v>
      </c>
      <c r="AE259" s="56">
        <v>88.7845298224</v>
      </c>
      <c r="AF259" s="56">
        <v>88.7845298224</v>
      </c>
      <c r="AG259" s="49">
        <v>2.26</v>
      </c>
      <c r="AH259" s="56">
        <v>2.42</v>
      </c>
      <c r="AI259" s="56">
        <v>2.52</v>
      </c>
      <c r="AJ259" s="56">
        <v>2.657</v>
      </c>
      <c r="AK259" s="56">
        <v>2.832</v>
      </c>
      <c r="AL259" s="56">
        <v>3.126</v>
      </c>
      <c r="AM259" s="56">
        <v>3.645</v>
      </c>
      <c r="AN259" s="56">
        <v>4.57</v>
      </c>
      <c r="AO259" s="56">
        <v>6.492</v>
      </c>
      <c r="AP259" s="56">
        <v>6.492</v>
      </c>
      <c r="AQ259" s="49">
        <v>0.0</v>
      </c>
      <c r="AR259" s="56">
        <v>52.4</v>
      </c>
      <c r="AS259" s="56">
        <v>60.06</v>
      </c>
      <c r="AT259" s="56">
        <v>66.63</v>
      </c>
      <c r="AU259" s="56">
        <v>71.33</v>
      </c>
      <c r="AV259" s="56">
        <v>74.45</v>
      </c>
      <c r="AW259" s="56">
        <v>76.66</v>
      </c>
      <c r="AX259" s="56">
        <v>77.9</v>
      </c>
      <c r="AY259" s="56">
        <v>78.6</v>
      </c>
      <c r="AZ259" s="56">
        <v>78.6</v>
      </c>
      <c r="BA259" s="50">
        <v>1527.0</v>
      </c>
      <c r="BB259" s="57">
        <v>890.0</v>
      </c>
      <c r="BC259" s="57">
        <v>550.0</v>
      </c>
      <c r="BD259" s="57">
        <v>410.0</v>
      </c>
      <c r="BE259" s="57" t="s">
        <v>639</v>
      </c>
      <c r="BF259" s="57" t="s">
        <v>922</v>
      </c>
      <c r="BG259" s="57" t="s">
        <v>923</v>
      </c>
      <c r="BH259" s="57" t="s">
        <v>924</v>
      </c>
      <c r="BI259" s="57">
        <v>385.0</v>
      </c>
      <c r="BJ259" s="57">
        <v>460.0</v>
      </c>
      <c r="BK259" s="57">
        <v>490.0</v>
      </c>
      <c r="BL259" s="57">
        <v>500.0</v>
      </c>
      <c r="BM259" s="57">
        <v>610.0</v>
      </c>
      <c r="BN259" s="57">
        <v>200.0</v>
      </c>
      <c r="BO259" s="57">
        <v>60.0</v>
      </c>
      <c r="BP259" s="57" t="s">
        <v>925</v>
      </c>
      <c r="BQ259" s="57" t="s">
        <v>926</v>
      </c>
      <c r="BR259" s="58">
        <v>25.0</v>
      </c>
      <c r="BS259" s="59" t="s">
        <v>927</v>
      </c>
      <c r="BT259" s="59" t="s">
        <v>927</v>
      </c>
      <c r="BU259" s="58">
        <v>90.0</v>
      </c>
      <c r="BV259" s="47">
        <f>IFERROR(__xludf.DUMMYFUNCTION("IFERROR(INDEX(motors!E:E, MATCH(1, (motors!A:A=REGEXEXTRACT(A259,""^\S+""))*(motors!B:B=BU259), 0)), """")"),159.9)</f>
        <v>159.9</v>
      </c>
      <c r="BW259" s="47">
        <f>IFERROR(__xludf.DUMMYFUNCTION("IFERROR(INDEX(motors!F:F, MATCH(1, (motors!A:A=REGEXEXTRACT(A259,""^\S+""))*(motors!B:B=BU259), 0)), """")"),92.1)</f>
        <v>92.1</v>
      </c>
      <c r="BX259" s="57">
        <v>2.0</v>
      </c>
      <c r="BY259" s="58">
        <v>830.0</v>
      </c>
      <c r="BZ259" s="59" t="s">
        <v>1026</v>
      </c>
      <c r="CA259" s="53" t="str">
        <f>IFERROR(__xludf.DUMMYFUNCTION("IFERROR(REGEXEXTRACT(BZ259, ""(?i)[A-Z]+-D-E-([^-]+)-E""), """")"),"HUBE")</f>
        <v>HUBE</v>
      </c>
    </row>
    <row r="260" ht="11.25" customHeight="1">
      <c r="A260" s="45" t="s">
        <v>1027</v>
      </c>
      <c r="B260" s="46">
        <v>7.4127715E7</v>
      </c>
      <c r="C260" s="47">
        <v>0.0</v>
      </c>
      <c r="D260" s="47">
        <v>100.0</v>
      </c>
      <c r="E260" s="47">
        <v>120.0</v>
      </c>
      <c r="F260" s="47">
        <v>140.0</v>
      </c>
      <c r="G260" s="47">
        <v>160.0</v>
      </c>
      <c r="H260" s="47">
        <v>180.0</v>
      </c>
      <c r="I260" s="47">
        <v>200.0</v>
      </c>
      <c r="J260" s="47">
        <v>220.0</v>
      </c>
      <c r="K260" s="47">
        <v>240.0</v>
      </c>
      <c r="L260" s="47">
        <v>240.0</v>
      </c>
      <c r="M260" s="48">
        <v>146.5989506151</v>
      </c>
      <c r="N260" s="47">
        <v>138.6356250351</v>
      </c>
      <c r="O260" s="47">
        <v>135.6292975191</v>
      </c>
      <c r="P260" s="47">
        <v>132.21804200309998</v>
      </c>
      <c r="Q260" s="47">
        <v>128.2858856871</v>
      </c>
      <c r="R260" s="47">
        <v>123.64466377109999</v>
      </c>
      <c r="S260" s="47">
        <v>118.03401945509998</v>
      </c>
      <c r="T260" s="47">
        <v>111.12140393909999</v>
      </c>
      <c r="U260" s="47">
        <v>102.5020764231</v>
      </c>
      <c r="V260" s="47">
        <v>102.5020764231</v>
      </c>
      <c r="W260" s="49">
        <f>W247*2+W248*2</f>
        <v>61.00034108</v>
      </c>
      <c r="X260" s="47">
        <v>73.1776534554</v>
      </c>
      <c r="Y260" s="47">
        <v>76.5302327314</v>
      </c>
      <c r="Z260" s="47">
        <v>80.11809200740001</v>
      </c>
      <c r="AA260" s="47">
        <v>83.8035288834</v>
      </c>
      <c r="AB260" s="47">
        <v>87.3950809594</v>
      </c>
      <c r="AC260" s="47">
        <v>90.64752583539999</v>
      </c>
      <c r="AD260" s="47">
        <v>93.26188111140002</v>
      </c>
      <c r="AE260" s="47">
        <v>94.8854043874</v>
      </c>
      <c r="AF260" s="47">
        <v>94.8854043874</v>
      </c>
      <c r="AG260" s="49">
        <v>2.26</v>
      </c>
      <c r="AH260" s="47">
        <v>2.42</v>
      </c>
      <c r="AI260" s="47">
        <v>2.52</v>
      </c>
      <c r="AJ260" s="47">
        <v>2.657</v>
      </c>
      <c r="AK260" s="47">
        <v>2.832</v>
      </c>
      <c r="AL260" s="47">
        <v>3.126</v>
      </c>
      <c r="AM260" s="47">
        <v>3.645</v>
      </c>
      <c r="AN260" s="47">
        <v>4.57</v>
      </c>
      <c r="AO260" s="47">
        <v>6.492</v>
      </c>
      <c r="AP260" s="47">
        <v>6.492</v>
      </c>
      <c r="AQ260" s="49">
        <v>0.0</v>
      </c>
      <c r="AR260" s="47">
        <v>52.4</v>
      </c>
      <c r="AS260" s="47">
        <v>60.06</v>
      </c>
      <c r="AT260" s="47">
        <v>66.63</v>
      </c>
      <c r="AU260" s="47">
        <v>71.33</v>
      </c>
      <c r="AV260" s="47">
        <v>74.45</v>
      </c>
      <c r="AW260" s="47">
        <v>76.66</v>
      </c>
      <c r="AX260" s="47">
        <v>77.9</v>
      </c>
      <c r="AY260" s="47">
        <v>78.6</v>
      </c>
      <c r="AZ260" s="47">
        <v>78.6</v>
      </c>
      <c r="BA260" s="50">
        <v>1527.0</v>
      </c>
      <c r="BB260" s="51">
        <v>1140.0</v>
      </c>
      <c r="BC260" s="51">
        <v>645.0</v>
      </c>
      <c r="BD260" s="51">
        <v>540.0</v>
      </c>
      <c r="BE260" s="51" t="s">
        <v>639</v>
      </c>
      <c r="BF260" s="51" t="s">
        <v>922</v>
      </c>
      <c r="BG260" s="51" t="s">
        <v>923</v>
      </c>
      <c r="BH260" s="51" t="s">
        <v>924</v>
      </c>
      <c r="BI260" s="51">
        <v>385.0</v>
      </c>
      <c r="BJ260" s="51">
        <v>460.0</v>
      </c>
      <c r="BK260" s="51">
        <v>490.0</v>
      </c>
      <c r="BL260" s="51">
        <v>500.0</v>
      </c>
      <c r="BM260" s="51">
        <v>610.0</v>
      </c>
      <c r="BN260" s="51">
        <v>200.0</v>
      </c>
      <c r="BO260" s="51">
        <v>60.0</v>
      </c>
      <c r="BP260" s="51" t="s">
        <v>925</v>
      </c>
      <c r="BQ260" s="51" t="s">
        <v>926</v>
      </c>
      <c r="BR260" s="52">
        <v>25.0</v>
      </c>
      <c r="BS260" s="53" t="s">
        <v>927</v>
      </c>
      <c r="BT260" s="53" t="s">
        <v>927</v>
      </c>
      <c r="BU260" s="52">
        <v>110.0</v>
      </c>
      <c r="BV260" s="47">
        <f>IFERROR(__xludf.DUMMYFUNCTION("IFERROR(INDEX(motors!E:E, MATCH(1, (motors!A:A=REGEXEXTRACT(A260,""^\S+""))*(motors!B:B=BU260), 0)), """")"),195.1)</f>
        <v>195.1</v>
      </c>
      <c r="BW260" s="47">
        <f>IFERROR(__xludf.DUMMYFUNCTION("IFERROR(INDEX(motors!F:F, MATCH(1, (motors!A:A=REGEXEXTRACT(A260,""^\S+""))*(motors!B:B=BU260), 0)), """")"),112.3)</f>
        <v>112.3</v>
      </c>
      <c r="BX260" s="51">
        <v>2.0</v>
      </c>
      <c r="BY260" s="52">
        <v>1180.0</v>
      </c>
      <c r="BZ260" s="53" t="s">
        <v>1028</v>
      </c>
      <c r="CA260" s="53" t="str">
        <f>IFERROR(__xludf.DUMMYFUNCTION("IFERROR(REGEXEXTRACT(BZ260, ""(?i)[A-Z]+-D-E-([^-]+)-E""), """")"),"HUBE")</f>
        <v>HUBE</v>
      </c>
    </row>
    <row r="261" ht="11.25" customHeight="1">
      <c r="A261" s="54" t="s">
        <v>1029</v>
      </c>
      <c r="B261" s="55">
        <v>7.4127716E7</v>
      </c>
      <c r="C261" s="56">
        <v>0.0</v>
      </c>
      <c r="D261" s="56">
        <v>100.0</v>
      </c>
      <c r="E261" s="56">
        <v>120.0</v>
      </c>
      <c r="F261" s="56">
        <v>140.0</v>
      </c>
      <c r="G261" s="56">
        <v>160.0</v>
      </c>
      <c r="H261" s="56">
        <v>180.0</v>
      </c>
      <c r="I261" s="56">
        <v>200.0</v>
      </c>
      <c r="J261" s="56">
        <v>220.0</v>
      </c>
      <c r="K261" s="56">
        <v>240.0</v>
      </c>
      <c r="L261" s="56">
        <v>240.0</v>
      </c>
      <c r="M261" s="48">
        <v>156.3951575459</v>
      </c>
      <c r="N261" s="56">
        <v>148.16390676589998</v>
      </c>
      <c r="O261" s="56">
        <v>145.3743386099</v>
      </c>
      <c r="P261" s="56">
        <v>142.1639604539</v>
      </c>
      <c r="Q261" s="56">
        <v>138.3997882979</v>
      </c>
      <c r="R261" s="56">
        <v>133.89085414189998</v>
      </c>
      <c r="S261" s="56">
        <v>128.3882059859</v>
      </c>
      <c r="T261" s="56">
        <v>121.5849078299</v>
      </c>
      <c r="U261" s="56">
        <v>113.1160396739</v>
      </c>
      <c r="V261" s="56">
        <v>113.1160396739</v>
      </c>
      <c r="W261" s="49">
        <f>W247+W248*3</f>
        <v>65.86237802</v>
      </c>
      <c r="X261" s="56">
        <v>79.1680713329</v>
      </c>
      <c r="Y261" s="56">
        <v>82.93313895490002</v>
      </c>
      <c r="Z261" s="56">
        <v>86.87954609690001</v>
      </c>
      <c r="AA261" s="56">
        <v>90.84128955890002</v>
      </c>
      <c r="AB261" s="56">
        <v>94.6093581409</v>
      </c>
      <c r="AC261" s="56">
        <v>97.93173264289999</v>
      </c>
      <c r="AD261" s="56">
        <v>100.5133858649</v>
      </c>
      <c r="AE261" s="56">
        <v>102.0162826069</v>
      </c>
      <c r="AF261" s="56">
        <v>102.0162826069</v>
      </c>
      <c r="AG261" s="49">
        <v>2.26</v>
      </c>
      <c r="AH261" s="56">
        <v>2.42</v>
      </c>
      <c r="AI261" s="56">
        <v>2.52</v>
      </c>
      <c r="AJ261" s="56">
        <v>2.657</v>
      </c>
      <c r="AK261" s="56">
        <v>2.832</v>
      </c>
      <c r="AL261" s="56">
        <v>3.126</v>
      </c>
      <c r="AM261" s="56">
        <v>3.645</v>
      </c>
      <c r="AN261" s="56">
        <v>4.57</v>
      </c>
      <c r="AO261" s="56">
        <v>6.492</v>
      </c>
      <c r="AP261" s="56">
        <v>6.492</v>
      </c>
      <c r="AQ261" s="49">
        <v>0.0</v>
      </c>
      <c r="AR261" s="56">
        <v>52.4</v>
      </c>
      <c r="AS261" s="56">
        <v>60.06</v>
      </c>
      <c r="AT261" s="56">
        <v>66.63</v>
      </c>
      <c r="AU261" s="56">
        <v>71.33</v>
      </c>
      <c r="AV261" s="56">
        <v>74.45</v>
      </c>
      <c r="AW261" s="56">
        <v>76.66</v>
      </c>
      <c r="AX261" s="56">
        <v>77.9</v>
      </c>
      <c r="AY261" s="56">
        <v>78.6</v>
      </c>
      <c r="AZ261" s="56">
        <v>78.6</v>
      </c>
      <c r="BA261" s="50">
        <v>1527.0</v>
      </c>
      <c r="BB261" s="57">
        <v>1140.0</v>
      </c>
      <c r="BC261" s="57">
        <v>645.0</v>
      </c>
      <c r="BD261" s="57">
        <v>540.0</v>
      </c>
      <c r="BE261" s="57" t="s">
        <v>639</v>
      </c>
      <c r="BF261" s="57" t="s">
        <v>922</v>
      </c>
      <c r="BG261" s="57" t="s">
        <v>923</v>
      </c>
      <c r="BH261" s="57" t="s">
        <v>924</v>
      </c>
      <c r="BI261" s="57">
        <v>385.0</v>
      </c>
      <c r="BJ261" s="57">
        <v>460.0</v>
      </c>
      <c r="BK261" s="57">
        <v>490.0</v>
      </c>
      <c r="BL261" s="57">
        <v>500.0</v>
      </c>
      <c r="BM261" s="57">
        <v>610.0</v>
      </c>
      <c r="BN261" s="57">
        <v>200.0</v>
      </c>
      <c r="BO261" s="57">
        <v>60.0</v>
      </c>
      <c r="BP261" s="57" t="s">
        <v>925</v>
      </c>
      <c r="BQ261" s="57" t="s">
        <v>926</v>
      </c>
      <c r="BR261" s="58">
        <v>25.0</v>
      </c>
      <c r="BS261" s="59" t="s">
        <v>927</v>
      </c>
      <c r="BT261" s="59" t="s">
        <v>927</v>
      </c>
      <c r="BU261" s="58">
        <v>110.0</v>
      </c>
      <c r="BV261" s="47">
        <f>IFERROR(__xludf.DUMMYFUNCTION("IFERROR(INDEX(motors!E:E, MATCH(1, (motors!A:A=REGEXEXTRACT(A261,""^\S+""))*(motors!B:B=BU261), 0)), """")"),195.1)</f>
        <v>195.1</v>
      </c>
      <c r="BW261" s="47">
        <f>IFERROR(__xludf.DUMMYFUNCTION("IFERROR(INDEX(motors!F:F, MATCH(1, (motors!A:A=REGEXEXTRACT(A261,""^\S+""))*(motors!B:B=BU261), 0)), """")"),112.3)</f>
        <v>112.3</v>
      </c>
      <c r="BX261" s="57">
        <v>2.0</v>
      </c>
      <c r="BY261" s="58">
        <v>1180.0</v>
      </c>
      <c r="BZ261" s="59" t="s">
        <v>1030</v>
      </c>
      <c r="CA261" s="53" t="str">
        <f>IFERROR(__xludf.DUMMYFUNCTION("IFERROR(REGEXEXTRACT(BZ261, ""(?i)[A-Z]+-D-E-([^-]+)-E""), """")"),"HUBE")</f>
        <v>HUBE</v>
      </c>
    </row>
    <row r="262" ht="11.25" customHeight="1">
      <c r="A262" s="46" t="s">
        <v>1031</v>
      </c>
      <c r="B262" s="46">
        <v>7.4127717E7</v>
      </c>
      <c r="C262" s="47">
        <v>0.0</v>
      </c>
      <c r="D262" s="47">
        <v>100.0</v>
      </c>
      <c r="E262" s="47">
        <v>120.0</v>
      </c>
      <c r="F262" s="47">
        <v>140.0</v>
      </c>
      <c r="G262" s="47">
        <v>160.0</v>
      </c>
      <c r="H262" s="47">
        <v>180.0</v>
      </c>
      <c r="I262" s="47">
        <v>200.0</v>
      </c>
      <c r="J262" s="47">
        <v>220.0</v>
      </c>
      <c r="K262" s="47">
        <v>240.0</v>
      </c>
      <c r="L262" s="47">
        <v>240.0</v>
      </c>
      <c r="M262" s="48">
        <v>165.8701280128</v>
      </c>
      <c r="N262" s="47">
        <v>157.83328593279998</v>
      </c>
      <c r="O262" s="47">
        <v>155.1704479168</v>
      </c>
      <c r="P262" s="47">
        <v>152.0297531008</v>
      </c>
      <c r="Q262" s="47">
        <v>148.28576308479998</v>
      </c>
      <c r="R262" s="47">
        <v>143.7773274688</v>
      </c>
      <c r="S262" s="47">
        <v>138.3075838528</v>
      </c>
      <c r="T262" s="47">
        <v>131.64395783679998</v>
      </c>
      <c r="U262" s="47">
        <v>123.51816302079999</v>
      </c>
      <c r="V262" s="47">
        <v>123.51816302079999</v>
      </c>
      <c r="W262" s="49">
        <f>W248*4</f>
        <v>70.72441497</v>
      </c>
      <c r="X262" s="47">
        <v>85.1584892104</v>
      </c>
      <c r="Y262" s="47">
        <v>89.33604517840001</v>
      </c>
      <c r="Z262" s="47">
        <v>93.6410001864</v>
      </c>
      <c r="AA262" s="47">
        <v>97.87905023440001</v>
      </c>
      <c r="AB262" s="47">
        <v>101.82363532240001</v>
      </c>
      <c r="AC262" s="47">
        <v>105.2159394504</v>
      </c>
      <c r="AD262" s="47">
        <v>107.76489061840002</v>
      </c>
      <c r="AE262" s="47">
        <v>109.14716082640001</v>
      </c>
      <c r="AF262" s="47">
        <v>109.14716082640001</v>
      </c>
      <c r="AG262" s="49">
        <v>2.26</v>
      </c>
      <c r="AH262" s="47">
        <v>2.42</v>
      </c>
      <c r="AI262" s="47">
        <v>2.52</v>
      </c>
      <c r="AJ262" s="47">
        <v>2.657</v>
      </c>
      <c r="AK262" s="47">
        <v>2.832</v>
      </c>
      <c r="AL262" s="47">
        <v>3.126</v>
      </c>
      <c r="AM262" s="47">
        <v>3.645</v>
      </c>
      <c r="AN262" s="47">
        <v>4.57</v>
      </c>
      <c r="AO262" s="47">
        <v>6.492</v>
      </c>
      <c r="AP262" s="47">
        <v>6.492</v>
      </c>
      <c r="AQ262" s="49">
        <v>0.0</v>
      </c>
      <c r="AR262" s="47">
        <v>52.4</v>
      </c>
      <c r="AS262" s="47">
        <v>60.06</v>
      </c>
      <c r="AT262" s="47">
        <v>66.63</v>
      </c>
      <c r="AU262" s="47">
        <v>71.33</v>
      </c>
      <c r="AV262" s="47">
        <v>74.45</v>
      </c>
      <c r="AW262" s="47">
        <v>76.66</v>
      </c>
      <c r="AX262" s="47">
        <v>77.9</v>
      </c>
      <c r="AY262" s="47">
        <v>78.6</v>
      </c>
      <c r="AZ262" s="47">
        <v>78.6</v>
      </c>
      <c r="BA262" s="50">
        <v>1527.0</v>
      </c>
      <c r="BB262" s="51">
        <v>1140.0</v>
      </c>
      <c r="BC262" s="51">
        <v>645.0</v>
      </c>
      <c r="BD262" s="51">
        <v>540.0</v>
      </c>
      <c r="BE262" s="51" t="s">
        <v>639</v>
      </c>
      <c r="BF262" s="51" t="s">
        <v>922</v>
      </c>
      <c r="BG262" s="51" t="s">
        <v>923</v>
      </c>
      <c r="BH262" s="51" t="s">
        <v>924</v>
      </c>
      <c r="BI262" s="51">
        <v>385.0</v>
      </c>
      <c r="BJ262" s="51">
        <v>460.0</v>
      </c>
      <c r="BK262" s="51">
        <v>490.0</v>
      </c>
      <c r="BL262" s="51">
        <v>500.0</v>
      </c>
      <c r="BM262" s="51">
        <v>610.0</v>
      </c>
      <c r="BN262" s="51">
        <v>200.0</v>
      </c>
      <c r="BO262" s="51">
        <v>60.0</v>
      </c>
      <c r="BP262" s="51" t="s">
        <v>925</v>
      </c>
      <c r="BQ262" s="51" t="s">
        <v>926</v>
      </c>
      <c r="BR262" s="52">
        <v>25.0</v>
      </c>
      <c r="BS262" s="53" t="s">
        <v>927</v>
      </c>
      <c r="BT262" s="53" t="s">
        <v>927</v>
      </c>
      <c r="BU262" s="52">
        <v>110.0</v>
      </c>
      <c r="BV262" s="47">
        <f>IFERROR(__xludf.DUMMYFUNCTION("IFERROR(INDEX(motors!E:E, MATCH(1, (motors!A:A=REGEXEXTRACT(A262,""^\S+""))*(motors!B:B=BU262), 0)), """")"),195.1)</f>
        <v>195.1</v>
      </c>
      <c r="BW262" s="47">
        <f>IFERROR(__xludf.DUMMYFUNCTION("IFERROR(INDEX(motors!F:F, MATCH(1, (motors!A:A=REGEXEXTRACT(A262,""^\S+""))*(motors!B:B=BU262), 0)), """")"),112.3)</f>
        <v>112.3</v>
      </c>
      <c r="BX262" s="51">
        <v>2.0</v>
      </c>
      <c r="BY262" s="52">
        <v>1180.0</v>
      </c>
      <c r="BZ262" s="53" t="s">
        <v>1032</v>
      </c>
      <c r="CA262" s="53" t="str">
        <f>IFERROR(__xludf.DUMMYFUNCTION("IFERROR(REGEXEXTRACT(BZ262, ""(?i)[A-Z]+-D-E-([^-]+)-E""), """")"),"HUBE")</f>
        <v>HUBE</v>
      </c>
    </row>
    <row r="263" ht="11.25" customHeight="1">
      <c r="A263" s="55"/>
      <c r="B263" s="55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48"/>
      <c r="N263" s="56"/>
      <c r="O263" s="56"/>
      <c r="P263" s="56"/>
      <c r="Q263" s="56"/>
      <c r="R263" s="56"/>
      <c r="S263" s="56"/>
      <c r="T263" s="56"/>
      <c r="U263" s="56"/>
      <c r="V263" s="56"/>
      <c r="W263" s="49"/>
      <c r="X263" s="56"/>
      <c r="Y263" s="56"/>
      <c r="Z263" s="56"/>
      <c r="AA263" s="56"/>
      <c r="AB263" s="56"/>
      <c r="AC263" s="56"/>
      <c r="AD263" s="56"/>
      <c r="AE263" s="56"/>
      <c r="AF263" s="56"/>
      <c r="AG263" s="49"/>
      <c r="AH263" s="56"/>
      <c r="AI263" s="56"/>
      <c r="AJ263" s="56"/>
      <c r="AK263" s="56"/>
      <c r="AL263" s="56"/>
      <c r="AM263" s="56"/>
      <c r="AN263" s="56"/>
      <c r="AO263" s="56"/>
      <c r="AP263" s="56"/>
      <c r="AQ263" s="49"/>
      <c r="AR263" s="56"/>
      <c r="AS263" s="56"/>
      <c r="AT263" s="56"/>
      <c r="AU263" s="56"/>
      <c r="AV263" s="56"/>
      <c r="AW263" s="56"/>
      <c r="AX263" s="56"/>
      <c r="AY263" s="56"/>
      <c r="AZ263" s="56"/>
      <c r="BA263" s="50"/>
      <c r="BB263" s="57"/>
      <c r="BC263" s="57"/>
      <c r="BD263" s="57"/>
      <c r="BE263" s="57"/>
      <c r="BF263" s="57"/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  <c r="BQ263" s="57"/>
      <c r="BR263" s="59"/>
      <c r="BS263" s="59"/>
      <c r="BT263" s="59"/>
      <c r="BU263" s="59"/>
      <c r="BV263" s="47" t="str">
        <f>IFERROR(__xludf.DUMMYFUNCTION("IFERROR(INDEX(motors!E:E, MATCH(1, (motors!A:A=REGEXEXTRACT(A263,""^\S+""))*(motors!B:B=BU263), 0)), """")"),"")</f>
        <v/>
      </c>
      <c r="BW263" s="47" t="str">
        <f>IFERROR(__xludf.DUMMYFUNCTION("IFERROR(INDEX(motors!F:F, MATCH(1, (motors!A:A=REGEXEXTRACT(A263,""^\S+""))*(motors!B:B=BU263), 0)), """")"),"")</f>
        <v/>
      </c>
      <c r="BX263" s="57"/>
      <c r="BY263" s="59"/>
      <c r="BZ263" s="59"/>
      <c r="CA263" s="53" t="str">
        <f>IFERROR(__xludf.DUMMYFUNCTION("IFERROR(REGEXEXTRACT(BZ263, ""(?i)[A-Z]+-D-E-([^-]+)-E""), """")"),"")</f>
        <v/>
      </c>
    </row>
    <row r="264" ht="11.25" customHeight="1">
      <c r="A264" s="46" t="s">
        <v>1033</v>
      </c>
      <c r="B264" s="46" t="s">
        <v>76</v>
      </c>
      <c r="C264" s="47">
        <v>0.0</v>
      </c>
      <c r="D264" s="47">
        <v>200.0</v>
      </c>
      <c r="E264" s="47">
        <v>240.0</v>
      </c>
      <c r="F264" s="47">
        <v>260.0</v>
      </c>
      <c r="G264" s="47">
        <v>280.0</v>
      </c>
      <c r="H264" s="47">
        <v>300.0</v>
      </c>
      <c r="I264" s="47">
        <v>320.0</v>
      </c>
      <c r="J264" s="47">
        <v>340.0</v>
      </c>
      <c r="K264" s="47">
        <v>360.0</v>
      </c>
      <c r="L264" s="47">
        <v>360.0</v>
      </c>
      <c r="M264" s="48">
        <v>36.8</v>
      </c>
      <c r="N264" s="47">
        <v>30.3</v>
      </c>
      <c r="O264" s="47">
        <v>27.8</v>
      </c>
      <c r="P264" s="47">
        <v>25.85</v>
      </c>
      <c r="Q264" s="47">
        <v>23.7</v>
      </c>
      <c r="R264" s="47">
        <v>21.18</v>
      </c>
      <c r="S264" s="47">
        <v>18.17</v>
      </c>
      <c r="T264" s="47">
        <v>14.0</v>
      </c>
      <c r="U264" s="47">
        <v>6.4</v>
      </c>
      <c r="V264" s="47">
        <v>6.4</v>
      </c>
      <c r="W264" s="49">
        <v>9.433</v>
      </c>
      <c r="X264" s="47">
        <v>21.974</v>
      </c>
      <c r="Y264" s="47">
        <v>23.5</v>
      </c>
      <c r="Z264" s="47">
        <v>24.142</v>
      </c>
      <c r="AA264" s="47">
        <v>24.704</v>
      </c>
      <c r="AB264" s="47">
        <v>25.186</v>
      </c>
      <c r="AC264" s="47">
        <v>25.588</v>
      </c>
      <c r="AD264" s="47">
        <v>25.911</v>
      </c>
      <c r="AE264" s="47">
        <v>26.153</v>
      </c>
      <c r="AF264" s="47">
        <v>26.153</v>
      </c>
      <c r="AG264" s="49">
        <v>2.34</v>
      </c>
      <c r="AH264" s="47">
        <v>2.5</v>
      </c>
      <c r="AI264" s="47">
        <v>2.621</v>
      </c>
      <c r="AJ264" s="47">
        <v>2.779</v>
      </c>
      <c r="AK264" s="47">
        <v>3.076</v>
      </c>
      <c r="AL264" s="47">
        <v>3.581</v>
      </c>
      <c r="AM264" s="47">
        <v>4.404</v>
      </c>
      <c r="AN264" s="47">
        <v>5.755</v>
      </c>
      <c r="AO264" s="47">
        <v>8.205</v>
      </c>
      <c r="AP264" s="47">
        <v>8.205</v>
      </c>
      <c r="AQ264" s="49">
        <v>0.0</v>
      </c>
      <c r="AR264" s="47">
        <v>61.29</v>
      </c>
      <c r="AS264" s="47">
        <v>67.29</v>
      </c>
      <c r="AT264" s="47">
        <v>69.19</v>
      </c>
      <c r="AU264" s="47">
        <v>70.7</v>
      </c>
      <c r="AV264" s="47">
        <v>71.81</v>
      </c>
      <c r="AW264" s="47">
        <v>72.53</v>
      </c>
      <c r="AX264" s="47">
        <v>72.86</v>
      </c>
      <c r="AY264" s="47">
        <v>72.79</v>
      </c>
      <c r="AZ264" s="47">
        <v>72.79</v>
      </c>
      <c r="BA264" s="50">
        <v>915.0</v>
      </c>
      <c r="BB264" s="51">
        <v>653.0</v>
      </c>
      <c r="BC264" s="51">
        <v>395.0</v>
      </c>
      <c r="BD264" s="51">
        <v>304.0</v>
      </c>
      <c r="BE264" s="51" t="s">
        <v>639</v>
      </c>
      <c r="BF264" s="51" t="s">
        <v>922</v>
      </c>
      <c r="BG264" s="51" t="s">
        <v>923</v>
      </c>
      <c r="BH264" s="51" t="s">
        <v>924</v>
      </c>
      <c r="BI264" s="51">
        <v>385.0</v>
      </c>
      <c r="BJ264" s="51">
        <v>460.0</v>
      </c>
      <c r="BK264" s="51">
        <v>490.0</v>
      </c>
      <c r="BL264" s="51">
        <v>500.0</v>
      </c>
      <c r="BM264" s="51">
        <v>610.0</v>
      </c>
      <c r="BN264" s="51">
        <v>200.0</v>
      </c>
      <c r="BO264" s="51">
        <v>60.0</v>
      </c>
      <c r="BP264" s="51" t="s">
        <v>925</v>
      </c>
      <c r="BQ264" s="51" t="s">
        <v>926</v>
      </c>
      <c r="BR264" s="52">
        <v>25.0</v>
      </c>
      <c r="BS264" s="53" t="s">
        <v>927</v>
      </c>
      <c r="BT264" s="53" t="s">
        <v>927</v>
      </c>
      <c r="BU264" s="52">
        <v>30.0</v>
      </c>
      <c r="BV264" s="47">
        <f>IFERROR(__xludf.DUMMYFUNCTION("IFERROR(INDEX(motors!E:E, MATCH(1, (motors!A:A=REGEXEXTRACT(A264,""^\S+""))*(motors!B:B=BU264), 0)), """")"),54.9)</f>
        <v>54.9</v>
      </c>
      <c r="BW264" s="47">
        <f>IFERROR(__xludf.DUMMYFUNCTION("IFERROR(INDEX(motors!F:F, MATCH(1, (motors!A:A=REGEXEXTRACT(A264,""^\S+""))*(motors!B:B=BU264), 0)), """")"),31.6)</f>
        <v>31.6</v>
      </c>
      <c r="BX264" s="51">
        <v>2.0</v>
      </c>
      <c r="BY264" s="53" t="s">
        <v>1034</v>
      </c>
      <c r="BZ264" s="53" t="s">
        <v>1035</v>
      </c>
      <c r="CA264" s="53" t="str">
        <f>IFERROR(__xludf.DUMMYFUNCTION("IFERROR(REGEXEXTRACT(BZ264, ""(?i)[A-Z]+-D-E-([^-]+)-E""), """")"),"HUBE")</f>
        <v>HUBE</v>
      </c>
    </row>
    <row r="265" ht="11.25" customHeight="1">
      <c r="A265" s="55" t="s">
        <v>1036</v>
      </c>
      <c r="B265" s="55" t="s">
        <v>76</v>
      </c>
      <c r="C265" s="56">
        <v>0.0</v>
      </c>
      <c r="D265" s="56">
        <v>200.0</v>
      </c>
      <c r="E265" s="56">
        <v>240.0</v>
      </c>
      <c r="F265" s="56">
        <v>260.0</v>
      </c>
      <c r="G265" s="56">
        <v>280.0</v>
      </c>
      <c r="H265" s="56">
        <v>300.0</v>
      </c>
      <c r="I265" s="56">
        <v>320.0</v>
      </c>
      <c r="J265" s="56">
        <v>340.0</v>
      </c>
      <c r="K265" s="56">
        <v>360.0</v>
      </c>
      <c r="L265" s="56">
        <v>360.0</v>
      </c>
      <c r="M265" s="48">
        <v>46.38</v>
      </c>
      <c r="N265" s="56">
        <v>38.5</v>
      </c>
      <c r="O265" s="56">
        <v>35.2</v>
      </c>
      <c r="P265" s="56">
        <v>33.05</v>
      </c>
      <c r="Q265" s="56">
        <v>30.38</v>
      </c>
      <c r="R265" s="56">
        <v>27.52</v>
      </c>
      <c r="S265" s="56">
        <v>24.04</v>
      </c>
      <c r="T265" s="56">
        <v>19.1</v>
      </c>
      <c r="U265" s="56">
        <v>10.42</v>
      </c>
      <c r="V265" s="56">
        <v>10.42</v>
      </c>
      <c r="W265" s="49">
        <v>18.236</v>
      </c>
      <c r="X265" s="56">
        <v>34.616</v>
      </c>
      <c r="Y265" s="56">
        <v>36.907</v>
      </c>
      <c r="Z265" s="56">
        <v>37.934</v>
      </c>
      <c r="AA265" s="56">
        <v>38.883</v>
      </c>
      <c r="AB265" s="56">
        <v>39.754</v>
      </c>
      <c r="AC265" s="56">
        <v>40.547</v>
      </c>
      <c r="AD265" s="56">
        <v>41.263</v>
      </c>
      <c r="AE265" s="56">
        <v>41.9</v>
      </c>
      <c r="AF265" s="56">
        <v>41.9</v>
      </c>
      <c r="AG265" s="49">
        <v>2.34</v>
      </c>
      <c r="AH265" s="56">
        <v>2.5</v>
      </c>
      <c r="AI265" s="56">
        <v>2.621</v>
      </c>
      <c r="AJ265" s="56">
        <v>2.779</v>
      </c>
      <c r="AK265" s="56">
        <v>3.076</v>
      </c>
      <c r="AL265" s="56">
        <v>3.581</v>
      </c>
      <c r="AM265" s="56">
        <v>4.404</v>
      </c>
      <c r="AN265" s="56">
        <v>5.755</v>
      </c>
      <c r="AO265" s="56">
        <v>8.205</v>
      </c>
      <c r="AP265" s="56">
        <v>8.205</v>
      </c>
      <c r="AQ265" s="49">
        <v>0.0</v>
      </c>
      <c r="AR265" s="56">
        <v>61.29</v>
      </c>
      <c r="AS265" s="56">
        <v>67.29</v>
      </c>
      <c r="AT265" s="56">
        <v>69.19</v>
      </c>
      <c r="AU265" s="56">
        <v>70.7</v>
      </c>
      <c r="AV265" s="56">
        <v>71.81</v>
      </c>
      <c r="AW265" s="56">
        <v>72.53</v>
      </c>
      <c r="AX265" s="56">
        <v>72.86</v>
      </c>
      <c r="AY265" s="56">
        <v>72.79</v>
      </c>
      <c r="AZ265" s="56">
        <v>72.79</v>
      </c>
      <c r="BA265" s="50">
        <v>945.0</v>
      </c>
      <c r="BB265" s="57">
        <v>702.0</v>
      </c>
      <c r="BC265" s="57">
        <v>450.0</v>
      </c>
      <c r="BD265" s="57">
        <v>340.0</v>
      </c>
      <c r="BE265" s="57" t="s">
        <v>639</v>
      </c>
      <c r="BF265" s="57" t="s">
        <v>922</v>
      </c>
      <c r="BG265" s="57" t="s">
        <v>923</v>
      </c>
      <c r="BH265" s="57" t="s">
        <v>924</v>
      </c>
      <c r="BI265" s="57">
        <v>385.0</v>
      </c>
      <c r="BJ265" s="57">
        <v>460.0</v>
      </c>
      <c r="BK265" s="57">
        <v>490.0</v>
      </c>
      <c r="BL265" s="57">
        <v>500.0</v>
      </c>
      <c r="BM265" s="57">
        <v>610.0</v>
      </c>
      <c r="BN265" s="57">
        <v>200.0</v>
      </c>
      <c r="BO265" s="57">
        <v>60.0</v>
      </c>
      <c r="BP265" s="57" t="s">
        <v>925</v>
      </c>
      <c r="BQ265" s="57" t="s">
        <v>926</v>
      </c>
      <c r="BR265" s="58">
        <v>25.0</v>
      </c>
      <c r="BS265" s="59" t="s">
        <v>927</v>
      </c>
      <c r="BT265" s="59" t="s">
        <v>927</v>
      </c>
      <c r="BU265" s="58">
        <v>45.0</v>
      </c>
      <c r="BV265" s="47">
        <f>IFERROR(__xludf.DUMMYFUNCTION("IFERROR(INDEX(motors!E:E, MATCH(1, (motors!A:A=REGEXEXTRACT(A265,""^\S+""))*(motors!B:B=BU265), 0)), """")"),80.8)</f>
        <v>80.8</v>
      </c>
      <c r="BW265" s="47">
        <f>IFERROR(__xludf.DUMMYFUNCTION("IFERROR(INDEX(motors!F:F, MATCH(1, (motors!A:A=REGEXEXTRACT(A265,""^\S+""))*(motors!B:B=BU265), 0)), """")"),46.5)</f>
        <v>46.5</v>
      </c>
      <c r="BX265" s="57">
        <v>2.0</v>
      </c>
      <c r="BY265" s="59" t="s">
        <v>1034</v>
      </c>
      <c r="BZ265" s="59" t="s">
        <v>1037</v>
      </c>
      <c r="CA265" s="53" t="str">
        <f>IFERROR(__xludf.DUMMYFUNCTION("IFERROR(REGEXEXTRACT(BZ265, ""(?i)[A-Z]+-D-E-([^-]+)-E""), """")"),"HUBE")</f>
        <v>HUBE</v>
      </c>
    </row>
    <row r="266" ht="11.25" customHeight="1">
      <c r="A266" s="46" t="s">
        <v>1038</v>
      </c>
      <c r="B266" s="46" t="s">
        <v>76</v>
      </c>
      <c r="C266" s="47">
        <v>0.0</v>
      </c>
      <c r="D266" s="47">
        <v>200.0</v>
      </c>
      <c r="E266" s="47">
        <v>240.0</v>
      </c>
      <c r="F266" s="47">
        <v>260.0</v>
      </c>
      <c r="G266" s="47">
        <v>280.0</v>
      </c>
      <c r="H266" s="47">
        <v>300.0</v>
      </c>
      <c r="I266" s="47">
        <v>320.0</v>
      </c>
      <c r="J266" s="47">
        <v>340.0</v>
      </c>
      <c r="K266" s="47">
        <v>360.0</v>
      </c>
      <c r="L266" s="47">
        <v>360.0</v>
      </c>
      <c r="M266" s="48">
        <v>73.88</v>
      </c>
      <c r="N266" s="47">
        <v>61.3</v>
      </c>
      <c r="O266" s="47">
        <v>56.0</v>
      </c>
      <c r="P266" s="47">
        <v>51.99</v>
      </c>
      <c r="Q266" s="47">
        <v>47.8</v>
      </c>
      <c r="R266" s="47">
        <v>42.84</v>
      </c>
      <c r="S266" s="47">
        <v>36.75</v>
      </c>
      <c r="T266" s="47">
        <v>28.5</v>
      </c>
      <c r="U266" s="47">
        <v>13.51</v>
      </c>
      <c r="V266" s="47">
        <v>13.51</v>
      </c>
      <c r="W266" s="49">
        <f>W264*2</f>
        <v>18.866</v>
      </c>
      <c r="X266" s="47">
        <v>43.948</v>
      </c>
      <c r="Y266" s="47">
        <v>47.0</v>
      </c>
      <c r="Z266" s="47">
        <v>48.284</v>
      </c>
      <c r="AA266" s="47">
        <v>49.408</v>
      </c>
      <c r="AB266" s="47">
        <v>50.372</v>
      </c>
      <c r="AC266" s="47">
        <v>51.176</v>
      </c>
      <c r="AD266" s="47">
        <v>51.822</v>
      </c>
      <c r="AE266" s="47">
        <v>52.306</v>
      </c>
      <c r="AF266" s="47">
        <v>52.306</v>
      </c>
      <c r="AG266" s="49">
        <v>2.34</v>
      </c>
      <c r="AH266" s="47">
        <v>2.5</v>
      </c>
      <c r="AI266" s="47">
        <v>2.621</v>
      </c>
      <c r="AJ266" s="47">
        <v>2.779</v>
      </c>
      <c r="AK266" s="47">
        <v>3.076</v>
      </c>
      <c r="AL266" s="47">
        <v>3.581</v>
      </c>
      <c r="AM266" s="47">
        <v>4.404</v>
      </c>
      <c r="AN266" s="47">
        <v>5.755</v>
      </c>
      <c r="AO266" s="47">
        <v>8.205</v>
      </c>
      <c r="AP266" s="47">
        <v>8.205</v>
      </c>
      <c r="AQ266" s="49">
        <v>0.0</v>
      </c>
      <c r="AR266" s="47">
        <v>61.29</v>
      </c>
      <c r="AS266" s="47">
        <v>67.29</v>
      </c>
      <c r="AT266" s="47">
        <v>69.19</v>
      </c>
      <c r="AU266" s="47">
        <v>70.7</v>
      </c>
      <c r="AV266" s="47">
        <v>71.81</v>
      </c>
      <c r="AW266" s="47">
        <v>72.53</v>
      </c>
      <c r="AX266" s="47">
        <v>72.86</v>
      </c>
      <c r="AY266" s="47">
        <v>72.79</v>
      </c>
      <c r="AZ266" s="47">
        <v>72.79</v>
      </c>
      <c r="BA266" s="50">
        <v>1139.0</v>
      </c>
      <c r="BB266" s="51">
        <v>772.0</v>
      </c>
      <c r="BC266" s="51">
        <v>490.0</v>
      </c>
      <c r="BD266" s="51">
        <v>370.0</v>
      </c>
      <c r="BE266" s="51" t="s">
        <v>639</v>
      </c>
      <c r="BF266" s="51" t="s">
        <v>922</v>
      </c>
      <c r="BG266" s="51" t="s">
        <v>923</v>
      </c>
      <c r="BH266" s="51" t="s">
        <v>924</v>
      </c>
      <c r="BI266" s="51">
        <v>385.0</v>
      </c>
      <c r="BJ266" s="51">
        <v>460.0</v>
      </c>
      <c r="BK266" s="51">
        <v>490.0</v>
      </c>
      <c r="BL266" s="51">
        <v>500.0</v>
      </c>
      <c r="BM266" s="51">
        <v>610.0</v>
      </c>
      <c r="BN266" s="51">
        <v>200.0</v>
      </c>
      <c r="BO266" s="51">
        <v>60.0</v>
      </c>
      <c r="BP266" s="51" t="s">
        <v>925</v>
      </c>
      <c r="BQ266" s="51" t="s">
        <v>926</v>
      </c>
      <c r="BR266" s="52">
        <v>25.0</v>
      </c>
      <c r="BS266" s="53" t="s">
        <v>927</v>
      </c>
      <c r="BT266" s="53" t="s">
        <v>927</v>
      </c>
      <c r="BU266" s="52">
        <v>55.0</v>
      </c>
      <c r="BV266" s="47">
        <f>IFERROR(__xludf.DUMMYFUNCTION("IFERROR(INDEX(motors!E:E, MATCH(1, (motors!A:A=REGEXEXTRACT(A266,""^\S+""))*(motors!B:B=BU266), 0)), """")"),98.5)</f>
        <v>98.5</v>
      </c>
      <c r="BW266" s="47">
        <f>IFERROR(__xludf.DUMMYFUNCTION("IFERROR(INDEX(motors!F:F, MATCH(1, (motors!A:A=REGEXEXTRACT(A266,""^\S+""))*(motors!B:B=BU266), 0)), """")"),56.7)</f>
        <v>56.7</v>
      </c>
      <c r="BX266" s="51">
        <v>2.0</v>
      </c>
      <c r="BY266" s="53" t="s">
        <v>1034</v>
      </c>
      <c r="BZ266" s="53" t="s">
        <v>1039</v>
      </c>
      <c r="CA266" s="53" t="str">
        <f>IFERROR(__xludf.DUMMYFUNCTION("IFERROR(REGEXEXTRACT(BZ266, ""(?i)[A-Z]+-D-E-([^-]+)-E""), """")"),"HUBE")</f>
        <v>HUBE</v>
      </c>
    </row>
    <row r="267" ht="11.25" customHeight="1">
      <c r="A267" s="55" t="s">
        <v>1040</v>
      </c>
      <c r="B267" s="55" t="s">
        <v>76</v>
      </c>
      <c r="C267" s="56">
        <v>0.0</v>
      </c>
      <c r="D267" s="56">
        <v>200.0</v>
      </c>
      <c r="E267" s="56">
        <v>240.0</v>
      </c>
      <c r="F267" s="56">
        <v>260.0</v>
      </c>
      <c r="G267" s="56">
        <v>280.0</v>
      </c>
      <c r="H267" s="56">
        <v>300.0</v>
      </c>
      <c r="I267" s="56">
        <v>320.0</v>
      </c>
      <c r="J267" s="56">
        <v>340.0</v>
      </c>
      <c r="K267" s="56">
        <v>360.0</v>
      </c>
      <c r="L267" s="56">
        <v>360.0</v>
      </c>
      <c r="M267" s="48">
        <v>82.8</v>
      </c>
      <c r="N267" s="56">
        <v>69.0</v>
      </c>
      <c r="O267" s="56">
        <v>63.2</v>
      </c>
      <c r="P267" s="56">
        <v>58.74</v>
      </c>
      <c r="Q267" s="56">
        <v>54.18</v>
      </c>
      <c r="R267" s="56">
        <v>48.81</v>
      </c>
      <c r="S267" s="56">
        <v>42.27</v>
      </c>
      <c r="T267" s="56">
        <v>33.2</v>
      </c>
      <c r="U267" s="56">
        <v>17.29</v>
      </c>
      <c r="V267" s="56">
        <v>17.29</v>
      </c>
      <c r="W267" s="49">
        <f>W264+W265</f>
        <v>27.669</v>
      </c>
      <c r="X267" s="56">
        <v>56.59</v>
      </c>
      <c r="Y267" s="56">
        <v>60.407</v>
      </c>
      <c r="Z267" s="56">
        <v>62.07599999999999</v>
      </c>
      <c r="AA267" s="56">
        <v>63.587</v>
      </c>
      <c r="AB267" s="56">
        <v>64.94</v>
      </c>
      <c r="AC267" s="56">
        <v>66.13499999999999</v>
      </c>
      <c r="AD267" s="56">
        <v>67.174</v>
      </c>
      <c r="AE267" s="56">
        <v>68.053</v>
      </c>
      <c r="AF267" s="56">
        <v>68.053</v>
      </c>
      <c r="AG267" s="49">
        <v>2.34</v>
      </c>
      <c r="AH267" s="56">
        <v>2.5</v>
      </c>
      <c r="AI267" s="56">
        <v>2.621</v>
      </c>
      <c r="AJ267" s="56">
        <v>2.779</v>
      </c>
      <c r="AK267" s="56">
        <v>3.076</v>
      </c>
      <c r="AL267" s="56">
        <v>3.581</v>
      </c>
      <c r="AM267" s="56">
        <v>4.404</v>
      </c>
      <c r="AN267" s="56">
        <v>5.755</v>
      </c>
      <c r="AO267" s="56">
        <v>8.205</v>
      </c>
      <c r="AP267" s="56">
        <v>8.205</v>
      </c>
      <c r="AQ267" s="49">
        <v>0.0</v>
      </c>
      <c r="AR267" s="56">
        <v>61.29</v>
      </c>
      <c r="AS267" s="56">
        <v>67.29</v>
      </c>
      <c r="AT267" s="56">
        <v>69.19</v>
      </c>
      <c r="AU267" s="56">
        <v>70.7</v>
      </c>
      <c r="AV267" s="56">
        <v>71.81</v>
      </c>
      <c r="AW267" s="56">
        <v>72.53</v>
      </c>
      <c r="AX267" s="56">
        <v>72.86</v>
      </c>
      <c r="AY267" s="56">
        <v>72.79</v>
      </c>
      <c r="AZ267" s="56">
        <v>72.79</v>
      </c>
      <c r="BA267" s="50">
        <v>1139.0</v>
      </c>
      <c r="BB267" s="57">
        <v>840.0</v>
      </c>
      <c r="BC267" s="57">
        <v>550.0</v>
      </c>
      <c r="BD267" s="57">
        <v>410.0</v>
      </c>
      <c r="BE267" s="57" t="s">
        <v>639</v>
      </c>
      <c r="BF267" s="57" t="s">
        <v>922</v>
      </c>
      <c r="BG267" s="57" t="s">
        <v>923</v>
      </c>
      <c r="BH267" s="57" t="s">
        <v>924</v>
      </c>
      <c r="BI267" s="57">
        <v>385.0</v>
      </c>
      <c r="BJ267" s="57">
        <v>460.0</v>
      </c>
      <c r="BK267" s="57">
        <v>490.0</v>
      </c>
      <c r="BL267" s="57">
        <v>500.0</v>
      </c>
      <c r="BM267" s="57">
        <v>610.0</v>
      </c>
      <c r="BN267" s="57">
        <v>200.0</v>
      </c>
      <c r="BO267" s="57">
        <v>60.0</v>
      </c>
      <c r="BP267" s="57" t="s">
        <v>925</v>
      </c>
      <c r="BQ267" s="57" t="s">
        <v>926</v>
      </c>
      <c r="BR267" s="58">
        <v>25.0</v>
      </c>
      <c r="BS267" s="59" t="s">
        <v>927</v>
      </c>
      <c r="BT267" s="59" t="s">
        <v>927</v>
      </c>
      <c r="BU267" s="58">
        <v>75.0</v>
      </c>
      <c r="BV267" s="47">
        <f>IFERROR(__xludf.DUMMYFUNCTION("IFERROR(INDEX(motors!E:E, MATCH(1, (motors!A:A=REGEXEXTRACT(A267,""^\S+""))*(motors!B:B=BU267), 0)), """")"),133.7)</f>
        <v>133.7</v>
      </c>
      <c r="BW267" s="47">
        <f>IFERROR(__xludf.DUMMYFUNCTION("IFERROR(INDEX(motors!F:F, MATCH(1, (motors!A:A=REGEXEXTRACT(A267,""^\S+""))*(motors!B:B=BU267), 0)), """")"),77.0)</f>
        <v>77</v>
      </c>
      <c r="BX267" s="57">
        <v>2.0</v>
      </c>
      <c r="BY267" s="59" t="s">
        <v>1034</v>
      </c>
      <c r="BZ267" s="59" t="s">
        <v>1041</v>
      </c>
      <c r="CA267" s="53" t="str">
        <f>IFERROR(__xludf.DUMMYFUNCTION("IFERROR(REGEXEXTRACT(BZ267, ""(?i)[A-Z]+-D-E-([^-]+)-E""), """")"),"HUBE")</f>
        <v>HUBE</v>
      </c>
    </row>
    <row r="268" ht="11.25" customHeight="1">
      <c r="A268" s="46" t="s">
        <v>1042</v>
      </c>
      <c r="B268" s="46" t="s">
        <v>76</v>
      </c>
      <c r="C268" s="47">
        <v>0.0</v>
      </c>
      <c r="D268" s="47">
        <v>200.0</v>
      </c>
      <c r="E268" s="47">
        <v>240.0</v>
      </c>
      <c r="F268" s="47">
        <v>260.0</v>
      </c>
      <c r="G268" s="47">
        <v>280.0</v>
      </c>
      <c r="H268" s="47">
        <v>300.0</v>
      </c>
      <c r="I268" s="47">
        <v>320.0</v>
      </c>
      <c r="J268" s="47">
        <v>340.0</v>
      </c>
      <c r="K268" s="47">
        <v>360.0</v>
      </c>
      <c r="L268" s="47">
        <v>360.0</v>
      </c>
      <c r="M268" s="48">
        <v>92.94</v>
      </c>
      <c r="N268" s="47">
        <v>77.6</v>
      </c>
      <c r="O268" s="47">
        <v>70.7</v>
      </c>
      <c r="P268" s="47">
        <v>65.9</v>
      </c>
      <c r="Q268" s="47">
        <v>60.85</v>
      </c>
      <c r="R268" s="47">
        <v>54.97</v>
      </c>
      <c r="S268" s="47">
        <v>47.92</v>
      </c>
      <c r="T268" s="47">
        <v>38.5</v>
      </c>
      <c r="U268" s="47">
        <v>21.82</v>
      </c>
      <c r="V268" s="47">
        <v>21.82</v>
      </c>
      <c r="W268" s="49">
        <f>W265*2</f>
        <v>36.472</v>
      </c>
      <c r="X268" s="47">
        <v>69.232</v>
      </c>
      <c r="Y268" s="47">
        <v>73.814</v>
      </c>
      <c r="Z268" s="47">
        <v>75.868</v>
      </c>
      <c r="AA268" s="47">
        <v>77.766</v>
      </c>
      <c r="AB268" s="47">
        <v>79.508</v>
      </c>
      <c r="AC268" s="47">
        <v>81.094</v>
      </c>
      <c r="AD268" s="47">
        <v>82.526</v>
      </c>
      <c r="AE268" s="47">
        <v>83.8</v>
      </c>
      <c r="AF268" s="47">
        <v>83.8</v>
      </c>
      <c r="AG268" s="49">
        <v>2.34</v>
      </c>
      <c r="AH268" s="47">
        <v>2.5</v>
      </c>
      <c r="AI268" s="47">
        <v>2.621</v>
      </c>
      <c r="AJ268" s="47">
        <v>2.779</v>
      </c>
      <c r="AK268" s="47">
        <v>3.076</v>
      </c>
      <c r="AL268" s="47">
        <v>3.581</v>
      </c>
      <c r="AM268" s="47">
        <v>4.404</v>
      </c>
      <c r="AN268" s="47">
        <v>5.755</v>
      </c>
      <c r="AO268" s="47">
        <v>8.205</v>
      </c>
      <c r="AP268" s="47">
        <v>8.205</v>
      </c>
      <c r="AQ268" s="49">
        <v>0.0</v>
      </c>
      <c r="AR268" s="47">
        <v>61.29</v>
      </c>
      <c r="AS268" s="47">
        <v>67.29</v>
      </c>
      <c r="AT268" s="47">
        <v>69.19</v>
      </c>
      <c r="AU268" s="47">
        <v>70.7</v>
      </c>
      <c r="AV268" s="47">
        <v>71.81</v>
      </c>
      <c r="AW268" s="47">
        <v>72.53</v>
      </c>
      <c r="AX268" s="47">
        <v>72.86</v>
      </c>
      <c r="AY268" s="47">
        <v>72.79</v>
      </c>
      <c r="AZ268" s="47">
        <v>72.79</v>
      </c>
      <c r="BA268" s="50">
        <v>1139.0</v>
      </c>
      <c r="BB268" s="51">
        <v>890.0</v>
      </c>
      <c r="BC268" s="51">
        <v>550.0</v>
      </c>
      <c r="BD268" s="51">
        <v>410.0</v>
      </c>
      <c r="BE268" s="51" t="s">
        <v>639</v>
      </c>
      <c r="BF268" s="51" t="s">
        <v>922</v>
      </c>
      <c r="BG268" s="51" t="s">
        <v>923</v>
      </c>
      <c r="BH268" s="51" t="s">
        <v>924</v>
      </c>
      <c r="BI268" s="51">
        <v>385.0</v>
      </c>
      <c r="BJ268" s="51">
        <v>460.0</v>
      </c>
      <c r="BK268" s="51">
        <v>490.0</v>
      </c>
      <c r="BL268" s="51">
        <v>500.0</v>
      </c>
      <c r="BM268" s="51">
        <v>610.0</v>
      </c>
      <c r="BN268" s="51">
        <v>200.0</v>
      </c>
      <c r="BO268" s="51">
        <v>60.0</v>
      </c>
      <c r="BP268" s="51" t="s">
        <v>925</v>
      </c>
      <c r="BQ268" s="51" t="s">
        <v>926</v>
      </c>
      <c r="BR268" s="52">
        <v>25.0</v>
      </c>
      <c r="BS268" s="53" t="s">
        <v>927</v>
      </c>
      <c r="BT268" s="53" t="s">
        <v>927</v>
      </c>
      <c r="BU268" s="52">
        <v>90.0</v>
      </c>
      <c r="BV268" s="47">
        <f>IFERROR(__xludf.DUMMYFUNCTION("IFERROR(INDEX(motors!E:E, MATCH(1, (motors!A:A=REGEXEXTRACT(A268,""^\S+""))*(motors!B:B=BU268), 0)), """")"),159.9)</f>
        <v>159.9</v>
      </c>
      <c r="BW268" s="47">
        <f>IFERROR(__xludf.DUMMYFUNCTION("IFERROR(INDEX(motors!F:F, MATCH(1, (motors!A:A=REGEXEXTRACT(A268,""^\S+""))*(motors!B:B=BU268), 0)), """")"),92.1)</f>
        <v>92.1</v>
      </c>
      <c r="BX268" s="51">
        <v>2.0</v>
      </c>
      <c r="BY268" s="53" t="s">
        <v>1034</v>
      </c>
      <c r="BZ268" s="53" t="s">
        <v>1043</v>
      </c>
      <c r="CA268" s="53" t="str">
        <f>IFERROR(__xludf.DUMMYFUNCTION("IFERROR(REGEXEXTRACT(BZ268, ""(?i)[A-Z]+-D-E-([^-]+)-E""), """")"),"HUBE")</f>
        <v>HUBE</v>
      </c>
    </row>
    <row r="269" ht="11.25" customHeight="1">
      <c r="A269" s="55" t="s">
        <v>1044</v>
      </c>
      <c r="B269" s="55" t="s">
        <v>76</v>
      </c>
      <c r="C269" s="56">
        <v>0.0</v>
      </c>
      <c r="D269" s="56">
        <v>200.0</v>
      </c>
      <c r="E269" s="56">
        <v>240.0</v>
      </c>
      <c r="F269" s="56">
        <v>260.0</v>
      </c>
      <c r="G269" s="56">
        <v>280.0</v>
      </c>
      <c r="H269" s="56">
        <v>300.0</v>
      </c>
      <c r="I269" s="56">
        <v>320.0</v>
      </c>
      <c r="J269" s="56">
        <v>340.0</v>
      </c>
      <c r="K269" s="56">
        <v>360.0</v>
      </c>
      <c r="L269" s="56">
        <v>360.0</v>
      </c>
      <c r="M269" s="48">
        <v>119.93</v>
      </c>
      <c r="N269" s="56">
        <v>100.7</v>
      </c>
      <c r="O269" s="56">
        <v>91.7</v>
      </c>
      <c r="P269" s="56">
        <v>85.18</v>
      </c>
      <c r="Q269" s="56">
        <v>78.45</v>
      </c>
      <c r="R269" s="56">
        <v>70.63</v>
      </c>
      <c r="S269" s="56">
        <v>61.21</v>
      </c>
      <c r="T269" s="56">
        <v>48.4</v>
      </c>
      <c r="U269" s="56">
        <v>24.29</v>
      </c>
      <c r="V269" s="56">
        <v>24.29</v>
      </c>
      <c r="W269" s="49">
        <f>W264*2+W265</f>
        <v>37.102</v>
      </c>
      <c r="X269" s="56">
        <v>78.564</v>
      </c>
      <c r="Y269" s="56">
        <v>83.907</v>
      </c>
      <c r="Z269" s="56">
        <v>86.21799999999999</v>
      </c>
      <c r="AA269" s="56">
        <v>88.291</v>
      </c>
      <c r="AB269" s="56">
        <v>90.126</v>
      </c>
      <c r="AC269" s="56">
        <v>91.723</v>
      </c>
      <c r="AD269" s="56">
        <v>93.08500000000001</v>
      </c>
      <c r="AE269" s="56">
        <v>94.20599999999999</v>
      </c>
      <c r="AF269" s="56">
        <v>94.20599999999999</v>
      </c>
      <c r="AG269" s="49">
        <v>2.34</v>
      </c>
      <c r="AH269" s="56">
        <v>2.5</v>
      </c>
      <c r="AI269" s="56">
        <v>2.621</v>
      </c>
      <c r="AJ269" s="56">
        <v>2.779</v>
      </c>
      <c r="AK269" s="56">
        <v>3.076</v>
      </c>
      <c r="AL269" s="56">
        <v>3.581</v>
      </c>
      <c r="AM269" s="56">
        <v>4.404</v>
      </c>
      <c r="AN269" s="56">
        <v>5.755</v>
      </c>
      <c r="AO269" s="56">
        <v>8.205</v>
      </c>
      <c r="AP269" s="56">
        <v>8.205</v>
      </c>
      <c r="AQ269" s="49">
        <v>0.0</v>
      </c>
      <c r="AR269" s="56">
        <v>61.29</v>
      </c>
      <c r="AS269" s="56">
        <v>67.29</v>
      </c>
      <c r="AT269" s="56">
        <v>69.19</v>
      </c>
      <c r="AU269" s="56">
        <v>70.7</v>
      </c>
      <c r="AV269" s="56">
        <v>71.81</v>
      </c>
      <c r="AW269" s="56">
        <v>72.53</v>
      </c>
      <c r="AX269" s="56">
        <v>72.86</v>
      </c>
      <c r="AY269" s="56">
        <v>72.79</v>
      </c>
      <c r="AZ269" s="56">
        <v>72.79</v>
      </c>
      <c r="BA269" s="50">
        <v>1333.0</v>
      </c>
      <c r="BB269" s="57">
        <v>1140.0</v>
      </c>
      <c r="BC269" s="57">
        <v>645.0</v>
      </c>
      <c r="BD269" s="57">
        <v>540.0</v>
      </c>
      <c r="BE269" s="57" t="s">
        <v>639</v>
      </c>
      <c r="BF269" s="57" t="s">
        <v>922</v>
      </c>
      <c r="BG269" s="57" t="s">
        <v>923</v>
      </c>
      <c r="BH269" s="57" t="s">
        <v>924</v>
      </c>
      <c r="BI269" s="57">
        <v>385.0</v>
      </c>
      <c r="BJ269" s="57">
        <v>460.0</v>
      </c>
      <c r="BK269" s="57">
        <v>490.0</v>
      </c>
      <c r="BL269" s="57">
        <v>500.0</v>
      </c>
      <c r="BM269" s="57">
        <v>610.0</v>
      </c>
      <c r="BN269" s="57">
        <v>200.0</v>
      </c>
      <c r="BO269" s="57">
        <v>60.0</v>
      </c>
      <c r="BP269" s="57" t="s">
        <v>925</v>
      </c>
      <c r="BQ269" s="57" t="s">
        <v>926</v>
      </c>
      <c r="BR269" s="58">
        <v>25.0</v>
      </c>
      <c r="BS269" s="59" t="s">
        <v>927</v>
      </c>
      <c r="BT269" s="59" t="s">
        <v>927</v>
      </c>
      <c r="BU269" s="58">
        <v>110.0</v>
      </c>
      <c r="BV269" s="47">
        <f>IFERROR(__xludf.DUMMYFUNCTION("IFERROR(INDEX(motors!E:E, MATCH(1, (motors!A:A=REGEXEXTRACT(A269,""^\S+""))*(motors!B:B=BU269), 0)), """")"),195.1)</f>
        <v>195.1</v>
      </c>
      <c r="BW269" s="47">
        <f>IFERROR(__xludf.DUMMYFUNCTION("IFERROR(INDEX(motors!F:F, MATCH(1, (motors!A:A=REGEXEXTRACT(A269,""^\S+""))*(motors!B:B=BU269), 0)), """")"),112.3)</f>
        <v>112.3</v>
      </c>
      <c r="BX269" s="57">
        <v>2.0</v>
      </c>
      <c r="BY269" s="59" t="s">
        <v>1034</v>
      </c>
      <c r="BZ269" s="59" t="s">
        <v>1045</v>
      </c>
      <c r="CA269" s="53" t="str">
        <f>IFERROR(__xludf.DUMMYFUNCTION("IFERROR(REGEXEXTRACT(BZ269, ""(?i)[A-Z]+-D-E-([^-]+)-E""), """")"),"HUBE")</f>
        <v>HUBE</v>
      </c>
    </row>
    <row r="270" ht="11.25" customHeight="1">
      <c r="A270" s="46" t="s">
        <v>1046</v>
      </c>
      <c r="B270" s="46" t="s">
        <v>76</v>
      </c>
      <c r="C270" s="47">
        <v>0.0</v>
      </c>
      <c r="D270" s="47">
        <v>200.0</v>
      </c>
      <c r="E270" s="47">
        <v>240.0</v>
      </c>
      <c r="F270" s="47">
        <v>260.0</v>
      </c>
      <c r="G270" s="47">
        <v>280.0</v>
      </c>
      <c r="H270" s="47">
        <v>300.0</v>
      </c>
      <c r="I270" s="47">
        <v>320.0</v>
      </c>
      <c r="J270" s="47">
        <v>340.0</v>
      </c>
      <c r="K270" s="47">
        <v>360.0</v>
      </c>
      <c r="L270" s="47">
        <v>360.0</v>
      </c>
      <c r="M270" s="48">
        <v>129.76</v>
      </c>
      <c r="N270" s="47">
        <v>108.32</v>
      </c>
      <c r="O270" s="47">
        <v>98.5</v>
      </c>
      <c r="P270" s="47">
        <v>91.83</v>
      </c>
      <c r="Q270" s="47">
        <v>84.86</v>
      </c>
      <c r="R270" s="47">
        <v>76.8</v>
      </c>
      <c r="S270" s="47">
        <v>67.14</v>
      </c>
      <c r="T270" s="47">
        <v>54.2</v>
      </c>
      <c r="U270" s="47">
        <v>29.72</v>
      </c>
      <c r="V270" s="47">
        <v>29.72</v>
      </c>
      <c r="W270" s="49">
        <f>W264+W265*2</f>
        <v>45.905</v>
      </c>
      <c r="X270" s="47">
        <v>91.206</v>
      </c>
      <c r="Y270" s="47">
        <v>97.314</v>
      </c>
      <c r="Z270" s="47">
        <v>100.00999999999999</v>
      </c>
      <c r="AA270" s="47">
        <v>102.47</v>
      </c>
      <c r="AB270" s="47">
        <v>104.69399999999999</v>
      </c>
      <c r="AC270" s="47">
        <v>106.68199999999999</v>
      </c>
      <c r="AD270" s="47">
        <v>108.437</v>
      </c>
      <c r="AE270" s="47">
        <v>109.953</v>
      </c>
      <c r="AF270" s="47">
        <v>109.953</v>
      </c>
      <c r="AG270" s="49">
        <v>2.34</v>
      </c>
      <c r="AH270" s="47">
        <v>2.5</v>
      </c>
      <c r="AI270" s="47">
        <v>2.621</v>
      </c>
      <c r="AJ270" s="47">
        <v>2.779</v>
      </c>
      <c r="AK270" s="47">
        <v>3.076</v>
      </c>
      <c r="AL270" s="47">
        <v>3.581</v>
      </c>
      <c r="AM270" s="47">
        <v>4.404</v>
      </c>
      <c r="AN270" s="47">
        <v>5.755</v>
      </c>
      <c r="AO270" s="47">
        <v>8.205</v>
      </c>
      <c r="AP270" s="47">
        <v>8.205</v>
      </c>
      <c r="AQ270" s="49">
        <v>0.0</v>
      </c>
      <c r="AR270" s="47">
        <v>61.29</v>
      </c>
      <c r="AS270" s="47">
        <v>67.29</v>
      </c>
      <c r="AT270" s="47">
        <v>69.19</v>
      </c>
      <c r="AU270" s="47">
        <v>70.7</v>
      </c>
      <c r="AV270" s="47">
        <v>71.81</v>
      </c>
      <c r="AW270" s="47">
        <v>72.53</v>
      </c>
      <c r="AX270" s="47">
        <v>72.86</v>
      </c>
      <c r="AY270" s="47">
        <v>72.79</v>
      </c>
      <c r="AZ270" s="47">
        <v>72.79</v>
      </c>
      <c r="BA270" s="50">
        <v>1333.0</v>
      </c>
      <c r="BB270" s="51">
        <v>1140.0</v>
      </c>
      <c r="BC270" s="51">
        <v>645.0</v>
      </c>
      <c r="BD270" s="51">
        <v>540.0</v>
      </c>
      <c r="BE270" s="51" t="s">
        <v>639</v>
      </c>
      <c r="BF270" s="51" t="s">
        <v>922</v>
      </c>
      <c r="BG270" s="51" t="s">
        <v>923</v>
      </c>
      <c r="BH270" s="51" t="s">
        <v>924</v>
      </c>
      <c r="BI270" s="51">
        <v>385.0</v>
      </c>
      <c r="BJ270" s="51">
        <v>460.0</v>
      </c>
      <c r="BK270" s="51">
        <v>490.0</v>
      </c>
      <c r="BL270" s="51">
        <v>500.0</v>
      </c>
      <c r="BM270" s="51">
        <v>610.0</v>
      </c>
      <c r="BN270" s="51">
        <v>200.0</v>
      </c>
      <c r="BO270" s="51">
        <v>60.0</v>
      </c>
      <c r="BP270" s="51" t="s">
        <v>925</v>
      </c>
      <c r="BQ270" s="51" t="s">
        <v>926</v>
      </c>
      <c r="BR270" s="52">
        <v>25.0</v>
      </c>
      <c r="BS270" s="53" t="s">
        <v>927</v>
      </c>
      <c r="BT270" s="53" t="s">
        <v>927</v>
      </c>
      <c r="BU270" s="52">
        <v>110.0</v>
      </c>
      <c r="BV270" s="47">
        <f>IFERROR(__xludf.DUMMYFUNCTION("IFERROR(INDEX(motors!E:E, MATCH(1, (motors!A:A=REGEXEXTRACT(A270,""^\S+""))*(motors!B:B=BU270), 0)), """")"),195.1)</f>
        <v>195.1</v>
      </c>
      <c r="BW270" s="47">
        <f>IFERROR(__xludf.DUMMYFUNCTION("IFERROR(INDEX(motors!F:F, MATCH(1, (motors!A:A=REGEXEXTRACT(A270,""^\S+""))*(motors!B:B=BU270), 0)), """")"),112.3)</f>
        <v>112.3</v>
      </c>
      <c r="BX270" s="51">
        <v>2.0</v>
      </c>
      <c r="BY270" s="53" t="s">
        <v>1034</v>
      </c>
      <c r="BZ270" s="53" t="s">
        <v>1047</v>
      </c>
      <c r="CA270" s="53" t="str">
        <f>IFERROR(__xludf.DUMMYFUNCTION("IFERROR(REGEXEXTRACT(BZ270, ""(?i)[A-Z]+-D-E-([^-]+)-E""), """")"),"HUBE")</f>
        <v>HUBE</v>
      </c>
    </row>
    <row r="271" ht="11.25" customHeight="1">
      <c r="A271" s="53"/>
      <c r="B271" s="53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68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53"/>
      <c r="BB271" s="53"/>
      <c r="BC271" s="53"/>
      <c r="BD271" s="53"/>
      <c r="BE271" s="53"/>
      <c r="BF271" s="53"/>
      <c r="BG271" s="53"/>
      <c r="BH271" s="53"/>
      <c r="BI271" s="53"/>
      <c r="BJ271" s="53"/>
      <c r="BK271" s="53"/>
      <c r="BL271" s="53"/>
      <c r="BM271" s="53"/>
      <c r="BN271" s="53"/>
      <c r="BO271" s="53"/>
      <c r="BP271" s="53"/>
      <c r="BQ271" s="53"/>
      <c r="BR271" s="53"/>
      <c r="BS271" s="53"/>
      <c r="BT271" s="53"/>
      <c r="BU271" s="53"/>
      <c r="BV271" s="47"/>
      <c r="BW271" s="47"/>
      <c r="BX271" s="53"/>
      <c r="BY271" s="53"/>
      <c r="BZ271" s="53"/>
      <c r="CA271" s="53"/>
    </row>
    <row r="272" ht="11.25" customHeight="1">
      <c r="A272" s="53"/>
      <c r="B272" s="53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68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53"/>
      <c r="BB272" s="53"/>
      <c r="BC272" s="53"/>
      <c r="BD272" s="53"/>
      <c r="BE272" s="53"/>
      <c r="BF272" s="53"/>
      <c r="BG272" s="53"/>
      <c r="BH272" s="53"/>
      <c r="BI272" s="53"/>
      <c r="BJ272" s="53"/>
      <c r="BK272" s="53"/>
      <c r="BL272" s="53"/>
      <c r="BM272" s="53"/>
      <c r="BN272" s="53"/>
      <c r="BO272" s="53"/>
      <c r="BP272" s="53"/>
      <c r="BQ272" s="53"/>
      <c r="BR272" s="53"/>
      <c r="BS272" s="53"/>
      <c r="BT272" s="53"/>
      <c r="BU272" s="53"/>
      <c r="BV272" s="47"/>
      <c r="BW272" s="47"/>
      <c r="BX272" s="53"/>
      <c r="BY272" s="53"/>
      <c r="BZ272" s="53"/>
      <c r="CA272" s="53"/>
    </row>
    <row r="273" ht="11.25" customHeight="1">
      <c r="A273" s="53"/>
      <c r="B273" s="53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68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53"/>
      <c r="BB273" s="53"/>
      <c r="BC273" s="53"/>
      <c r="BD273" s="53"/>
      <c r="BE273" s="53"/>
      <c r="BF273" s="53"/>
      <c r="BG273" s="53"/>
      <c r="BH273" s="53"/>
      <c r="BI273" s="53"/>
      <c r="BJ273" s="53"/>
      <c r="BK273" s="53"/>
      <c r="BL273" s="53"/>
      <c r="BM273" s="53"/>
      <c r="BN273" s="53"/>
      <c r="BO273" s="53"/>
      <c r="BP273" s="53"/>
      <c r="BQ273" s="53"/>
      <c r="BR273" s="53"/>
      <c r="BS273" s="53"/>
      <c r="BT273" s="53"/>
      <c r="BU273" s="53"/>
      <c r="BV273" s="47"/>
      <c r="BW273" s="47"/>
      <c r="BX273" s="53"/>
      <c r="BY273" s="53"/>
      <c r="BZ273" s="53"/>
      <c r="CA273" s="53"/>
    </row>
    <row r="274" ht="11.25" customHeight="1">
      <c r="A274" s="53"/>
      <c r="B274" s="53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68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53"/>
      <c r="BB274" s="53"/>
      <c r="BC274" s="53"/>
      <c r="BD274" s="53"/>
      <c r="BE274" s="53"/>
      <c r="BF274" s="53"/>
      <c r="BG274" s="53"/>
      <c r="BH274" s="53"/>
      <c r="BI274" s="53"/>
      <c r="BJ274" s="53"/>
      <c r="BK274" s="53"/>
      <c r="BL274" s="53"/>
      <c r="BM274" s="53"/>
      <c r="BN274" s="53"/>
      <c r="BO274" s="53"/>
      <c r="BP274" s="53"/>
      <c r="BQ274" s="53"/>
      <c r="BR274" s="53"/>
      <c r="BS274" s="53"/>
      <c r="BT274" s="53"/>
      <c r="BU274" s="53"/>
      <c r="BV274" s="47"/>
      <c r="BW274" s="47"/>
      <c r="BX274" s="53"/>
      <c r="BY274" s="53"/>
      <c r="BZ274" s="53"/>
      <c r="CA274" s="53"/>
    </row>
    <row r="275" ht="11.25" customHeight="1">
      <c r="A275" s="53"/>
      <c r="B275" s="53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68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53"/>
      <c r="BB275" s="53"/>
      <c r="BC275" s="53"/>
      <c r="BD275" s="53"/>
      <c r="BE275" s="53"/>
      <c r="BF275" s="53"/>
      <c r="BG275" s="53"/>
      <c r="BH275" s="53"/>
      <c r="BI275" s="53"/>
      <c r="BJ275" s="53"/>
      <c r="BK275" s="53"/>
      <c r="BL275" s="53"/>
      <c r="BM275" s="53"/>
      <c r="BN275" s="53"/>
      <c r="BO275" s="53"/>
      <c r="BP275" s="53"/>
      <c r="BQ275" s="53"/>
      <c r="BR275" s="53"/>
      <c r="BS275" s="53"/>
      <c r="BT275" s="53"/>
      <c r="BU275" s="53"/>
      <c r="BV275" s="47"/>
      <c r="BW275" s="47"/>
      <c r="BX275" s="53"/>
      <c r="BY275" s="53"/>
      <c r="BZ275" s="53"/>
      <c r="CA275" s="53"/>
    </row>
    <row r="276" ht="11.25" customHeight="1">
      <c r="A276" s="53"/>
      <c r="B276" s="53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68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53"/>
      <c r="BB276" s="53"/>
      <c r="BC276" s="53"/>
      <c r="BD276" s="53"/>
      <c r="BE276" s="53"/>
      <c r="BF276" s="53"/>
      <c r="BG276" s="53"/>
      <c r="BH276" s="53"/>
      <c r="BI276" s="53"/>
      <c r="BJ276" s="53"/>
      <c r="BK276" s="53"/>
      <c r="BL276" s="53"/>
      <c r="BM276" s="53"/>
      <c r="BN276" s="53"/>
      <c r="BO276" s="53"/>
      <c r="BP276" s="53"/>
      <c r="BQ276" s="53"/>
      <c r="BR276" s="53"/>
      <c r="BS276" s="53"/>
      <c r="BT276" s="53"/>
      <c r="BU276" s="53"/>
      <c r="BV276" s="47"/>
      <c r="BW276" s="47"/>
      <c r="BX276" s="53"/>
      <c r="BY276" s="53"/>
      <c r="BZ276" s="53"/>
      <c r="CA276" s="53"/>
    </row>
    <row r="277" ht="11.25" customHeight="1">
      <c r="A277" s="53"/>
      <c r="B277" s="53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68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  <c r="AX277" s="47"/>
      <c r="AY277" s="47"/>
      <c r="AZ277" s="47"/>
      <c r="BA277" s="53"/>
      <c r="BB277" s="53"/>
      <c r="BC277" s="53"/>
      <c r="BD277" s="53"/>
      <c r="BE277" s="53"/>
      <c r="BF277" s="53"/>
      <c r="BG277" s="53"/>
      <c r="BH277" s="53"/>
      <c r="BI277" s="53"/>
      <c r="BJ277" s="53"/>
      <c r="BK277" s="53"/>
      <c r="BL277" s="53"/>
      <c r="BM277" s="53"/>
      <c r="BN277" s="53"/>
      <c r="BO277" s="53"/>
      <c r="BP277" s="53"/>
      <c r="BQ277" s="53"/>
      <c r="BR277" s="53"/>
      <c r="BS277" s="53"/>
      <c r="BT277" s="53"/>
      <c r="BU277" s="53"/>
      <c r="BV277" s="47"/>
      <c r="BW277" s="47"/>
      <c r="BX277" s="53"/>
      <c r="BY277" s="53"/>
      <c r="BZ277" s="53"/>
      <c r="CA277" s="53"/>
    </row>
    <row r="278" ht="11.25" customHeight="1">
      <c r="A278" s="53"/>
      <c r="B278" s="53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68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53"/>
      <c r="BB278" s="53"/>
      <c r="BC278" s="53"/>
      <c r="BD278" s="53"/>
      <c r="BE278" s="53"/>
      <c r="BF278" s="53"/>
      <c r="BG278" s="53"/>
      <c r="BH278" s="53"/>
      <c r="BI278" s="53"/>
      <c r="BJ278" s="53"/>
      <c r="BK278" s="53"/>
      <c r="BL278" s="53"/>
      <c r="BM278" s="53"/>
      <c r="BN278" s="53"/>
      <c r="BO278" s="53"/>
      <c r="BP278" s="53"/>
      <c r="BQ278" s="53"/>
      <c r="BR278" s="53"/>
      <c r="BS278" s="53"/>
      <c r="BT278" s="53"/>
      <c r="BU278" s="53"/>
      <c r="BV278" s="47"/>
      <c r="BW278" s="47"/>
      <c r="BX278" s="53"/>
      <c r="BY278" s="53"/>
      <c r="BZ278" s="53"/>
      <c r="CA278" s="53"/>
    </row>
    <row r="279" ht="11.25" customHeight="1">
      <c r="A279" s="53"/>
      <c r="B279" s="53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68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53"/>
      <c r="BB279" s="53"/>
      <c r="BC279" s="53"/>
      <c r="BD279" s="53"/>
      <c r="BE279" s="53"/>
      <c r="BF279" s="53"/>
      <c r="BG279" s="53"/>
      <c r="BH279" s="53"/>
      <c r="BI279" s="53"/>
      <c r="BJ279" s="53"/>
      <c r="BK279" s="53"/>
      <c r="BL279" s="53"/>
      <c r="BM279" s="53"/>
      <c r="BN279" s="53"/>
      <c r="BO279" s="53"/>
      <c r="BP279" s="53"/>
      <c r="BQ279" s="53"/>
      <c r="BR279" s="53"/>
      <c r="BS279" s="53"/>
      <c r="BT279" s="53"/>
      <c r="BU279" s="53"/>
      <c r="BV279" s="47"/>
      <c r="BW279" s="47"/>
      <c r="BX279" s="53"/>
      <c r="BY279" s="53"/>
      <c r="BZ279" s="53"/>
      <c r="CA279" s="53"/>
    </row>
    <row r="280" ht="11.25" customHeight="1">
      <c r="A280" s="53"/>
      <c r="B280" s="53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68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53"/>
      <c r="BB280" s="53"/>
      <c r="BC280" s="53"/>
      <c r="BD280" s="53"/>
      <c r="BE280" s="53"/>
      <c r="BF280" s="53"/>
      <c r="BG280" s="53"/>
      <c r="BH280" s="53"/>
      <c r="BI280" s="53"/>
      <c r="BJ280" s="53"/>
      <c r="BK280" s="53"/>
      <c r="BL280" s="53"/>
      <c r="BM280" s="53"/>
      <c r="BN280" s="53"/>
      <c r="BO280" s="53"/>
      <c r="BP280" s="53"/>
      <c r="BQ280" s="53"/>
      <c r="BR280" s="53"/>
      <c r="BS280" s="53"/>
      <c r="BT280" s="53"/>
      <c r="BU280" s="53"/>
      <c r="BV280" s="47"/>
      <c r="BW280" s="47"/>
      <c r="BX280" s="53"/>
      <c r="BY280" s="53"/>
      <c r="BZ280" s="53"/>
      <c r="CA280" s="53"/>
    </row>
    <row r="281" ht="11.25" customHeight="1">
      <c r="A281" s="53"/>
      <c r="B281" s="53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68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53"/>
      <c r="BB281" s="53"/>
      <c r="BC281" s="53"/>
      <c r="BD281" s="53"/>
      <c r="BE281" s="53"/>
      <c r="BF281" s="53"/>
      <c r="BG281" s="53"/>
      <c r="BH281" s="53"/>
      <c r="BI281" s="53"/>
      <c r="BJ281" s="53"/>
      <c r="BK281" s="53"/>
      <c r="BL281" s="53"/>
      <c r="BM281" s="53"/>
      <c r="BN281" s="53"/>
      <c r="BO281" s="53"/>
      <c r="BP281" s="53"/>
      <c r="BQ281" s="53"/>
      <c r="BR281" s="53"/>
      <c r="BS281" s="53"/>
      <c r="BT281" s="53"/>
      <c r="BU281" s="53"/>
      <c r="BV281" s="47"/>
      <c r="BW281" s="47"/>
      <c r="BX281" s="53"/>
      <c r="BY281" s="53"/>
      <c r="BZ281" s="53"/>
      <c r="CA281" s="53"/>
    </row>
    <row r="282" ht="11.25" customHeight="1">
      <c r="A282" s="53"/>
      <c r="B282" s="53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68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47"/>
      <c r="AY282" s="47"/>
      <c r="AZ282" s="47"/>
      <c r="BA282" s="53"/>
      <c r="BB282" s="53"/>
      <c r="BC282" s="53"/>
      <c r="BD282" s="53"/>
      <c r="BE282" s="53"/>
      <c r="BF282" s="53"/>
      <c r="BG282" s="53"/>
      <c r="BH282" s="53"/>
      <c r="BI282" s="53"/>
      <c r="BJ282" s="53"/>
      <c r="BK282" s="53"/>
      <c r="BL282" s="53"/>
      <c r="BM282" s="53"/>
      <c r="BN282" s="53"/>
      <c r="BO282" s="53"/>
      <c r="BP282" s="53"/>
      <c r="BQ282" s="53"/>
      <c r="BR282" s="53"/>
      <c r="BS282" s="53"/>
      <c r="BT282" s="53"/>
      <c r="BU282" s="53"/>
      <c r="BV282" s="47"/>
      <c r="BW282" s="47"/>
      <c r="BX282" s="53"/>
      <c r="BY282" s="53"/>
      <c r="BZ282" s="53"/>
      <c r="CA282" s="53"/>
    </row>
    <row r="283" ht="11.25" customHeight="1">
      <c r="A283" s="53"/>
      <c r="B283" s="53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68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47"/>
      <c r="AY283" s="47"/>
      <c r="AZ283" s="47"/>
      <c r="BA283" s="53"/>
      <c r="BB283" s="53"/>
      <c r="BC283" s="53"/>
      <c r="BD283" s="53"/>
      <c r="BE283" s="53"/>
      <c r="BF283" s="53"/>
      <c r="BG283" s="53"/>
      <c r="BH283" s="53"/>
      <c r="BI283" s="53"/>
      <c r="BJ283" s="53"/>
      <c r="BK283" s="53"/>
      <c r="BL283" s="53"/>
      <c r="BM283" s="53"/>
      <c r="BN283" s="53"/>
      <c r="BO283" s="53"/>
      <c r="BP283" s="53"/>
      <c r="BQ283" s="53"/>
      <c r="BR283" s="53"/>
      <c r="BS283" s="53"/>
      <c r="BT283" s="53"/>
      <c r="BU283" s="53"/>
      <c r="BV283" s="47"/>
      <c r="BW283" s="47"/>
      <c r="BX283" s="53"/>
      <c r="BY283" s="53"/>
      <c r="BZ283" s="53"/>
      <c r="CA283" s="53"/>
    </row>
    <row r="284" ht="11.25" customHeight="1">
      <c r="A284" s="53"/>
      <c r="B284" s="53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68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  <c r="AY284" s="47"/>
      <c r="AZ284" s="47"/>
      <c r="BA284" s="53"/>
      <c r="BB284" s="53"/>
      <c r="BC284" s="53"/>
      <c r="BD284" s="53"/>
      <c r="BE284" s="53"/>
      <c r="BF284" s="53"/>
      <c r="BG284" s="53"/>
      <c r="BH284" s="53"/>
      <c r="BI284" s="53"/>
      <c r="BJ284" s="53"/>
      <c r="BK284" s="53"/>
      <c r="BL284" s="53"/>
      <c r="BM284" s="53"/>
      <c r="BN284" s="53"/>
      <c r="BO284" s="53"/>
      <c r="BP284" s="53"/>
      <c r="BQ284" s="53"/>
      <c r="BR284" s="53"/>
      <c r="BS284" s="53"/>
      <c r="BT284" s="53"/>
      <c r="BU284" s="53"/>
      <c r="BV284" s="47"/>
      <c r="BW284" s="47"/>
      <c r="BX284" s="53"/>
      <c r="BY284" s="53"/>
      <c r="BZ284" s="53"/>
      <c r="CA284" s="53"/>
    </row>
    <row r="285" ht="11.25" customHeight="1">
      <c r="A285" s="53"/>
      <c r="B285" s="53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68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  <c r="AX285" s="47"/>
      <c r="AY285" s="47"/>
      <c r="AZ285" s="47"/>
      <c r="BA285" s="53"/>
      <c r="BB285" s="53"/>
      <c r="BC285" s="53"/>
      <c r="BD285" s="53"/>
      <c r="BE285" s="53"/>
      <c r="BF285" s="53"/>
      <c r="BG285" s="53"/>
      <c r="BH285" s="53"/>
      <c r="BI285" s="53"/>
      <c r="BJ285" s="53"/>
      <c r="BK285" s="53"/>
      <c r="BL285" s="53"/>
      <c r="BM285" s="53"/>
      <c r="BN285" s="53"/>
      <c r="BO285" s="53"/>
      <c r="BP285" s="53"/>
      <c r="BQ285" s="53"/>
      <c r="BR285" s="53"/>
      <c r="BS285" s="53"/>
      <c r="BT285" s="53"/>
      <c r="BU285" s="53"/>
      <c r="BV285" s="47"/>
      <c r="BW285" s="47"/>
      <c r="BX285" s="53"/>
      <c r="BY285" s="53"/>
      <c r="BZ285" s="53"/>
      <c r="CA285" s="53"/>
    </row>
    <row r="286" ht="11.25" customHeight="1">
      <c r="A286" s="53"/>
      <c r="B286" s="53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68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  <c r="AX286" s="47"/>
      <c r="AY286" s="47"/>
      <c r="AZ286" s="47"/>
      <c r="BA286" s="53"/>
      <c r="BB286" s="53"/>
      <c r="BC286" s="53"/>
      <c r="BD286" s="53"/>
      <c r="BE286" s="53"/>
      <c r="BF286" s="53"/>
      <c r="BG286" s="53"/>
      <c r="BH286" s="53"/>
      <c r="BI286" s="53"/>
      <c r="BJ286" s="53"/>
      <c r="BK286" s="53"/>
      <c r="BL286" s="53"/>
      <c r="BM286" s="53"/>
      <c r="BN286" s="53"/>
      <c r="BO286" s="53"/>
      <c r="BP286" s="53"/>
      <c r="BQ286" s="53"/>
      <c r="BR286" s="53"/>
      <c r="BS286" s="53"/>
      <c r="BT286" s="53"/>
      <c r="BU286" s="53"/>
      <c r="BV286" s="47"/>
      <c r="BW286" s="47"/>
      <c r="BX286" s="53"/>
      <c r="BY286" s="53"/>
      <c r="BZ286" s="53"/>
      <c r="CA286" s="53"/>
    </row>
    <row r="287" ht="11.25" customHeight="1">
      <c r="A287" s="53"/>
      <c r="B287" s="53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68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47"/>
      <c r="AY287" s="47"/>
      <c r="AZ287" s="47"/>
      <c r="BA287" s="53"/>
      <c r="BB287" s="53"/>
      <c r="BC287" s="53"/>
      <c r="BD287" s="53"/>
      <c r="BE287" s="53"/>
      <c r="BF287" s="53"/>
      <c r="BG287" s="53"/>
      <c r="BH287" s="53"/>
      <c r="BI287" s="53"/>
      <c r="BJ287" s="53"/>
      <c r="BK287" s="53"/>
      <c r="BL287" s="53"/>
      <c r="BM287" s="53"/>
      <c r="BN287" s="53"/>
      <c r="BO287" s="53"/>
      <c r="BP287" s="53"/>
      <c r="BQ287" s="53"/>
      <c r="BR287" s="53"/>
      <c r="BS287" s="53"/>
      <c r="BT287" s="53"/>
      <c r="BU287" s="53"/>
      <c r="BV287" s="47"/>
      <c r="BW287" s="47"/>
      <c r="BX287" s="53"/>
      <c r="BY287" s="53"/>
      <c r="BZ287" s="53"/>
      <c r="CA287" s="53"/>
    </row>
    <row r="288" ht="11.25" customHeight="1">
      <c r="A288" s="53"/>
      <c r="B288" s="53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68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53"/>
      <c r="BB288" s="53"/>
      <c r="BC288" s="53"/>
      <c r="BD288" s="53"/>
      <c r="BE288" s="53"/>
      <c r="BF288" s="53"/>
      <c r="BG288" s="53"/>
      <c r="BH288" s="53"/>
      <c r="BI288" s="53"/>
      <c r="BJ288" s="53"/>
      <c r="BK288" s="53"/>
      <c r="BL288" s="53"/>
      <c r="BM288" s="53"/>
      <c r="BN288" s="53"/>
      <c r="BO288" s="53"/>
      <c r="BP288" s="53"/>
      <c r="BQ288" s="53"/>
      <c r="BR288" s="53"/>
      <c r="BS288" s="53"/>
      <c r="BT288" s="53"/>
      <c r="BU288" s="53"/>
      <c r="BV288" s="47"/>
      <c r="BW288" s="47"/>
      <c r="BX288" s="53"/>
      <c r="BY288" s="53"/>
      <c r="BZ288" s="53"/>
      <c r="CA288" s="53"/>
    </row>
    <row r="289" ht="11.25" customHeight="1">
      <c r="A289" s="53"/>
      <c r="B289" s="53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68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  <c r="AX289" s="47"/>
      <c r="AY289" s="47"/>
      <c r="AZ289" s="47"/>
      <c r="BA289" s="53"/>
      <c r="BB289" s="53"/>
      <c r="BC289" s="53"/>
      <c r="BD289" s="53"/>
      <c r="BE289" s="53"/>
      <c r="BF289" s="53"/>
      <c r="BG289" s="53"/>
      <c r="BH289" s="53"/>
      <c r="BI289" s="53"/>
      <c r="BJ289" s="53"/>
      <c r="BK289" s="53"/>
      <c r="BL289" s="53"/>
      <c r="BM289" s="53"/>
      <c r="BN289" s="53"/>
      <c r="BO289" s="53"/>
      <c r="BP289" s="53"/>
      <c r="BQ289" s="53"/>
      <c r="BR289" s="53"/>
      <c r="BS289" s="53"/>
      <c r="BT289" s="53"/>
      <c r="BU289" s="53"/>
      <c r="BV289" s="47"/>
      <c r="BW289" s="47"/>
      <c r="BX289" s="53"/>
      <c r="BY289" s="53"/>
      <c r="BZ289" s="53"/>
      <c r="CA289" s="53"/>
    </row>
    <row r="290" ht="11.25" customHeight="1">
      <c r="A290" s="53"/>
      <c r="B290" s="53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68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53"/>
      <c r="BB290" s="53"/>
      <c r="BC290" s="53"/>
      <c r="BD290" s="53"/>
      <c r="BE290" s="53"/>
      <c r="BF290" s="53"/>
      <c r="BG290" s="53"/>
      <c r="BH290" s="53"/>
      <c r="BI290" s="53"/>
      <c r="BJ290" s="53"/>
      <c r="BK290" s="53"/>
      <c r="BL290" s="53"/>
      <c r="BM290" s="53"/>
      <c r="BN290" s="53"/>
      <c r="BO290" s="53"/>
      <c r="BP290" s="53"/>
      <c r="BQ290" s="53"/>
      <c r="BR290" s="53"/>
      <c r="BS290" s="53"/>
      <c r="BT290" s="53"/>
      <c r="BU290" s="53"/>
      <c r="BV290" s="47"/>
      <c r="BW290" s="47"/>
      <c r="BX290" s="53"/>
      <c r="BY290" s="53"/>
      <c r="BZ290" s="53"/>
      <c r="CA290" s="53"/>
    </row>
    <row r="291" ht="11.25" customHeight="1">
      <c r="A291" s="53"/>
      <c r="B291" s="53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68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  <c r="AX291" s="47"/>
      <c r="AY291" s="47"/>
      <c r="AZ291" s="47"/>
      <c r="BA291" s="53"/>
      <c r="BB291" s="53"/>
      <c r="BC291" s="53"/>
      <c r="BD291" s="53"/>
      <c r="BE291" s="53"/>
      <c r="BF291" s="53"/>
      <c r="BG291" s="53"/>
      <c r="BH291" s="53"/>
      <c r="BI291" s="53"/>
      <c r="BJ291" s="53"/>
      <c r="BK291" s="53"/>
      <c r="BL291" s="53"/>
      <c r="BM291" s="53"/>
      <c r="BN291" s="53"/>
      <c r="BO291" s="53"/>
      <c r="BP291" s="53"/>
      <c r="BQ291" s="53"/>
      <c r="BR291" s="53"/>
      <c r="BS291" s="53"/>
      <c r="BT291" s="53"/>
      <c r="BU291" s="53"/>
      <c r="BV291" s="47"/>
      <c r="BW291" s="47"/>
      <c r="BX291" s="53"/>
      <c r="BY291" s="53"/>
      <c r="BZ291" s="53"/>
      <c r="CA291" s="53"/>
    </row>
    <row r="292" ht="11.25" customHeight="1">
      <c r="A292" s="53"/>
      <c r="B292" s="53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68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53"/>
      <c r="BB292" s="53"/>
      <c r="BC292" s="53"/>
      <c r="BD292" s="53"/>
      <c r="BE292" s="53"/>
      <c r="BF292" s="53"/>
      <c r="BG292" s="53"/>
      <c r="BH292" s="53"/>
      <c r="BI292" s="53"/>
      <c r="BJ292" s="53"/>
      <c r="BK292" s="53"/>
      <c r="BL292" s="53"/>
      <c r="BM292" s="53"/>
      <c r="BN292" s="53"/>
      <c r="BO292" s="53"/>
      <c r="BP292" s="53"/>
      <c r="BQ292" s="53"/>
      <c r="BR292" s="53"/>
      <c r="BS292" s="53"/>
      <c r="BT292" s="53"/>
      <c r="BU292" s="53"/>
      <c r="BV292" s="47"/>
      <c r="BW292" s="47"/>
      <c r="BX292" s="53"/>
      <c r="BY292" s="53"/>
      <c r="BZ292" s="53"/>
      <c r="CA292" s="53"/>
    </row>
    <row r="293" ht="11.25" customHeight="1">
      <c r="A293" s="53"/>
      <c r="B293" s="53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68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53"/>
      <c r="BB293" s="53"/>
      <c r="BC293" s="53"/>
      <c r="BD293" s="53"/>
      <c r="BE293" s="53"/>
      <c r="BF293" s="53"/>
      <c r="BG293" s="53"/>
      <c r="BH293" s="53"/>
      <c r="BI293" s="53"/>
      <c r="BJ293" s="53"/>
      <c r="BK293" s="53"/>
      <c r="BL293" s="53"/>
      <c r="BM293" s="53"/>
      <c r="BN293" s="53"/>
      <c r="BO293" s="53"/>
      <c r="BP293" s="53"/>
      <c r="BQ293" s="53"/>
      <c r="BR293" s="53"/>
      <c r="BS293" s="53"/>
      <c r="BT293" s="53"/>
      <c r="BU293" s="53"/>
      <c r="BV293" s="47"/>
      <c r="BW293" s="47"/>
      <c r="BX293" s="53"/>
      <c r="BY293" s="53"/>
      <c r="BZ293" s="53"/>
      <c r="CA293" s="53"/>
    </row>
    <row r="294" ht="11.25" customHeight="1">
      <c r="A294" s="53"/>
      <c r="B294" s="53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68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53"/>
      <c r="BB294" s="53"/>
      <c r="BC294" s="53"/>
      <c r="BD294" s="53"/>
      <c r="BE294" s="53"/>
      <c r="BF294" s="53"/>
      <c r="BG294" s="53"/>
      <c r="BH294" s="53"/>
      <c r="BI294" s="53"/>
      <c r="BJ294" s="53"/>
      <c r="BK294" s="53"/>
      <c r="BL294" s="53"/>
      <c r="BM294" s="53"/>
      <c r="BN294" s="53"/>
      <c r="BO294" s="53"/>
      <c r="BP294" s="53"/>
      <c r="BQ294" s="53"/>
      <c r="BR294" s="53"/>
      <c r="BS294" s="53"/>
      <c r="BT294" s="53"/>
      <c r="BU294" s="53"/>
      <c r="BV294" s="47"/>
      <c r="BW294" s="47"/>
      <c r="BX294" s="53"/>
      <c r="BY294" s="53"/>
      <c r="BZ294" s="53"/>
      <c r="CA294" s="53"/>
    </row>
    <row r="295" ht="11.25" customHeight="1">
      <c r="A295" s="53"/>
      <c r="B295" s="53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68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  <c r="AX295" s="47"/>
      <c r="AY295" s="47"/>
      <c r="AZ295" s="47"/>
      <c r="BA295" s="53"/>
      <c r="BB295" s="53"/>
      <c r="BC295" s="53"/>
      <c r="BD295" s="53"/>
      <c r="BE295" s="53"/>
      <c r="BF295" s="53"/>
      <c r="BG295" s="53"/>
      <c r="BH295" s="53"/>
      <c r="BI295" s="53"/>
      <c r="BJ295" s="53"/>
      <c r="BK295" s="53"/>
      <c r="BL295" s="53"/>
      <c r="BM295" s="53"/>
      <c r="BN295" s="53"/>
      <c r="BO295" s="53"/>
      <c r="BP295" s="53"/>
      <c r="BQ295" s="53"/>
      <c r="BR295" s="53"/>
      <c r="BS295" s="53"/>
      <c r="BT295" s="53"/>
      <c r="BU295" s="53"/>
      <c r="BV295" s="47"/>
      <c r="BW295" s="47"/>
      <c r="BX295" s="53"/>
      <c r="BY295" s="53"/>
      <c r="BZ295" s="53"/>
      <c r="CA295" s="53"/>
    </row>
    <row r="296" ht="11.25" customHeight="1">
      <c r="A296" s="53"/>
      <c r="B296" s="53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68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53"/>
      <c r="BB296" s="53"/>
      <c r="BC296" s="53"/>
      <c r="BD296" s="53"/>
      <c r="BE296" s="53"/>
      <c r="BF296" s="53"/>
      <c r="BG296" s="53"/>
      <c r="BH296" s="53"/>
      <c r="BI296" s="53"/>
      <c r="BJ296" s="53"/>
      <c r="BK296" s="53"/>
      <c r="BL296" s="53"/>
      <c r="BM296" s="53"/>
      <c r="BN296" s="53"/>
      <c r="BO296" s="53"/>
      <c r="BP296" s="53"/>
      <c r="BQ296" s="53"/>
      <c r="BR296" s="53"/>
      <c r="BS296" s="53"/>
      <c r="BT296" s="53"/>
      <c r="BU296" s="53"/>
      <c r="BV296" s="47"/>
      <c r="BW296" s="47"/>
      <c r="BX296" s="53"/>
      <c r="BY296" s="53"/>
      <c r="BZ296" s="53"/>
      <c r="CA296" s="53"/>
    </row>
    <row r="297" ht="11.25" customHeight="1">
      <c r="A297" s="53"/>
      <c r="B297" s="53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68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53"/>
      <c r="BB297" s="53"/>
      <c r="BC297" s="53"/>
      <c r="BD297" s="53"/>
      <c r="BE297" s="53"/>
      <c r="BF297" s="53"/>
      <c r="BG297" s="53"/>
      <c r="BH297" s="53"/>
      <c r="BI297" s="53"/>
      <c r="BJ297" s="53"/>
      <c r="BK297" s="53"/>
      <c r="BL297" s="53"/>
      <c r="BM297" s="53"/>
      <c r="BN297" s="53"/>
      <c r="BO297" s="53"/>
      <c r="BP297" s="53"/>
      <c r="BQ297" s="53"/>
      <c r="BR297" s="53"/>
      <c r="BS297" s="53"/>
      <c r="BT297" s="53"/>
      <c r="BU297" s="53"/>
      <c r="BV297" s="47"/>
      <c r="BW297" s="47"/>
      <c r="BX297" s="53"/>
      <c r="BY297" s="53"/>
      <c r="BZ297" s="53"/>
      <c r="CA297" s="53"/>
    </row>
    <row r="298" ht="11.25" customHeight="1">
      <c r="A298" s="53"/>
      <c r="B298" s="53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68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53"/>
      <c r="BB298" s="53"/>
      <c r="BC298" s="53"/>
      <c r="BD298" s="53"/>
      <c r="BE298" s="53"/>
      <c r="BF298" s="53"/>
      <c r="BG298" s="53"/>
      <c r="BH298" s="53"/>
      <c r="BI298" s="53"/>
      <c r="BJ298" s="53"/>
      <c r="BK298" s="53"/>
      <c r="BL298" s="53"/>
      <c r="BM298" s="53"/>
      <c r="BN298" s="53"/>
      <c r="BO298" s="53"/>
      <c r="BP298" s="53"/>
      <c r="BQ298" s="53"/>
      <c r="BR298" s="53"/>
      <c r="BS298" s="53"/>
      <c r="BT298" s="53"/>
      <c r="BU298" s="53"/>
      <c r="BV298" s="47"/>
      <c r="BW298" s="47"/>
      <c r="BX298" s="53"/>
      <c r="BY298" s="53"/>
      <c r="BZ298" s="53"/>
      <c r="CA298" s="53"/>
    </row>
    <row r="299" ht="11.25" customHeight="1">
      <c r="A299" s="53"/>
      <c r="B299" s="53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68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53"/>
      <c r="BB299" s="53"/>
      <c r="BC299" s="53"/>
      <c r="BD299" s="53"/>
      <c r="BE299" s="53"/>
      <c r="BF299" s="53"/>
      <c r="BG299" s="53"/>
      <c r="BH299" s="53"/>
      <c r="BI299" s="53"/>
      <c r="BJ299" s="53"/>
      <c r="BK299" s="53"/>
      <c r="BL299" s="53"/>
      <c r="BM299" s="53"/>
      <c r="BN299" s="53"/>
      <c r="BO299" s="53"/>
      <c r="BP299" s="53"/>
      <c r="BQ299" s="53"/>
      <c r="BR299" s="53"/>
      <c r="BS299" s="53"/>
      <c r="BT299" s="53"/>
      <c r="BU299" s="53"/>
      <c r="BV299" s="47"/>
      <c r="BW299" s="47"/>
      <c r="BX299" s="53"/>
      <c r="BY299" s="53"/>
      <c r="BZ299" s="53"/>
      <c r="CA299" s="53"/>
    </row>
    <row r="300" ht="11.25" customHeight="1">
      <c r="A300" s="53"/>
      <c r="B300" s="53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68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53"/>
      <c r="BB300" s="53"/>
      <c r="BC300" s="53"/>
      <c r="BD300" s="53"/>
      <c r="BE300" s="53"/>
      <c r="BF300" s="53"/>
      <c r="BG300" s="53"/>
      <c r="BH300" s="53"/>
      <c r="BI300" s="53"/>
      <c r="BJ300" s="53"/>
      <c r="BK300" s="53"/>
      <c r="BL300" s="53"/>
      <c r="BM300" s="53"/>
      <c r="BN300" s="53"/>
      <c r="BO300" s="53"/>
      <c r="BP300" s="53"/>
      <c r="BQ300" s="53"/>
      <c r="BR300" s="53"/>
      <c r="BS300" s="53"/>
      <c r="BT300" s="53"/>
      <c r="BU300" s="53"/>
      <c r="BV300" s="47"/>
      <c r="BW300" s="47"/>
      <c r="BX300" s="53"/>
      <c r="BY300" s="53"/>
      <c r="BZ300" s="53"/>
      <c r="CA300" s="5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3.71"/>
    <col customWidth="1" min="2" max="2" width="9.57"/>
    <col customWidth="1" min="3" max="3" width="5.14"/>
    <col customWidth="1" min="4" max="22" width="4.86"/>
    <col customWidth="1" min="23" max="25" width="4.71"/>
    <col customWidth="1" min="26" max="31" width="4.86"/>
    <col customWidth="1" min="32" max="32" width="5.57"/>
    <col customWidth="1" min="33" max="41" width="7.86"/>
    <col customWidth="1" min="42" max="42" width="8.71"/>
    <col customWidth="1" min="43" max="51" width="6.29"/>
    <col customWidth="1" min="52" max="52" width="7.14"/>
    <col customWidth="1" min="53" max="54" width="4.43"/>
    <col customWidth="1" min="55" max="56" width="3.57"/>
    <col customWidth="1" min="57" max="60" width="4.71"/>
    <col customWidth="1" min="61" max="65" width="3.57"/>
    <col customWidth="1" min="66" max="67" width="3.86"/>
    <col customWidth="1" min="68" max="68" width="8.86"/>
    <col customWidth="1" min="69" max="69" width="6.71"/>
    <col customWidth="1" min="70" max="70" width="5.86"/>
    <col customWidth="1" min="71" max="71" width="9.57"/>
    <col customWidth="1" min="72" max="72" width="10.0"/>
    <col customWidth="1" min="73" max="73" width="7.43"/>
    <col customWidth="1" min="74" max="76" width="5.43"/>
    <col customWidth="1" min="77" max="77" width="6.71"/>
    <col customWidth="1" min="78" max="79" width="12.14"/>
  </cols>
  <sheetData>
    <row r="1" ht="29.25" customHeight="1">
      <c r="A1" s="37" t="s">
        <v>1</v>
      </c>
      <c r="B1" s="37" t="s">
        <v>2</v>
      </c>
      <c r="C1" s="37" t="s">
        <v>419</v>
      </c>
      <c r="D1" s="37" t="s">
        <v>420</v>
      </c>
      <c r="E1" s="37" t="s">
        <v>421</v>
      </c>
      <c r="F1" s="37" t="s">
        <v>422</v>
      </c>
      <c r="G1" s="37" t="s">
        <v>423</v>
      </c>
      <c r="H1" s="37" t="s">
        <v>424</v>
      </c>
      <c r="I1" s="37" t="s">
        <v>425</v>
      </c>
      <c r="J1" s="37" t="s">
        <v>426</v>
      </c>
      <c r="K1" s="37" t="s">
        <v>427</v>
      </c>
      <c r="L1" s="37" t="s">
        <v>428</v>
      </c>
      <c r="M1" s="38" t="s">
        <v>429</v>
      </c>
      <c r="N1" s="39" t="s">
        <v>430</v>
      </c>
      <c r="O1" s="37" t="s">
        <v>431</v>
      </c>
      <c r="P1" s="37" t="s">
        <v>432</v>
      </c>
      <c r="Q1" s="37" t="s">
        <v>433</v>
      </c>
      <c r="R1" s="37" t="s">
        <v>434</v>
      </c>
      <c r="S1" s="37" t="s">
        <v>435</v>
      </c>
      <c r="T1" s="37" t="s">
        <v>436</v>
      </c>
      <c r="U1" s="37" t="s">
        <v>437</v>
      </c>
      <c r="V1" s="37" t="s">
        <v>438</v>
      </c>
      <c r="W1" s="40" t="s">
        <v>439</v>
      </c>
      <c r="X1" s="41" t="s">
        <v>6</v>
      </c>
      <c r="Y1" s="41" t="s">
        <v>440</v>
      </c>
      <c r="Z1" s="41" t="s">
        <v>441</v>
      </c>
      <c r="AA1" s="41" t="s">
        <v>442</v>
      </c>
      <c r="AB1" s="41" t="s">
        <v>443</v>
      </c>
      <c r="AC1" s="41" t="s">
        <v>444</v>
      </c>
      <c r="AD1" s="41" t="s">
        <v>445</v>
      </c>
      <c r="AE1" s="41" t="s">
        <v>446</v>
      </c>
      <c r="AF1" s="41" t="s">
        <v>447</v>
      </c>
      <c r="AG1" s="40" t="s">
        <v>448</v>
      </c>
      <c r="AH1" s="41" t="s">
        <v>449</v>
      </c>
      <c r="AI1" s="41" t="s">
        <v>450</v>
      </c>
      <c r="AJ1" s="41" t="s">
        <v>451</v>
      </c>
      <c r="AK1" s="41" t="s">
        <v>452</v>
      </c>
      <c r="AL1" s="41" t="s">
        <v>453</v>
      </c>
      <c r="AM1" s="41" t="s">
        <v>454</v>
      </c>
      <c r="AN1" s="41" t="s">
        <v>455</v>
      </c>
      <c r="AO1" s="41" t="s">
        <v>456</v>
      </c>
      <c r="AP1" s="41" t="s">
        <v>457</v>
      </c>
      <c r="AQ1" s="40" t="s">
        <v>458</v>
      </c>
      <c r="AR1" s="41" t="s">
        <v>459</v>
      </c>
      <c r="AS1" s="41" t="s">
        <v>460</v>
      </c>
      <c r="AT1" s="41" t="s">
        <v>461</v>
      </c>
      <c r="AU1" s="41" t="s">
        <v>462</v>
      </c>
      <c r="AV1" s="41" t="s">
        <v>463</v>
      </c>
      <c r="AW1" s="41" t="s">
        <v>464</v>
      </c>
      <c r="AX1" s="41" t="s">
        <v>465</v>
      </c>
      <c r="AY1" s="41" t="s">
        <v>466</v>
      </c>
      <c r="AZ1" s="41" t="s">
        <v>467</v>
      </c>
      <c r="BA1" s="38" t="s">
        <v>468</v>
      </c>
      <c r="BB1" s="37" t="s">
        <v>469</v>
      </c>
      <c r="BC1" s="37" t="s">
        <v>470</v>
      </c>
      <c r="BD1" s="37" t="s">
        <v>471</v>
      </c>
      <c r="BE1" s="37" t="s">
        <v>472</v>
      </c>
      <c r="BF1" s="37" t="s">
        <v>473</v>
      </c>
      <c r="BG1" s="37" t="s">
        <v>474</v>
      </c>
      <c r="BH1" s="37" t="s">
        <v>475</v>
      </c>
      <c r="BI1" s="37" t="s">
        <v>476</v>
      </c>
      <c r="BJ1" s="37" t="s">
        <v>477</v>
      </c>
      <c r="BK1" s="37" t="s">
        <v>478</v>
      </c>
      <c r="BL1" s="37" t="s">
        <v>479</v>
      </c>
      <c r="BM1" s="37" t="s">
        <v>480</v>
      </c>
      <c r="BN1" s="37" t="s">
        <v>481</v>
      </c>
      <c r="BO1" s="37" t="s">
        <v>482</v>
      </c>
      <c r="BP1" s="37" t="s">
        <v>483</v>
      </c>
      <c r="BQ1" s="37" t="s">
        <v>484</v>
      </c>
      <c r="BR1" s="42" t="s">
        <v>485</v>
      </c>
      <c r="BS1" s="42" t="s">
        <v>486</v>
      </c>
      <c r="BT1" s="42" t="s">
        <v>487</v>
      </c>
      <c r="BU1" s="42" t="s">
        <v>488</v>
      </c>
      <c r="BV1" s="43" t="s">
        <v>489</v>
      </c>
      <c r="BW1" s="43" t="s">
        <v>490</v>
      </c>
      <c r="BX1" s="42" t="s">
        <v>491</v>
      </c>
      <c r="BY1" s="42" t="s">
        <v>492</v>
      </c>
      <c r="BZ1" s="42" t="s">
        <v>57</v>
      </c>
      <c r="CA1" s="44" t="s">
        <v>65</v>
      </c>
    </row>
    <row r="2" ht="11.25" customHeight="1">
      <c r="A2" s="45" t="s">
        <v>493</v>
      </c>
      <c r="B2" s="46">
        <v>7.411174E7</v>
      </c>
      <c r="C2" s="47">
        <v>0.0</v>
      </c>
      <c r="D2" s="47">
        <v>0.8</v>
      </c>
      <c r="E2" s="47">
        <v>1.0</v>
      </c>
      <c r="F2" s="47">
        <v>1.2</v>
      </c>
      <c r="G2" s="47">
        <v>1.4</v>
      </c>
      <c r="H2" s="47">
        <v>1.6</v>
      </c>
      <c r="I2" s="47">
        <v>1.8</v>
      </c>
      <c r="J2" s="47">
        <v>2.0</v>
      </c>
      <c r="K2" s="47">
        <v>2.2</v>
      </c>
      <c r="L2" s="47">
        <v>2.4</v>
      </c>
      <c r="M2" s="48">
        <v>12.3243582631</v>
      </c>
      <c r="N2" s="47">
        <v>11.52216149551024</v>
      </c>
      <c r="O2" s="47">
        <v>11.2219380297</v>
      </c>
      <c r="P2" s="47">
        <v>10.847592537070241</v>
      </c>
      <c r="Q2" s="47">
        <v>10.39126051966384</v>
      </c>
      <c r="R2" s="47">
        <v>9.85036985704944</v>
      </c>
      <c r="S2" s="47">
        <v>9.227640806321439</v>
      </c>
      <c r="T2" s="47">
        <v>8.5310860021</v>
      </c>
      <c r="U2" s="47">
        <v>7.7740104565310375</v>
      </c>
      <c r="V2" s="47">
        <v>6.85</v>
      </c>
      <c r="W2" s="49">
        <v>0.0424</v>
      </c>
      <c r="X2" s="47">
        <v>0.0726</v>
      </c>
      <c r="Y2" s="47">
        <v>0.0782</v>
      </c>
      <c r="Z2" s="47">
        <v>0.083</v>
      </c>
      <c r="AA2" s="47">
        <v>0.0868</v>
      </c>
      <c r="AB2" s="47">
        <v>0.0896</v>
      </c>
      <c r="AC2" s="47">
        <v>0.0914</v>
      </c>
      <c r="AD2" s="47">
        <v>0.0924</v>
      </c>
      <c r="AE2" s="47">
        <v>0.0926</v>
      </c>
      <c r="AF2" s="47">
        <v>0.0916</v>
      </c>
      <c r="AG2" s="49">
        <v>1.024</v>
      </c>
      <c r="AH2" s="47">
        <v>1.035</v>
      </c>
      <c r="AI2" s="47">
        <v>1.033</v>
      </c>
      <c r="AJ2" s="47">
        <v>1.059</v>
      </c>
      <c r="AK2" s="47">
        <v>1.115</v>
      </c>
      <c r="AL2" s="47">
        <v>1.212</v>
      </c>
      <c r="AM2" s="47">
        <v>1.368</v>
      </c>
      <c r="AN2" s="47">
        <v>1.611</v>
      </c>
      <c r="AO2" s="47">
        <v>1.905</v>
      </c>
      <c r="AP2" s="47">
        <v>2.313</v>
      </c>
      <c r="AQ2" s="49">
        <v>0.0</v>
      </c>
      <c r="AR2" s="47">
        <v>34.2</v>
      </c>
      <c r="AS2" s="47">
        <v>40.49</v>
      </c>
      <c r="AT2" s="47">
        <v>44.19</v>
      </c>
      <c r="AU2" s="47">
        <v>46.64</v>
      </c>
      <c r="AV2" s="47">
        <v>47.81</v>
      </c>
      <c r="AW2" s="47">
        <v>47.59</v>
      </c>
      <c r="AX2" s="47">
        <v>45.83</v>
      </c>
      <c r="AY2" s="47">
        <v>42.26</v>
      </c>
      <c r="AZ2" s="47">
        <v>36.55</v>
      </c>
      <c r="BA2" s="50">
        <v>254.0</v>
      </c>
      <c r="BB2" s="51">
        <v>207.0</v>
      </c>
      <c r="BC2" s="51">
        <v>134.0</v>
      </c>
      <c r="BD2" s="51">
        <v>112.0</v>
      </c>
      <c r="BE2" s="51" t="s">
        <v>494</v>
      </c>
      <c r="BF2" s="51" t="s">
        <v>495</v>
      </c>
      <c r="BG2" s="51" t="s">
        <v>496</v>
      </c>
      <c r="BH2" s="51" t="s">
        <v>497</v>
      </c>
      <c r="BI2" s="51">
        <v>100.0</v>
      </c>
      <c r="BJ2" s="51">
        <v>150.0</v>
      </c>
      <c r="BK2" s="51">
        <v>250.0</v>
      </c>
      <c r="BL2" s="51">
        <v>180.0</v>
      </c>
      <c r="BM2" s="51">
        <v>210.0</v>
      </c>
      <c r="BN2" s="51">
        <v>75.0</v>
      </c>
      <c r="BO2" s="51">
        <v>30.0</v>
      </c>
      <c r="BP2" s="51" t="s">
        <v>498</v>
      </c>
      <c r="BQ2" s="51" t="s">
        <v>499</v>
      </c>
      <c r="BR2" s="52">
        <v>25.0</v>
      </c>
      <c r="BS2" s="53" t="s">
        <v>500</v>
      </c>
      <c r="BT2" s="53" t="s">
        <v>500</v>
      </c>
      <c r="BU2" s="52">
        <v>0.37</v>
      </c>
      <c r="BV2" s="47">
        <f>IFERROR(__xludf.DUMMYFUNCTION("IFERROR(INDEX(motors!E:E, MATCH(1, (motors!A:A=REGEXEXTRACT(A2,""^\S+""))*(motors!B:B=BU2), 0)), """")"),1.6)</f>
        <v>1.6</v>
      </c>
      <c r="BW2" s="47">
        <f>IFERROR(__xludf.DUMMYFUNCTION("IFERROR(INDEX(motors!F:F, MATCH(1, (motors!A:A=REGEXEXTRACT(A2,""^\S+""))*(motors!B:B=BU2), 0)), """")"),0.9)</f>
        <v>0.9</v>
      </c>
      <c r="BX2" s="51">
        <v>2.0</v>
      </c>
      <c r="BY2" s="52">
        <v>21.0</v>
      </c>
      <c r="BZ2" s="53" t="s">
        <v>501</v>
      </c>
      <c r="CA2" s="53" t="str">
        <f>IFERROR(__xludf.DUMMYFUNCTION("IFERROR(REGEXEXTRACT(BZ2, ""(?i)[A-Z]+-D-E-([^-]+)-E""), """")"),"HQQE")</f>
        <v>HQQE</v>
      </c>
    </row>
    <row r="3" ht="11.25" customHeight="1">
      <c r="A3" s="54"/>
      <c r="B3" s="55"/>
      <c r="C3" s="56"/>
      <c r="D3" s="56"/>
      <c r="E3" s="56"/>
      <c r="F3" s="56"/>
      <c r="G3" s="56"/>
      <c r="H3" s="56"/>
      <c r="I3" s="56"/>
      <c r="J3" s="56"/>
      <c r="K3" s="56"/>
      <c r="L3" s="56"/>
      <c r="M3" s="48"/>
      <c r="N3" s="56"/>
      <c r="O3" s="56"/>
      <c r="P3" s="56"/>
      <c r="Q3" s="56"/>
      <c r="R3" s="56"/>
      <c r="S3" s="56"/>
      <c r="T3" s="56"/>
      <c r="U3" s="56"/>
      <c r="V3" s="56"/>
      <c r="W3" s="49"/>
      <c r="X3" s="56"/>
      <c r="Y3" s="56"/>
      <c r="Z3" s="56"/>
      <c r="AA3" s="56"/>
      <c r="AB3" s="56"/>
      <c r="AC3" s="56"/>
      <c r="AD3" s="56"/>
      <c r="AE3" s="56"/>
      <c r="AF3" s="56"/>
      <c r="AG3" s="49"/>
      <c r="AH3" s="56"/>
      <c r="AI3" s="56"/>
      <c r="AJ3" s="56"/>
      <c r="AK3" s="56"/>
      <c r="AL3" s="56"/>
      <c r="AM3" s="56"/>
      <c r="AN3" s="56"/>
      <c r="AO3" s="56"/>
      <c r="AP3" s="56"/>
      <c r="AQ3" s="49"/>
      <c r="AR3" s="56"/>
      <c r="AS3" s="56"/>
      <c r="AT3" s="56"/>
      <c r="AU3" s="56"/>
      <c r="AV3" s="56"/>
      <c r="AW3" s="56"/>
      <c r="AX3" s="56"/>
      <c r="AY3" s="56"/>
      <c r="AZ3" s="56"/>
      <c r="BA3" s="50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8"/>
      <c r="BS3" s="59"/>
      <c r="BT3" s="59"/>
      <c r="BU3" s="58"/>
      <c r="BV3" s="47"/>
      <c r="BW3" s="47"/>
      <c r="BX3" s="57"/>
      <c r="BY3" s="58"/>
      <c r="BZ3" s="59"/>
      <c r="CA3" s="53"/>
    </row>
    <row r="4" ht="11.25" customHeight="1">
      <c r="A4" s="45"/>
      <c r="B4" s="46"/>
      <c r="C4" s="47"/>
      <c r="D4" s="47"/>
      <c r="E4" s="47"/>
      <c r="F4" s="47"/>
      <c r="G4" s="47"/>
      <c r="H4" s="47"/>
      <c r="I4" s="47"/>
      <c r="J4" s="47"/>
      <c r="K4" s="47"/>
      <c r="L4" s="47"/>
      <c r="M4" s="48"/>
      <c r="N4" s="47"/>
      <c r="O4" s="47"/>
      <c r="P4" s="47"/>
      <c r="Q4" s="47"/>
      <c r="R4" s="47"/>
      <c r="S4" s="47"/>
      <c r="T4" s="47"/>
      <c r="U4" s="47"/>
      <c r="V4" s="47"/>
      <c r="W4" s="49"/>
      <c r="X4" s="47"/>
      <c r="Y4" s="47"/>
      <c r="Z4" s="47"/>
      <c r="AA4" s="47"/>
      <c r="AB4" s="47"/>
      <c r="AC4" s="47"/>
      <c r="AD4" s="47"/>
      <c r="AE4" s="47"/>
      <c r="AF4" s="47"/>
      <c r="AG4" s="49"/>
      <c r="AH4" s="47"/>
      <c r="AI4" s="47"/>
      <c r="AJ4" s="47"/>
      <c r="AK4" s="47"/>
      <c r="AL4" s="47"/>
      <c r="AM4" s="47"/>
      <c r="AN4" s="47"/>
      <c r="AO4" s="47"/>
      <c r="AP4" s="47"/>
      <c r="AQ4" s="49"/>
      <c r="AR4" s="47"/>
      <c r="AS4" s="47"/>
      <c r="AT4" s="47"/>
      <c r="AU4" s="47"/>
      <c r="AV4" s="47"/>
      <c r="AW4" s="47"/>
      <c r="AX4" s="47"/>
      <c r="AY4" s="47"/>
      <c r="AZ4" s="47"/>
      <c r="BA4" s="50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2"/>
      <c r="BS4" s="53"/>
      <c r="BT4" s="53"/>
      <c r="BU4" s="52"/>
      <c r="BV4" s="47"/>
      <c r="BW4" s="47"/>
      <c r="BX4" s="51"/>
      <c r="BY4" s="52"/>
      <c r="BZ4" s="53"/>
      <c r="CA4" s="53"/>
    </row>
    <row r="5" ht="11.25" customHeight="1">
      <c r="A5" s="54"/>
      <c r="B5" s="55"/>
      <c r="C5" s="56"/>
      <c r="D5" s="56"/>
      <c r="E5" s="56"/>
      <c r="F5" s="56"/>
      <c r="G5" s="56"/>
      <c r="H5" s="56"/>
      <c r="I5" s="56"/>
      <c r="J5" s="56"/>
      <c r="K5" s="56"/>
      <c r="L5" s="56"/>
      <c r="M5" s="48"/>
      <c r="N5" s="56"/>
      <c r="O5" s="56"/>
      <c r="P5" s="56"/>
      <c r="Q5" s="56"/>
      <c r="R5" s="56"/>
      <c r="S5" s="56"/>
      <c r="T5" s="56"/>
      <c r="U5" s="56"/>
      <c r="V5" s="56"/>
      <c r="W5" s="49"/>
      <c r="X5" s="56"/>
      <c r="Y5" s="56"/>
      <c r="Z5" s="56"/>
      <c r="AA5" s="56"/>
      <c r="AB5" s="56"/>
      <c r="AC5" s="56"/>
      <c r="AD5" s="56"/>
      <c r="AE5" s="56"/>
      <c r="AF5" s="56"/>
      <c r="AG5" s="49"/>
      <c r="AH5" s="56"/>
      <c r="AI5" s="56"/>
      <c r="AJ5" s="56"/>
      <c r="AK5" s="56"/>
      <c r="AL5" s="56"/>
      <c r="AM5" s="56"/>
      <c r="AN5" s="56"/>
      <c r="AO5" s="56"/>
      <c r="AP5" s="56"/>
      <c r="AQ5" s="49"/>
      <c r="AR5" s="56"/>
      <c r="AS5" s="56"/>
      <c r="AT5" s="56"/>
      <c r="AU5" s="56"/>
      <c r="AV5" s="56"/>
      <c r="AW5" s="56"/>
      <c r="AX5" s="56"/>
      <c r="AY5" s="56"/>
      <c r="AZ5" s="56"/>
      <c r="BA5" s="50"/>
      <c r="BB5" s="57"/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/>
      <c r="BP5" s="57"/>
      <c r="BQ5" s="57"/>
      <c r="BR5" s="58"/>
      <c r="BS5" s="59"/>
      <c r="BT5" s="59"/>
      <c r="BU5" s="58"/>
      <c r="BV5" s="47"/>
      <c r="BW5" s="47"/>
      <c r="BX5" s="57"/>
      <c r="BY5" s="58"/>
      <c r="BZ5" s="59"/>
      <c r="CA5" s="53"/>
    </row>
    <row r="6" ht="11.25" customHeight="1">
      <c r="A6" s="45"/>
      <c r="B6" s="46"/>
      <c r="C6" s="47"/>
      <c r="D6" s="47"/>
      <c r="E6" s="47"/>
      <c r="F6" s="47"/>
      <c r="G6" s="47"/>
      <c r="H6" s="47"/>
      <c r="I6" s="47"/>
      <c r="J6" s="47"/>
      <c r="K6" s="47"/>
      <c r="L6" s="47"/>
      <c r="M6" s="48"/>
      <c r="N6" s="47"/>
      <c r="O6" s="47"/>
      <c r="P6" s="47"/>
      <c r="Q6" s="47"/>
      <c r="R6" s="47"/>
      <c r="S6" s="47"/>
      <c r="T6" s="47"/>
      <c r="U6" s="47"/>
      <c r="V6" s="47"/>
      <c r="W6" s="49"/>
      <c r="X6" s="47"/>
      <c r="Y6" s="47"/>
      <c r="Z6" s="47"/>
      <c r="AA6" s="47"/>
      <c r="AB6" s="47"/>
      <c r="AC6" s="47"/>
      <c r="AD6" s="47"/>
      <c r="AE6" s="47"/>
      <c r="AF6" s="47"/>
      <c r="AG6" s="49"/>
      <c r="AH6" s="47"/>
      <c r="AI6" s="47"/>
      <c r="AJ6" s="47"/>
      <c r="AK6" s="47"/>
      <c r="AL6" s="47"/>
      <c r="AM6" s="47"/>
      <c r="AN6" s="47"/>
      <c r="AO6" s="47"/>
      <c r="AP6" s="47"/>
      <c r="AQ6" s="49"/>
      <c r="AR6" s="47"/>
      <c r="AS6" s="47"/>
      <c r="AT6" s="47"/>
      <c r="AU6" s="47"/>
      <c r="AV6" s="47"/>
      <c r="AW6" s="47"/>
      <c r="AX6" s="47"/>
      <c r="AY6" s="47"/>
      <c r="AZ6" s="47"/>
      <c r="BA6" s="50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1"/>
      <c r="BR6" s="52"/>
      <c r="BS6" s="53"/>
      <c r="BT6" s="53"/>
      <c r="BU6" s="52"/>
      <c r="BV6" s="47"/>
      <c r="BW6" s="47"/>
      <c r="BX6" s="51"/>
      <c r="BY6" s="52"/>
      <c r="BZ6" s="53"/>
      <c r="CA6" s="53"/>
    </row>
    <row r="7" ht="11.25" customHeight="1">
      <c r="A7" s="54"/>
      <c r="B7" s="55"/>
      <c r="C7" s="56"/>
      <c r="D7" s="56"/>
      <c r="E7" s="56"/>
      <c r="F7" s="56"/>
      <c r="G7" s="56"/>
      <c r="H7" s="56"/>
      <c r="I7" s="56"/>
      <c r="J7" s="56"/>
      <c r="K7" s="56"/>
      <c r="L7" s="56"/>
      <c r="M7" s="48"/>
      <c r="N7" s="56"/>
      <c r="O7" s="56"/>
      <c r="P7" s="56"/>
      <c r="Q7" s="56"/>
      <c r="R7" s="56"/>
      <c r="S7" s="56"/>
      <c r="T7" s="56"/>
      <c r="U7" s="56"/>
      <c r="V7" s="56"/>
      <c r="W7" s="49"/>
      <c r="X7" s="56"/>
      <c r="Y7" s="56"/>
      <c r="Z7" s="56"/>
      <c r="AA7" s="56"/>
      <c r="AB7" s="56"/>
      <c r="AC7" s="56"/>
      <c r="AD7" s="56"/>
      <c r="AE7" s="56"/>
      <c r="AF7" s="56"/>
      <c r="AG7" s="49"/>
      <c r="AH7" s="56"/>
      <c r="AI7" s="56"/>
      <c r="AJ7" s="56"/>
      <c r="AK7" s="56"/>
      <c r="AL7" s="56"/>
      <c r="AM7" s="56"/>
      <c r="AN7" s="56"/>
      <c r="AO7" s="56"/>
      <c r="AP7" s="56"/>
      <c r="AQ7" s="49"/>
      <c r="AR7" s="56"/>
      <c r="AS7" s="56"/>
      <c r="AT7" s="56"/>
      <c r="AU7" s="56"/>
      <c r="AV7" s="56"/>
      <c r="AW7" s="56"/>
      <c r="AX7" s="56"/>
      <c r="AY7" s="56"/>
      <c r="AZ7" s="56"/>
      <c r="BA7" s="50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8"/>
      <c r="BS7" s="59"/>
      <c r="BT7" s="59"/>
      <c r="BU7" s="58"/>
      <c r="BV7" s="47"/>
      <c r="BW7" s="47"/>
      <c r="BX7" s="57"/>
      <c r="BY7" s="58"/>
      <c r="BZ7" s="59"/>
      <c r="CA7" s="53"/>
    </row>
    <row r="8" ht="11.25" customHeight="1">
      <c r="A8" s="45"/>
      <c r="B8" s="46"/>
      <c r="C8" s="47"/>
      <c r="D8" s="47"/>
      <c r="E8" s="47"/>
      <c r="F8" s="47"/>
      <c r="G8" s="47"/>
      <c r="H8" s="47"/>
      <c r="I8" s="47"/>
      <c r="J8" s="47"/>
      <c r="K8" s="47"/>
      <c r="L8" s="47"/>
      <c r="M8" s="48"/>
      <c r="N8" s="47"/>
      <c r="O8" s="47"/>
      <c r="P8" s="47"/>
      <c r="Q8" s="47"/>
      <c r="R8" s="47"/>
      <c r="S8" s="47"/>
      <c r="T8" s="47"/>
      <c r="U8" s="47"/>
      <c r="V8" s="47"/>
      <c r="W8" s="49"/>
      <c r="X8" s="47"/>
      <c r="Y8" s="47"/>
      <c r="Z8" s="47"/>
      <c r="AA8" s="47"/>
      <c r="AB8" s="47"/>
      <c r="AC8" s="47"/>
      <c r="AD8" s="47"/>
      <c r="AE8" s="47"/>
      <c r="AF8" s="47"/>
      <c r="AG8" s="49"/>
      <c r="AH8" s="47"/>
      <c r="AI8" s="47"/>
      <c r="AJ8" s="47"/>
      <c r="AK8" s="47"/>
      <c r="AL8" s="47"/>
      <c r="AM8" s="47"/>
      <c r="AN8" s="47"/>
      <c r="AO8" s="47"/>
      <c r="AP8" s="47"/>
      <c r="AQ8" s="49"/>
      <c r="AR8" s="47"/>
      <c r="AS8" s="47"/>
      <c r="AT8" s="47"/>
      <c r="AU8" s="47"/>
      <c r="AV8" s="47"/>
      <c r="AW8" s="47"/>
      <c r="AX8" s="47"/>
      <c r="AY8" s="47"/>
      <c r="AZ8" s="47"/>
      <c r="BA8" s="50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1"/>
      <c r="BR8" s="52"/>
      <c r="BS8" s="53"/>
      <c r="BT8" s="53"/>
      <c r="BU8" s="52"/>
      <c r="BV8" s="47"/>
      <c r="BW8" s="47"/>
      <c r="BX8" s="51"/>
      <c r="BY8" s="52"/>
      <c r="BZ8" s="53"/>
      <c r="CA8" s="53"/>
    </row>
    <row r="9" ht="11.25" customHeight="1">
      <c r="A9" s="54"/>
      <c r="B9" s="55"/>
      <c r="C9" s="56"/>
      <c r="D9" s="56"/>
      <c r="E9" s="56"/>
      <c r="F9" s="56"/>
      <c r="G9" s="56"/>
      <c r="H9" s="56"/>
      <c r="I9" s="56"/>
      <c r="J9" s="56"/>
      <c r="K9" s="56"/>
      <c r="L9" s="56"/>
      <c r="M9" s="48"/>
      <c r="N9" s="56"/>
      <c r="O9" s="56"/>
      <c r="P9" s="56"/>
      <c r="Q9" s="56"/>
      <c r="R9" s="56"/>
      <c r="S9" s="56"/>
      <c r="T9" s="56"/>
      <c r="U9" s="56"/>
      <c r="V9" s="56"/>
      <c r="W9" s="49"/>
      <c r="X9" s="56"/>
      <c r="Y9" s="56"/>
      <c r="Z9" s="56"/>
      <c r="AA9" s="56"/>
      <c r="AB9" s="56"/>
      <c r="AC9" s="56"/>
      <c r="AD9" s="56"/>
      <c r="AE9" s="56"/>
      <c r="AF9" s="56"/>
      <c r="AG9" s="49"/>
      <c r="AH9" s="56"/>
      <c r="AI9" s="56"/>
      <c r="AJ9" s="56"/>
      <c r="AK9" s="56"/>
      <c r="AL9" s="56"/>
      <c r="AM9" s="56"/>
      <c r="AN9" s="56"/>
      <c r="AO9" s="56"/>
      <c r="AP9" s="56"/>
      <c r="AQ9" s="49"/>
      <c r="AR9" s="56"/>
      <c r="AS9" s="56"/>
      <c r="AT9" s="56"/>
      <c r="AU9" s="56"/>
      <c r="AV9" s="56"/>
      <c r="AW9" s="56"/>
      <c r="AX9" s="56"/>
      <c r="AY9" s="56"/>
      <c r="AZ9" s="56"/>
      <c r="BA9" s="50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8"/>
      <c r="BS9" s="59"/>
      <c r="BT9" s="59"/>
      <c r="BU9" s="58"/>
      <c r="BV9" s="47"/>
      <c r="BW9" s="47"/>
      <c r="BX9" s="57"/>
      <c r="BY9" s="58"/>
      <c r="BZ9" s="59"/>
      <c r="CA9" s="53"/>
    </row>
    <row r="10" ht="11.25" customHeight="1">
      <c r="A10" s="45"/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8"/>
      <c r="N10" s="47"/>
      <c r="O10" s="47"/>
      <c r="P10" s="47"/>
      <c r="Q10" s="47"/>
      <c r="R10" s="47"/>
      <c r="S10" s="47"/>
      <c r="T10" s="47"/>
      <c r="U10" s="47"/>
      <c r="V10" s="47"/>
      <c r="W10" s="49"/>
      <c r="X10" s="47"/>
      <c r="Y10" s="47"/>
      <c r="Z10" s="47"/>
      <c r="AA10" s="47"/>
      <c r="AB10" s="47"/>
      <c r="AC10" s="47"/>
      <c r="AD10" s="47"/>
      <c r="AE10" s="47"/>
      <c r="AF10" s="47"/>
      <c r="AG10" s="49"/>
      <c r="AH10" s="47"/>
      <c r="AI10" s="47"/>
      <c r="AJ10" s="47"/>
      <c r="AK10" s="47"/>
      <c r="AL10" s="47"/>
      <c r="AM10" s="47"/>
      <c r="AN10" s="47"/>
      <c r="AO10" s="47"/>
      <c r="AP10" s="47"/>
      <c r="AQ10" s="49"/>
      <c r="AR10" s="47"/>
      <c r="AS10" s="47"/>
      <c r="AT10" s="47"/>
      <c r="AU10" s="47"/>
      <c r="AV10" s="47"/>
      <c r="AW10" s="47"/>
      <c r="AX10" s="47"/>
      <c r="AY10" s="47"/>
      <c r="AZ10" s="47"/>
      <c r="BA10" s="50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2"/>
      <c r="BS10" s="53"/>
      <c r="BT10" s="53"/>
      <c r="BU10" s="52"/>
      <c r="BV10" s="47"/>
      <c r="BW10" s="47"/>
      <c r="BX10" s="51"/>
      <c r="BY10" s="52"/>
      <c r="BZ10" s="53"/>
      <c r="CA10" s="53"/>
    </row>
    <row r="11" ht="11.25" customHeight="1">
      <c r="A11" s="54"/>
      <c r="B11" s="55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48"/>
      <c r="N11" s="56"/>
      <c r="O11" s="56"/>
      <c r="P11" s="56"/>
      <c r="Q11" s="56"/>
      <c r="R11" s="56"/>
      <c r="S11" s="56"/>
      <c r="T11" s="56"/>
      <c r="U11" s="56"/>
      <c r="V11" s="56"/>
      <c r="W11" s="49"/>
      <c r="X11" s="56"/>
      <c r="Y11" s="56"/>
      <c r="Z11" s="56"/>
      <c r="AA11" s="56"/>
      <c r="AB11" s="56"/>
      <c r="AC11" s="56"/>
      <c r="AD11" s="56"/>
      <c r="AE11" s="56"/>
      <c r="AF11" s="56"/>
      <c r="AG11" s="49"/>
      <c r="AH11" s="56"/>
      <c r="AI11" s="56"/>
      <c r="AJ11" s="56"/>
      <c r="AK11" s="56"/>
      <c r="AL11" s="56"/>
      <c r="AM11" s="56"/>
      <c r="AN11" s="56"/>
      <c r="AO11" s="56"/>
      <c r="AP11" s="56"/>
      <c r="AQ11" s="49"/>
      <c r="AR11" s="56"/>
      <c r="AS11" s="56"/>
      <c r="AT11" s="56"/>
      <c r="AU11" s="56"/>
      <c r="AV11" s="56"/>
      <c r="AW11" s="56"/>
      <c r="AX11" s="56"/>
      <c r="AY11" s="56"/>
      <c r="AZ11" s="56"/>
      <c r="BA11" s="50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8"/>
      <c r="BS11" s="59"/>
      <c r="BT11" s="59"/>
      <c r="BU11" s="58"/>
      <c r="BV11" s="47"/>
      <c r="BW11" s="47"/>
      <c r="BX11" s="57"/>
      <c r="BY11" s="58"/>
      <c r="BZ11" s="59"/>
      <c r="CA11" s="53"/>
    </row>
    <row r="12" ht="11.25" customHeight="1">
      <c r="A12" s="45"/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8"/>
      <c r="N12" s="47"/>
      <c r="O12" s="47"/>
      <c r="P12" s="47"/>
      <c r="Q12" s="47"/>
      <c r="R12" s="47"/>
      <c r="S12" s="47"/>
      <c r="T12" s="47"/>
      <c r="U12" s="47"/>
      <c r="V12" s="47"/>
      <c r="W12" s="49"/>
      <c r="X12" s="47"/>
      <c r="Y12" s="47"/>
      <c r="Z12" s="47"/>
      <c r="AA12" s="47"/>
      <c r="AB12" s="47"/>
      <c r="AC12" s="47"/>
      <c r="AD12" s="47"/>
      <c r="AE12" s="47"/>
      <c r="AF12" s="47"/>
      <c r="AG12" s="49"/>
      <c r="AH12" s="47"/>
      <c r="AI12" s="47"/>
      <c r="AJ12" s="47"/>
      <c r="AK12" s="47"/>
      <c r="AL12" s="47"/>
      <c r="AM12" s="47"/>
      <c r="AN12" s="47"/>
      <c r="AO12" s="47"/>
      <c r="AP12" s="47"/>
      <c r="AQ12" s="49"/>
      <c r="AR12" s="47"/>
      <c r="AS12" s="47"/>
      <c r="AT12" s="47"/>
      <c r="AU12" s="47"/>
      <c r="AV12" s="47"/>
      <c r="AW12" s="47"/>
      <c r="AX12" s="47"/>
      <c r="AY12" s="47"/>
      <c r="AZ12" s="47"/>
      <c r="BA12" s="50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2"/>
      <c r="BS12" s="53"/>
      <c r="BT12" s="53"/>
      <c r="BU12" s="52"/>
      <c r="BV12" s="47"/>
      <c r="BW12" s="47"/>
      <c r="BX12" s="51"/>
      <c r="BY12" s="52"/>
      <c r="BZ12" s="53"/>
      <c r="CA12" s="53"/>
    </row>
    <row r="13" ht="11.25" customHeight="1">
      <c r="A13" s="54"/>
      <c r="B13" s="55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48"/>
      <c r="N13" s="56"/>
      <c r="O13" s="56"/>
      <c r="P13" s="56"/>
      <c r="Q13" s="56"/>
      <c r="R13" s="56"/>
      <c r="S13" s="56"/>
      <c r="T13" s="56"/>
      <c r="U13" s="56"/>
      <c r="V13" s="56"/>
      <c r="W13" s="49"/>
      <c r="X13" s="56"/>
      <c r="Y13" s="56"/>
      <c r="Z13" s="56"/>
      <c r="AA13" s="56"/>
      <c r="AB13" s="56"/>
      <c r="AC13" s="56"/>
      <c r="AD13" s="56"/>
      <c r="AE13" s="56"/>
      <c r="AF13" s="56"/>
      <c r="AG13" s="49"/>
      <c r="AH13" s="56"/>
      <c r="AI13" s="56"/>
      <c r="AJ13" s="56"/>
      <c r="AK13" s="56"/>
      <c r="AL13" s="56"/>
      <c r="AM13" s="56"/>
      <c r="AN13" s="56"/>
      <c r="AO13" s="56"/>
      <c r="AP13" s="56"/>
      <c r="AQ13" s="49"/>
      <c r="AR13" s="56"/>
      <c r="AS13" s="56"/>
      <c r="AT13" s="56"/>
      <c r="AU13" s="56"/>
      <c r="AV13" s="56"/>
      <c r="AW13" s="56"/>
      <c r="AX13" s="56"/>
      <c r="AY13" s="56"/>
      <c r="AZ13" s="56"/>
      <c r="BA13" s="50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8"/>
      <c r="BS13" s="59"/>
      <c r="BT13" s="59"/>
      <c r="BU13" s="58"/>
      <c r="BV13" s="47"/>
      <c r="BW13" s="47"/>
      <c r="BX13" s="57"/>
      <c r="BY13" s="58"/>
      <c r="BZ13" s="59"/>
      <c r="CA13" s="53"/>
    </row>
    <row r="14" ht="11.25" customHeight="1">
      <c r="A14" s="45"/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8"/>
      <c r="N14" s="47"/>
      <c r="O14" s="47"/>
      <c r="P14" s="47"/>
      <c r="Q14" s="47"/>
      <c r="R14" s="47"/>
      <c r="S14" s="47"/>
      <c r="T14" s="47"/>
      <c r="U14" s="47"/>
      <c r="V14" s="47"/>
      <c r="W14" s="49"/>
      <c r="X14" s="47"/>
      <c r="Y14" s="47"/>
      <c r="Z14" s="47"/>
      <c r="AA14" s="47"/>
      <c r="AB14" s="47"/>
      <c r="AC14" s="47"/>
      <c r="AD14" s="47"/>
      <c r="AE14" s="47"/>
      <c r="AF14" s="47"/>
      <c r="AG14" s="49"/>
      <c r="AH14" s="47"/>
      <c r="AI14" s="47"/>
      <c r="AJ14" s="47"/>
      <c r="AK14" s="47"/>
      <c r="AL14" s="47"/>
      <c r="AM14" s="47"/>
      <c r="AN14" s="47"/>
      <c r="AO14" s="47"/>
      <c r="AP14" s="47"/>
      <c r="AQ14" s="49"/>
      <c r="AR14" s="47"/>
      <c r="AS14" s="47"/>
      <c r="AT14" s="47"/>
      <c r="AU14" s="47"/>
      <c r="AV14" s="47"/>
      <c r="AW14" s="47"/>
      <c r="AX14" s="47"/>
      <c r="AY14" s="47"/>
      <c r="AZ14" s="47"/>
      <c r="BA14" s="50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2"/>
      <c r="BS14" s="53"/>
      <c r="BT14" s="53"/>
      <c r="BU14" s="52"/>
      <c r="BV14" s="47"/>
      <c r="BW14" s="47"/>
      <c r="BX14" s="51"/>
      <c r="BY14" s="52"/>
      <c r="BZ14" s="53"/>
      <c r="CA14" s="53"/>
    </row>
    <row r="15" ht="11.25" customHeight="1">
      <c r="A15" s="54"/>
      <c r="B15" s="55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48"/>
      <c r="N15" s="56"/>
      <c r="O15" s="56"/>
      <c r="P15" s="56"/>
      <c r="Q15" s="56"/>
      <c r="R15" s="56"/>
      <c r="S15" s="56"/>
      <c r="T15" s="56"/>
      <c r="U15" s="56"/>
      <c r="V15" s="56"/>
      <c r="W15" s="49"/>
      <c r="X15" s="56"/>
      <c r="Y15" s="56"/>
      <c r="Z15" s="56"/>
      <c r="AA15" s="56"/>
      <c r="AB15" s="56"/>
      <c r="AC15" s="56"/>
      <c r="AD15" s="56"/>
      <c r="AE15" s="56"/>
      <c r="AF15" s="56"/>
      <c r="AG15" s="49"/>
      <c r="AH15" s="56"/>
      <c r="AI15" s="56"/>
      <c r="AJ15" s="56"/>
      <c r="AK15" s="56"/>
      <c r="AL15" s="56"/>
      <c r="AM15" s="56"/>
      <c r="AN15" s="56"/>
      <c r="AO15" s="56"/>
      <c r="AP15" s="56"/>
      <c r="AQ15" s="49"/>
      <c r="AR15" s="56"/>
      <c r="AS15" s="56"/>
      <c r="AT15" s="56"/>
      <c r="AU15" s="56"/>
      <c r="AV15" s="56"/>
      <c r="AW15" s="56"/>
      <c r="AX15" s="56"/>
      <c r="AY15" s="56"/>
      <c r="AZ15" s="56"/>
      <c r="BA15" s="50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8"/>
      <c r="BS15" s="59"/>
      <c r="BT15" s="59"/>
      <c r="BU15" s="58"/>
      <c r="BV15" s="47"/>
      <c r="BW15" s="47"/>
      <c r="BX15" s="57"/>
      <c r="BY15" s="58"/>
      <c r="BZ15" s="59"/>
      <c r="CA15" s="53"/>
    </row>
    <row r="16" ht="11.25" customHeight="1">
      <c r="A16" s="45"/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8"/>
      <c r="N16" s="47"/>
      <c r="O16" s="47"/>
      <c r="P16" s="47"/>
      <c r="Q16" s="47"/>
      <c r="R16" s="47"/>
      <c r="S16" s="47"/>
      <c r="T16" s="47"/>
      <c r="U16" s="47"/>
      <c r="V16" s="47"/>
      <c r="W16" s="49"/>
      <c r="X16" s="47"/>
      <c r="Y16" s="47"/>
      <c r="Z16" s="47"/>
      <c r="AA16" s="47"/>
      <c r="AB16" s="47"/>
      <c r="AC16" s="47"/>
      <c r="AD16" s="47"/>
      <c r="AE16" s="47"/>
      <c r="AF16" s="47"/>
      <c r="AG16" s="49"/>
      <c r="AH16" s="47"/>
      <c r="AI16" s="47"/>
      <c r="AJ16" s="47"/>
      <c r="AK16" s="47"/>
      <c r="AL16" s="47"/>
      <c r="AM16" s="47"/>
      <c r="AN16" s="47"/>
      <c r="AO16" s="47"/>
      <c r="AP16" s="47"/>
      <c r="AQ16" s="49"/>
      <c r="AR16" s="47"/>
      <c r="AS16" s="47"/>
      <c r="AT16" s="47"/>
      <c r="AU16" s="47"/>
      <c r="AV16" s="47"/>
      <c r="AW16" s="47"/>
      <c r="AX16" s="47"/>
      <c r="AY16" s="47"/>
      <c r="AZ16" s="47"/>
      <c r="BA16" s="50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2"/>
      <c r="BS16" s="53"/>
      <c r="BT16" s="53"/>
      <c r="BU16" s="52"/>
      <c r="BV16" s="47"/>
      <c r="BW16" s="47"/>
      <c r="BX16" s="51"/>
      <c r="BY16" s="52"/>
      <c r="BZ16" s="53"/>
      <c r="CA16" s="53"/>
    </row>
    <row r="17" ht="11.25" customHeight="1">
      <c r="A17" s="54"/>
      <c r="B17" s="55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48"/>
      <c r="N17" s="56"/>
      <c r="O17" s="56"/>
      <c r="P17" s="56"/>
      <c r="Q17" s="56"/>
      <c r="R17" s="56"/>
      <c r="S17" s="56"/>
      <c r="T17" s="56"/>
      <c r="U17" s="56"/>
      <c r="V17" s="56"/>
      <c r="W17" s="49"/>
      <c r="X17" s="56"/>
      <c r="Y17" s="56"/>
      <c r="Z17" s="56"/>
      <c r="AA17" s="56"/>
      <c r="AB17" s="56"/>
      <c r="AC17" s="56"/>
      <c r="AD17" s="56"/>
      <c r="AE17" s="56"/>
      <c r="AF17" s="56"/>
      <c r="AG17" s="49"/>
      <c r="AH17" s="56"/>
      <c r="AI17" s="56"/>
      <c r="AJ17" s="56"/>
      <c r="AK17" s="56"/>
      <c r="AL17" s="56"/>
      <c r="AM17" s="56"/>
      <c r="AN17" s="56"/>
      <c r="AO17" s="56"/>
      <c r="AP17" s="56"/>
      <c r="AQ17" s="49"/>
      <c r="AR17" s="56"/>
      <c r="AS17" s="56"/>
      <c r="AT17" s="56"/>
      <c r="AU17" s="56"/>
      <c r="AV17" s="56"/>
      <c r="AW17" s="56"/>
      <c r="AX17" s="56"/>
      <c r="AY17" s="56"/>
      <c r="AZ17" s="56"/>
      <c r="BA17" s="50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8"/>
      <c r="BS17" s="59"/>
      <c r="BT17" s="59"/>
      <c r="BU17" s="58"/>
      <c r="BV17" s="47"/>
      <c r="BW17" s="47"/>
      <c r="BX17" s="57"/>
      <c r="BY17" s="58"/>
      <c r="BZ17" s="59"/>
      <c r="CA17" s="53"/>
    </row>
    <row r="18" ht="11.25" customHeight="1">
      <c r="A18" s="45"/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7"/>
      <c r="O18" s="47"/>
      <c r="P18" s="47"/>
      <c r="Q18" s="47"/>
      <c r="R18" s="47"/>
      <c r="S18" s="47"/>
      <c r="T18" s="47"/>
      <c r="U18" s="47"/>
      <c r="V18" s="47"/>
      <c r="W18" s="49"/>
      <c r="X18" s="47"/>
      <c r="Y18" s="47"/>
      <c r="Z18" s="47"/>
      <c r="AA18" s="47"/>
      <c r="AB18" s="47"/>
      <c r="AC18" s="47"/>
      <c r="AD18" s="47"/>
      <c r="AE18" s="47"/>
      <c r="AF18" s="47"/>
      <c r="AG18" s="49"/>
      <c r="AH18" s="47"/>
      <c r="AI18" s="47"/>
      <c r="AJ18" s="47"/>
      <c r="AK18" s="47"/>
      <c r="AL18" s="47"/>
      <c r="AM18" s="47"/>
      <c r="AN18" s="47"/>
      <c r="AO18" s="47"/>
      <c r="AP18" s="47"/>
      <c r="AQ18" s="49"/>
      <c r="AR18" s="47"/>
      <c r="AS18" s="47"/>
      <c r="AT18" s="47"/>
      <c r="AU18" s="47"/>
      <c r="AV18" s="47"/>
      <c r="AW18" s="47"/>
      <c r="AX18" s="47"/>
      <c r="AY18" s="47"/>
      <c r="AZ18" s="47"/>
      <c r="BA18" s="50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2"/>
      <c r="BS18" s="53"/>
      <c r="BT18" s="53"/>
      <c r="BU18" s="52"/>
      <c r="BV18" s="47"/>
      <c r="BW18" s="47"/>
      <c r="BX18" s="51"/>
      <c r="BY18" s="52"/>
      <c r="BZ18" s="53"/>
      <c r="CA18" s="53"/>
    </row>
    <row r="19" ht="11.25" customHeight="1">
      <c r="A19" s="54"/>
      <c r="B19" s="55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48"/>
      <c r="N19" s="56"/>
      <c r="O19" s="56"/>
      <c r="P19" s="56"/>
      <c r="Q19" s="56"/>
      <c r="R19" s="56"/>
      <c r="S19" s="56"/>
      <c r="T19" s="56"/>
      <c r="U19" s="56"/>
      <c r="V19" s="56"/>
      <c r="W19" s="49"/>
      <c r="X19" s="56"/>
      <c r="Y19" s="56"/>
      <c r="Z19" s="56"/>
      <c r="AA19" s="56"/>
      <c r="AB19" s="56"/>
      <c r="AC19" s="56"/>
      <c r="AD19" s="56"/>
      <c r="AE19" s="56"/>
      <c r="AF19" s="56"/>
      <c r="AG19" s="49"/>
      <c r="AH19" s="56"/>
      <c r="AI19" s="56"/>
      <c r="AJ19" s="56"/>
      <c r="AK19" s="56"/>
      <c r="AL19" s="56"/>
      <c r="AM19" s="56"/>
      <c r="AN19" s="56"/>
      <c r="AO19" s="56"/>
      <c r="AP19" s="56"/>
      <c r="AQ19" s="49"/>
      <c r="AR19" s="56"/>
      <c r="AS19" s="56"/>
      <c r="AT19" s="56"/>
      <c r="AU19" s="56"/>
      <c r="AV19" s="56"/>
      <c r="AW19" s="56"/>
      <c r="AX19" s="56"/>
      <c r="AY19" s="56"/>
      <c r="AZ19" s="56"/>
      <c r="BA19" s="50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8"/>
      <c r="BS19" s="59"/>
      <c r="BT19" s="59"/>
      <c r="BU19" s="58"/>
      <c r="BV19" s="47"/>
      <c r="BW19" s="47"/>
      <c r="BX19" s="57"/>
      <c r="BY19" s="58"/>
      <c r="BZ19" s="59"/>
      <c r="CA19" s="53"/>
    </row>
    <row r="20" ht="11.25" customHeight="1">
      <c r="A20" s="45"/>
      <c r="B20" s="46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8"/>
      <c r="N20" s="47"/>
      <c r="O20" s="47"/>
      <c r="P20" s="47"/>
      <c r="Q20" s="47"/>
      <c r="R20" s="47"/>
      <c r="S20" s="47"/>
      <c r="T20" s="47"/>
      <c r="U20" s="47"/>
      <c r="V20" s="47"/>
      <c r="W20" s="49"/>
      <c r="X20" s="47"/>
      <c r="Y20" s="47"/>
      <c r="Z20" s="47"/>
      <c r="AA20" s="47"/>
      <c r="AB20" s="47"/>
      <c r="AC20" s="47"/>
      <c r="AD20" s="47"/>
      <c r="AE20" s="47"/>
      <c r="AF20" s="47"/>
      <c r="AG20" s="49"/>
      <c r="AH20" s="47"/>
      <c r="AI20" s="47"/>
      <c r="AJ20" s="47"/>
      <c r="AK20" s="47"/>
      <c r="AL20" s="47"/>
      <c r="AM20" s="47"/>
      <c r="AN20" s="47"/>
      <c r="AO20" s="47"/>
      <c r="AP20" s="47"/>
      <c r="AQ20" s="49"/>
      <c r="AR20" s="47"/>
      <c r="AS20" s="47"/>
      <c r="AT20" s="47"/>
      <c r="AU20" s="47"/>
      <c r="AV20" s="47"/>
      <c r="AW20" s="47"/>
      <c r="AX20" s="47"/>
      <c r="AY20" s="47"/>
      <c r="AZ20" s="47"/>
      <c r="BA20" s="50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2"/>
      <c r="BS20" s="53"/>
      <c r="BT20" s="53"/>
      <c r="BU20" s="52"/>
      <c r="BV20" s="47"/>
      <c r="BW20" s="47"/>
      <c r="BX20" s="51"/>
      <c r="BY20" s="52"/>
      <c r="BZ20" s="53"/>
      <c r="CA20" s="53"/>
    </row>
    <row r="21" ht="11.25" customHeight="1">
      <c r="A21" s="54"/>
      <c r="B21" s="55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48"/>
      <c r="N21" s="56"/>
      <c r="O21" s="56"/>
      <c r="P21" s="56"/>
      <c r="Q21" s="56"/>
      <c r="R21" s="56"/>
      <c r="S21" s="56"/>
      <c r="T21" s="56"/>
      <c r="U21" s="56"/>
      <c r="V21" s="56"/>
      <c r="W21" s="49"/>
      <c r="X21" s="56"/>
      <c r="Y21" s="56"/>
      <c r="Z21" s="56"/>
      <c r="AA21" s="56"/>
      <c r="AB21" s="56"/>
      <c r="AC21" s="56"/>
      <c r="AD21" s="56"/>
      <c r="AE21" s="56"/>
      <c r="AF21" s="56"/>
      <c r="AG21" s="49"/>
      <c r="AH21" s="56"/>
      <c r="AI21" s="56"/>
      <c r="AJ21" s="56"/>
      <c r="AK21" s="56"/>
      <c r="AL21" s="56"/>
      <c r="AM21" s="56"/>
      <c r="AN21" s="56"/>
      <c r="AO21" s="56"/>
      <c r="AP21" s="56"/>
      <c r="AQ21" s="49"/>
      <c r="AR21" s="56"/>
      <c r="AS21" s="56"/>
      <c r="AT21" s="56"/>
      <c r="AU21" s="56"/>
      <c r="AV21" s="56"/>
      <c r="AW21" s="56"/>
      <c r="AX21" s="56"/>
      <c r="AY21" s="56"/>
      <c r="AZ21" s="56"/>
      <c r="BA21" s="50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8"/>
      <c r="BS21" s="59"/>
      <c r="BT21" s="59"/>
      <c r="BU21" s="58"/>
      <c r="BV21" s="47"/>
      <c r="BW21" s="47"/>
      <c r="BX21" s="57"/>
      <c r="BY21" s="58"/>
      <c r="BZ21" s="59"/>
      <c r="CA21" s="53"/>
    </row>
    <row r="22" ht="11.25" customHeight="1">
      <c r="A22" s="45"/>
      <c r="B22" s="46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8"/>
      <c r="N22" s="47"/>
      <c r="O22" s="47"/>
      <c r="P22" s="47"/>
      <c r="Q22" s="47"/>
      <c r="R22" s="47"/>
      <c r="S22" s="47"/>
      <c r="T22" s="47"/>
      <c r="U22" s="47"/>
      <c r="V22" s="47"/>
      <c r="W22" s="49"/>
      <c r="X22" s="47"/>
      <c r="Y22" s="47"/>
      <c r="Z22" s="47"/>
      <c r="AA22" s="47"/>
      <c r="AB22" s="47"/>
      <c r="AC22" s="47"/>
      <c r="AD22" s="47"/>
      <c r="AE22" s="47"/>
      <c r="AF22" s="47"/>
      <c r="AG22" s="49"/>
      <c r="AH22" s="47"/>
      <c r="AI22" s="47"/>
      <c r="AJ22" s="47"/>
      <c r="AK22" s="47"/>
      <c r="AL22" s="47"/>
      <c r="AM22" s="47"/>
      <c r="AN22" s="47"/>
      <c r="AO22" s="47"/>
      <c r="AP22" s="47"/>
      <c r="AQ22" s="49"/>
      <c r="AR22" s="47"/>
      <c r="AS22" s="47"/>
      <c r="AT22" s="47"/>
      <c r="AU22" s="47"/>
      <c r="AV22" s="47"/>
      <c r="AW22" s="47"/>
      <c r="AX22" s="47"/>
      <c r="AY22" s="47"/>
      <c r="AZ22" s="47"/>
      <c r="BA22" s="50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2"/>
      <c r="BS22" s="53"/>
      <c r="BT22" s="53"/>
      <c r="BU22" s="52"/>
      <c r="BV22" s="47"/>
      <c r="BW22" s="47"/>
      <c r="BX22" s="51"/>
      <c r="BY22" s="52"/>
      <c r="BZ22" s="53"/>
      <c r="CA22" s="53"/>
    </row>
    <row r="23" ht="11.25" customHeight="1">
      <c r="A23" s="54"/>
      <c r="B23" s="55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48"/>
      <c r="N23" s="56"/>
      <c r="O23" s="56"/>
      <c r="P23" s="56"/>
      <c r="Q23" s="56"/>
      <c r="R23" s="56"/>
      <c r="S23" s="56"/>
      <c r="T23" s="56"/>
      <c r="U23" s="56"/>
      <c r="V23" s="56"/>
      <c r="W23" s="49"/>
      <c r="X23" s="56"/>
      <c r="Y23" s="56"/>
      <c r="Z23" s="56"/>
      <c r="AA23" s="56"/>
      <c r="AB23" s="56"/>
      <c r="AC23" s="56"/>
      <c r="AD23" s="56"/>
      <c r="AE23" s="56"/>
      <c r="AF23" s="56"/>
      <c r="AG23" s="49"/>
      <c r="AH23" s="56"/>
      <c r="AI23" s="56"/>
      <c r="AJ23" s="56"/>
      <c r="AK23" s="56"/>
      <c r="AL23" s="56"/>
      <c r="AM23" s="56"/>
      <c r="AN23" s="56"/>
      <c r="AO23" s="56"/>
      <c r="AP23" s="56"/>
      <c r="AQ23" s="49"/>
      <c r="AR23" s="56"/>
      <c r="AS23" s="56"/>
      <c r="AT23" s="56"/>
      <c r="AU23" s="56"/>
      <c r="AV23" s="56"/>
      <c r="AW23" s="56"/>
      <c r="AX23" s="56"/>
      <c r="AY23" s="56"/>
      <c r="AZ23" s="56"/>
      <c r="BA23" s="50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8"/>
      <c r="BS23" s="59"/>
      <c r="BT23" s="59"/>
      <c r="BU23" s="58"/>
      <c r="BV23" s="47"/>
      <c r="BW23" s="47"/>
      <c r="BX23" s="57"/>
      <c r="BY23" s="58"/>
      <c r="BZ23" s="59"/>
      <c r="CA23" s="53"/>
    </row>
    <row r="24" ht="11.25" customHeight="1">
      <c r="A24" s="46"/>
      <c r="B24" s="46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8"/>
      <c r="N24" s="47"/>
      <c r="O24" s="47"/>
      <c r="P24" s="47"/>
      <c r="Q24" s="47"/>
      <c r="R24" s="47"/>
      <c r="S24" s="47"/>
      <c r="T24" s="47"/>
      <c r="U24" s="47"/>
      <c r="V24" s="47"/>
      <c r="W24" s="49"/>
      <c r="X24" s="47"/>
      <c r="Y24" s="47"/>
      <c r="Z24" s="47"/>
      <c r="AA24" s="47"/>
      <c r="AB24" s="47"/>
      <c r="AC24" s="47"/>
      <c r="AD24" s="47"/>
      <c r="AE24" s="47"/>
      <c r="AF24" s="47"/>
      <c r="AG24" s="49"/>
      <c r="AH24" s="47"/>
      <c r="AI24" s="47"/>
      <c r="AJ24" s="47"/>
      <c r="AK24" s="47"/>
      <c r="AL24" s="47"/>
      <c r="AM24" s="47"/>
      <c r="AN24" s="47"/>
      <c r="AO24" s="47"/>
      <c r="AP24" s="47"/>
      <c r="AQ24" s="49"/>
      <c r="AR24" s="47"/>
      <c r="AS24" s="47"/>
      <c r="AT24" s="47"/>
      <c r="AU24" s="47"/>
      <c r="AV24" s="47"/>
      <c r="AW24" s="47"/>
      <c r="AX24" s="47"/>
      <c r="AY24" s="47"/>
      <c r="AZ24" s="47"/>
      <c r="BA24" s="50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3"/>
      <c r="BS24" s="53"/>
      <c r="BT24" s="53"/>
      <c r="BU24" s="53"/>
      <c r="BV24" s="47"/>
      <c r="BW24" s="47"/>
      <c r="BX24" s="51"/>
      <c r="BY24" s="53"/>
      <c r="BZ24" s="53"/>
      <c r="CA24" s="53"/>
    </row>
    <row r="25" ht="11.25" customHeight="1">
      <c r="A25" s="54"/>
      <c r="B25" s="55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48"/>
      <c r="N25" s="56"/>
      <c r="O25" s="56"/>
      <c r="P25" s="56"/>
      <c r="Q25" s="56"/>
      <c r="R25" s="56"/>
      <c r="S25" s="56"/>
      <c r="T25" s="56"/>
      <c r="U25" s="56"/>
      <c r="V25" s="56"/>
      <c r="W25" s="49"/>
      <c r="X25" s="56"/>
      <c r="Y25" s="56"/>
      <c r="Z25" s="56"/>
      <c r="AA25" s="56"/>
      <c r="AB25" s="56"/>
      <c r="AC25" s="56"/>
      <c r="AD25" s="56"/>
      <c r="AE25" s="56"/>
      <c r="AF25" s="56"/>
      <c r="AG25" s="49"/>
      <c r="AH25" s="56"/>
      <c r="AI25" s="56"/>
      <c r="AJ25" s="56"/>
      <c r="AK25" s="56"/>
      <c r="AL25" s="56"/>
      <c r="AM25" s="56"/>
      <c r="AN25" s="56"/>
      <c r="AO25" s="56"/>
      <c r="AP25" s="56"/>
      <c r="AQ25" s="49"/>
      <c r="AR25" s="56"/>
      <c r="AS25" s="56"/>
      <c r="AT25" s="56"/>
      <c r="AU25" s="56"/>
      <c r="AV25" s="56"/>
      <c r="AW25" s="56"/>
      <c r="AX25" s="56"/>
      <c r="AY25" s="56"/>
      <c r="AZ25" s="56"/>
      <c r="BA25" s="50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8"/>
      <c r="BS25" s="59"/>
      <c r="BT25" s="59"/>
      <c r="BU25" s="58"/>
      <c r="BV25" s="47"/>
      <c r="BW25" s="47"/>
      <c r="BX25" s="57"/>
      <c r="BY25" s="58"/>
      <c r="BZ25" s="59"/>
      <c r="CA25" s="53"/>
    </row>
    <row r="26" ht="11.25" customHeight="1">
      <c r="A26" s="45"/>
      <c r="B26" s="46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8"/>
      <c r="N26" s="47"/>
      <c r="O26" s="47"/>
      <c r="P26" s="47"/>
      <c r="Q26" s="47"/>
      <c r="R26" s="47"/>
      <c r="S26" s="47"/>
      <c r="T26" s="47"/>
      <c r="U26" s="47"/>
      <c r="V26" s="47"/>
      <c r="W26" s="49"/>
      <c r="X26" s="47"/>
      <c r="Y26" s="47"/>
      <c r="Z26" s="47"/>
      <c r="AA26" s="47"/>
      <c r="AB26" s="47"/>
      <c r="AC26" s="47"/>
      <c r="AD26" s="47"/>
      <c r="AE26" s="47"/>
      <c r="AF26" s="47"/>
      <c r="AG26" s="49"/>
      <c r="AH26" s="47"/>
      <c r="AI26" s="47"/>
      <c r="AJ26" s="47"/>
      <c r="AK26" s="47"/>
      <c r="AL26" s="47"/>
      <c r="AM26" s="47"/>
      <c r="AN26" s="47"/>
      <c r="AO26" s="47"/>
      <c r="AP26" s="47"/>
      <c r="AQ26" s="49"/>
      <c r="AR26" s="47"/>
      <c r="AS26" s="47"/>
      <c r="AT26" s="47"/>
      <c r="AU26" s="47"/>
      <c r="AV26" s="47"/>
      <c r="AW26" s="47"/>
      <c r="AX26" s="47"/>
      <c r="AY26" s="47"/>
      <c r="AZ26" s="47"/>
      <c r="BA26" s="50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2"/>
      <c r="BS26" s="53"/>
      <c r="BT26" s="53"/>
      <c r="BU26" s="52"/>
      <c r="BV26" s="47"/>
      <c r="BW26" s="47"/>
      <c r="BX26" s="51"/>
      <c r="BY26" s="52"/>
      <c r="BZ26" s="53"/>
      <c r="CA26" s="53"/>
    </row>
    <row r="27" ht="11.25" customHeight="1">
      <c r="A27" s="54"/>
      <c r="B27" s="55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48"/>
      <c r="N27" s="56"/>
      <c r="O27" s="56"/>
      <c r="P27" s="56"/>
      <c r="Q27" s="56"/>
      <c r="R27" s="56"/>
      <c r="S27" s="56"/>
      <c r="T27" s="56"/>
      <c r="U27" s="56"/>
      <c r="V27" s="56"/>
      <c r="W27" s="49"/>
      <c r="X27" s="56"/>
      <c r="Y27" s="56"/>
      <c r="Z27" s="56"/>
      <c r="AA27" s="56"/>
      <c r="AB27" s="56"/>
      <c r="AC27" s="56"/>
      <c r="AD27" s="56"/>
      <c r="AE27" s="56"/>
      <c r="AF27" s="56"/>
      <c r="AG27" s="49"/>
      <c r="AH27" s="56"/>
      <c r="AI27" s="56"/>
      <c r="AJ27" s="56"/>
      <c r="AK27" s="56"/>
      <c r="AL27" s="56"/>
      <c r="AM27" s="56"/>
      <c r="AN27" s="56"/>
      <c r="AO27" s="56"/>
      <c r="AP27" s="56"/>
      <c r="AQ27" s="49"/>
      <c r="AR27" s="56"/>
      <c r="AS27" s="56"/>
      <c r="AT27" s="56"/>
      <c r="AU27" s="56"/>
      <c r="AV27" s="56"/>
      <c r="AW27" s="56"/>
      <c r="AX27" s="56"/>
      <c r="AY27" s="56"/>
      <c r="AZ27" s="56"/>
      <c r="BA27" s="50"/>
      <c r="BB27" s="57"/>
      <c r="BC27" s="57"/>
      <c r="BD27" s="57"/>
      <c r="BE27" s="57"/>
      <c r="BF27" s="57"/>
      <c r="BG27" s="57"/>
      <c r="BH27" s="57"/>
      <c r="BI27" s="57"/>
      <c r="BJ27" s="57"/>
      <c r="BK27" s="57"/>
      <c r="BL27" s="57"/>
      <c r="BM27" s="57"/>
      <c r="BN27" s="57"/>
      <c r="BO27" s="57"/>
      <c r="BP27" s="57"/>
      <c r="BQ27" s="57"/>
      <c r="BR27" s="58"/>
      <c r="BS27" s="59"/>
      <c r="BT27" s="59"/>
      <c r="BU27" s="58"/>
      <c r="BV27" s="47"/>
      <c r="BW27" s="47"/>
      <c r="BX27" s="57"/>
      <c r="BY27" s="58"/>
      <c r="BZ27" s="59"/>
      <c r="CA27" s="53"/>
    </row>
    <row r="28" ht="11.25" customHeight="1">
      <c r="A28" s="45"/>
      <c r="B28" s="46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8"/>
      <c r="N28" s="47"/>
      <c r="O28" s="47"/>
      <c r="P28" s="47"/>
      <c r="Q28" s="47"/>
      <c r="R28" s="47"/>
      <c r="S28" s="47"/>
      <c r="T28" s="47"/>
      <c r="U28" s="47"/>
      <c r="V28" s="47"/>
      <c r="W28" s="49"/>
      <c r="X28" s="47"/>
      <c r="Y28" s="47"/>
      <c r="Z28" s="47"/>
      <c r="AA28" s="47"/>
      <c r="AB28" s="47"/>
      <c r="AC28" s="47"/>
      <c r="AD28" s="47"/>
      <c r="AE28" s="47"/>
      <c r="AF28" s="47"/>
      <c r="AG28" s="49"/>
      <c r="AH28" s="47"/>
      <c r="AI28" s="47"/>
      <c r="AJ28" s="47"/>
      <c r="AK28" s="47"/>
      <c r="AL28" s="47"/>
      <c r="AM28" s="47"/>
      <c r="AN28" s="47"/>
      <c r="AO28" s="47"/>
      <c r="AP28" s="47"/>
      <c r="AQ28" s="49"/>
      <c r="AR28" s="47"/>
      <c r="AS28" s="47"/>
      <c r="AT28" s="47"/>
      <c r="AU28" s="47"/>
      <c r="AV28" s="47"/>
      <c r="AW28" s="47"/>
      <c r="AX28" s="47"/>
      <c r="AY28" s="47"/>
      <c r="AZ28" s="47"/>
      <c r="BA28" s="50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2"/>
      <c r="BS28" s="53"/>
      <c r="BT28" s="53"/>
      <c r="BU28" s="52"/>
      <c r="BV28" s="47"/>
      <c r="BW28" s="47"/>
      <c r="BX28" s="51"/>
      <c r="BY28" s="52"/>
      <c r="BZ28" s="53"/>
      <c r="CA28" s="53"/>
    </row>
    <row r="29" ht="11.25" customHeight="1">
      <c r="A29" s="54"/>
      <c r="B29" s="55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48"/>
      <c r="N29" s="56"/>
      <c r="O29" s="56"/>
      <c r="P29" s="56"/>
      <c r="Q29" s="56"/>
      <c r="R29" s="56"/>
      <c r="S29" s="56"/>
      <c r="T29" s="56"/>
      <c r="U29" s="56"/>
      <c r="V29" s="56"/>
      <c r="W29" s="49"/>
      <c r="X29" s="56"/>
      <c r="Y29" s="56"/>
      <c r="Z29" s="56"/>
      <c r="AA29" s="56"/>
      <c r="AB29" s="56"/>
      <c r="AC29" s="56"/>
      <c r="AD29" s="56"/>
      <c r="AE29" s="56"/>
      <c r="AF29" s="56"/>
      <c r="AG29" s="49"/>
      <c r="AH29" s="56"/>
      <c r="AI29" s="56"/>
      <c r="AJ29" s="56"/>
      <c r="AK29" s="56"/>
      <c r="AL29" s="56"/>
      <c r="AM29" s="56"/>
      <c r="AN29" s="56"/>
      <c r="AO29" s="56"/>
      <c r="AP29" s="56"/>
      <c r="AQ29" s="49"/>
      <c r="AR29" s="56"/>
      <c r="AS29" s="56"/>
      <c r="AT29" s="56"/>
      <c r="AU29" s="56"/>
      <c r="AV29" s="56"/>
      <c r="AW29" s="56"/>
      <c r="AX29" s="56"/>
      <c r="AY29" s="56"/>
      <c r="AZ29" s="56"/>
      <c r="BA29" s="50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8"/>
      <c r="BS29" s="59"/>
      <c r="BT29" s="59"/>
      <c r="BU29" s="58"/>
      <c r="BV29" s="47"/>
      <c r="BW29" s="47"/>
      <c r="BX29" s="57"/>
      <c r="BY29" s="58"/>
      <c r="BZ29" s="59"/>
      <c r="CA29" s="53"/>
    </row>
    <row r="30" ht="11.25" customHeight="1">
      <c r="A30" s="45"/>
      <c r="B30" s="46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8"/>
      <c r="N30" s="47"/>
      <c r="O30" s="47"/>
      <c r="P30" s="47"/>
      <c r="Q30" s="47"/>
      <c r="R30" s="47"/>
      <c r="S30" s="47"/>
      <c r="T30" s="47"/>
      <c r="U30" s="47"/>
      <c r="V30" s="47"/>
      <c r="W30" s="49"/>
      <c r="X30" s="47"/>
      <c r="Y30" s="47"/>
      <c r="Z30" s="47"/>
      <c r="AA30" s="47"/>
      <c r="AB30" s="47"/>
      <c r="AC30" s="47"/>
      <c r="AD30" s="47"/>
      <c r="AE30" s="47"/>
      <c r="AF30" s="47"/>
      <c r="AG30" s="49"/>
      <c r="AH30" s="47"/>
      <c r="AI30" s="47"/>
      <c r="AJ30" s="47"/>
      <c r="AK30" s="47"/>
      <c r="AL30" s="47"/>
      <c r="AM30" s="47"/>
      <c r="AN30" s="47"/>
      <c r="AO30" s="47"/>
      <c r="AP30" s="47"/>
      <c r="AQ30" s="49"/>
      <c r="AR30" s="47"/>
      <c r="AS30" s="47"/>
      <c r="AT30" s="47"/>
      <c r="AU30" s="47"/>
      <c r="AV30" s="47"/>
      <c r="AW30" s="47"/>
      <c r="AX30" s="47"/>
      <c r="AY30" s="47"/>
      <c r="AZ30" s="47"/>
      <c r="BA30" s="50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2"/>
      <c r="BS30" s="53"/>
      <c r="BT30" s="53"/>
      <c r="BU30" s="52"/>
      <c r="BV30" s="47"/>
      <c r="BW30" s="47"/>
      <c r="BX30" s="51"/>
      <c r="BY30" s="52"/>
      <c r="BZ30" s="53"/>
      <c r="CA30" s="53"/>
    </row>
    <row r="31" ht="11.25" customHeight="1">
      <c r="A31" s="54"/>
      <c r="B31" s="55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48"/>
      <c r="N31" s="56"/>
      <c r="O31" s="56"/>
      <c r="P31" s="56"/>
      <c r="Q31" s="56"/>
      <c r="R31" s="56"/>
      <c r="S31" s="56"/>
      <c r="T31" s="56"/>
      <c r="U31" s="56"/>
      <c r="V31" s="56"/>
      <c r="W31" s="49"/>
      <c r="X31" s="56"/>
      <c r="Y31" s="56"/>
      <c r="Z31" s="56"/>
      <c r="AA31" s="56"/>
      <c r="AB31" s="56"/>
      <c r="AC31" s="56"/>
      <c r="AD31" s="56"/>
      <c r="AE31" s="56"/>
      <c r="AF31" s="56"/>
      <c r="AG31" s="49"/>
      <c r="AH31" s="56"/>
      <c r="AI31" s="56"/>
      <c r="AJ31" s="56"/>
      <c r="AK31" s="56"/>
      <c r="AL31" s="56"/>
      <c r="AM31" s="56"/>
      <c r="AN31" s="56"/>
      <c r="AO31" s="56"/>
      <c r="AP31" s="56"/>
      <c r="AQ31" s="49"/>
      <c r="AR31" s="56"/>
      <c r="AS31" s="56"/>
      <c r="AT31" s="56"/>
      <c r="AU31" s="56"/>
      <c r="AV31" s="56"/>
      <c r="AW31" s="56"/>
      <c r="AX31" s="56"/>
      <c r="AY31" s="56"/>
      <c r="AZ31" s="56"/>
      <c r="BA31" s="50"/>
      <c r="BB31" s="57"/>
      <c r="BC31" s="57"/>
      <c r="BD31" s="57"/>
      <c r="BE31" s="57"/>
      <c r="BF31" s="57"/>
      <c r="BG31" s="57"/>
      <c r="BH31" s="57"/>
      <c r="BI31" s="57"/>
      <c r="BJ31" s="57"/>
      <c r="BK31" s="57"/>
      <c r="BL31" s="57"/>
      <c r="BM31" s="57"/>
      <c r="BN31" s="57"/>
      <c r="BO31" s="57"/>
      <c r="BP31" s="57"/>
      <c r="BQ31" s="57"/>
      <c r="BR31" s="58"/>
      <c r="BS31" s="59"/>
      <c r="BT31" s="59"/>
      <c r="BU31" s="58"/>
      <c r="BV31" s="47"/>
      <c r="BW31" s="47"/>
      <c r="BX31" s="57"/>
      <c r="BY31" s="58"/>
      <c r="BZ31" s="59"/>
      <c r="CA31" s="53"/>
    </row>
    <row r="32" ht="11.25" customHeight="1">
      <c r="A32" s="45"/>
      <c r="B32" s="46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8"/>
      <c r="N32" s="47"/>
      <c r="O32" s="47"/>
      <c r="P32" s="47"/>
      <c r="Q32" s="47"/>
      <c r="R32" s="47"/>
      <c r="S32" s="47"/>
      <c r="T32" s="47"/>
      <c r="U32" s="47"/>
      <c r="V32" s="47"/>
      <c r="W32" s="49"/>
      <c r="X32" s="47"/>
      <c r="Y32" s="47"/>
      <c r="Z32" s="47"/>
      <c r="AA32" s="47"/>
      <c r="AB32" s="47"/>
      <c r="AC32" s="47"/>
      <c r="AD32" s="47"/>
      <c r="AE32" s="47"/>
      <c r="AF32" s="47"/>
      <c r="AG32" s="49"/>
      <c r="AH32" s="47"/>
      <c r="AI32" s="47"/>
      <c r="AJ32" s="47"/>
      <c r="AK32" s="47"/>
      <c r="AL32" s="47"/>
      <c r="AM32" s="47"/>
      <c r="AN32" s="47"/>
      <c r="AO32" s="47"/>
      <c r="AP32" s="47"/>
      <c r="AQ32" s="49"/>
      <c r="AR32" s="47"/>
      <c r="AS32" s="47"/>
      <c r="AT32" s="47"/>
      <c r="AU32" s="47"/>
      <c r="AV32" s="47"/>
      <c r="AW32" s="47"/>
      <c r="AX32" s="47"/>
      <c r="AY32" s="47"/>
      <c r="AZ32" s="47"/>
      <c r="BA32" s="50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2"/>
      <c r="BS32" s="53"/>
      <c r="BT32" s="53"/>
      <c r="BU32" s="52"/>
      <c r="BV32" s="47"/>
      <c r="BW32" s="47"/>
      <c r="BX32" s="51"/>
      <c r="BY32" s="52"/>
      <c r="BZ32" s="53"/>
      <c r="CA32" s="53"/>
    </row>
    <row r="33" ht="11.25" customHeight="1">
      <c r="A33" s="54"/>
      <c r="B33" s="55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48"/>
      <c r="N33" s="56"/>
      <c r="O33" s="56"/>
      <c r="P33" s="56"/>
      <c r="Q33" s="56"/>
      <c r="R33" s="56"/>
      <c r="S33" s="56"/>
      <c r="T33" s="56"/>
      <c r="U33" s="56"/>
      <c r="V33" s="56"/>
      <c r="W33" s="49"/>
      <c r="X33" s="56"/>
      <c r="Y33" s="56"/>
      <c r="Z33" s="56"/>
      <c r="AA33" s="56"/>
      <c r="AB33" s="56"/>
      <c r="AC33" s="56"/>
      <c r="AD33" s="56"/>
      <c r="AE33" s="56"/>
      <c r="AF33" s="56"/>
      <c r="AG33" s="49"/>
      <c r="AH33" s="56"/>
      <c r="AI33" s="56"/>
      <c r="AJ33" s="56"/>
      <c r="AK33" s="56"/>
      <c r="AL33" s="56"/>
      <c r="AM33" s="56"/>
      <c r="AN33" s="56"/>
      <c r="AO33" s="56"/>
      <c r="AP33" s="56"/>
      <c r="AQ33" s="49"/>
      <c r="AR33" s="56"/>
      <c r="AS33" s="56"/>
      <c r="AT33" s="56"/>
      <c r="AU33" s="56"/>
      <c r="AV33" s="56"/>
      <c r="AW33" s="56"/>
      <c r="AX33" s="56"/>
      <c r="AY33" s="56"/>
      <c r="AZ33" s="56"/>
      <c r="BA33" s="50"/>
      <c r="BB33" s="57"/>
      <c r="BC33" s="57"/>
      <c r="BD33" s="57"/>
      <c r="BE33" s="57"/>
      <c r="BF33" s="57"/>
      <c r="BG33" s="57"/>
      <c r="BH33" s="57"/>
      <c r="BI33" s="57"/>
      <c r="BJ33" s="57"/>
      <c r="BK33" s="57"/>
      <c r="BL33" s="57"/>
      <c r="BM33" s="57"/>
      <c r="BN33" s="57"/>
      <c r="BO33" s="57"/>
      <c r="BP33" s="57"/>
      <c r="BQ33" s="57"/>
      <c r="BR33" s="58"/>
      <c r="BS33" s="59"/>
      <c r="BT33" s="59"/>
      <c r="BU33" s="58"/>
      <c r="BV33" s="47"/>
      <c r="BW33" s="47"/>
      <c r="BX33" s="57"/>
      <c r="BY33" s="58"/>
      <c r="BZ33" s="59"/>
      <c r="CA33" s="53"/>
    </row>
    <row r="34" ht="11.25" customHeight="1">
      <c r="A34" s="45"/>
      <c r="B34" s="46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8"/>
      <c r="N34" s="47"/>
      <c r="O34" s="47"/>
      <c r="P34" s="47"/>
      <c r="Q34" s="47"/>
      <c r="R34" s="47"/>
      <c r="S34" s="47"/>
      <c r="T34" s="47"/>
      <c r="U34" s="47"/>
      <c r="V34" s="47"/>
      <c r="W34" s="49"/>
      <c r="X34" s="47"/>
      <c r="Y34" s="47"/>
      <c r="Z34" s="47"/>
      <c r="AA34" s="47"/>
      <c r="AB34" s="47"/>
      <c r="AC34" s="47"/>
      <c r="AD34" s="47"/>
      <c r="AE34" s="47"/>
      <c r="AF34" s="47"/>
      <c r="AG34" s="49"/>
      <c r="AH34" s="47"/>
      <c r="AI34" s="47"/>
      <c r="AJ34" s="47"/>
      <c r="AK34" s="47"/>
      <c r="AL34" s="47"/>
      <c r="AM34" s="47"/>
      <c r="AN34" s="47"/>
      <c r="AO34" s="47"/>
      <c r="AP34" s="47"/>
      <c r="AQ34" s="49"/>
      <c r="AR34" s="47"/>
      <c r="AS34" s="47"/>
      <c r="AT34" s="47"/>
      <c r="AU34" s="47"/>
      <c r="AV34" s="47"/>
      <c r="AW34" s="47"/>
      <c r="AX34" s="47"/>
      <c r="AY34" s="47"/>
      <c r="AZ34" s="47"/>
      <c r="BA34" s="50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2"/>
      <c r="BS34" s="53"/>
      <c r="BT34" s="53"/>
      <c r="BU34" s="52"/>
      <c r="BV34" s="47"/>
      <c r="BW34" s="47"/>
      <c r="BX34" s="51"/>
      <c r="BY34" s="52"/>
      <c r="BZ34" s="53"/>
      <c r="CA34" s="53"/>
    </row>
    <row r="35" ht="11.25" customHeight="1">
      <c r="A35" s="54"/>
      <c r="B35" s="55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48"/>
      <c r="N35" s="56"/>
      <c r="O35" s="56"/>
      <c r="P35" s="56"/>
      <c r="Q35" s="56"/>
      <c r="R35" s="56"/>
      <c r="S35" s="56"/>
      <c r="T35" s="56"/>
      <c r="U35" s="56"/>
      <c r="V35" s="56"/>
      <c r="W35" s="49"/>
      <c r="X35" s="56"/>
      <c r="Y35" s="56"/>
      <c r="Z35" s="56"/>
      <c r="AA35" s="56"/>
      <c r="AB35" s="56"/>
      <c r="AC35" s="56"/>
      <c r="AD35" s="56"/>
      <c r="AE35" s="56"/>
      <c r="AF35" s="56"/>
      <c r="AG35" s="49"/>
      <c r="AH35" s="56"/>
      <c r="AI35" s="56"/>
      <c r="AJ35" s="56"/>
      <c r="AK35" s="56"/>
      <c r="AL35" s="56"/>
      <c r="AM35" s="56"/>
      <c r="AN35" s="56"/>
      <c r="AO35" s="56"/>
      <c r="AP35" s="56"/>
      <c r="AQ35" s="49"/>
      <c r="AR35" s="56"/>
      <c r="AS35" s="56"/>
      <c r="AT35" s="56"/>
      <c r="AU35" s="56"/>
      <c r="AV35" s="56"/>
      <c r="AW35" s="56"/>
      <c r="AX35" s="56"/>
      <c r="AY35" s="56"/>
      <c r="AZ35" s="56"/>
      <c r="BA35" s="50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8"/>
      <c r="BS35" s="59"/>
      <c r="BT35" s="59"/>
      <c r="BU35" s="58"/>
      <c r="BV35" s="47"/>
      <c r="BW35" s="47"/>
      <c r="BX35" s="57"/>
      <c r="BY35" s="58"/>
      <c r="BZ35" s="59"/>
      <c r="CA35" s="53"/>
    </row>
    <row r="36" ht="11.25" customHeight="1">
      <c r="A36" s="45"/>
      <c r="B36" s="46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8"/>
      <c r="N36" s="47"/>
      <c r="O36" s="47"/>
      <c r="P36" s="47"/>
      <c r="Q36" s="47"/>
      <c r="R36" s="47"/>
      <c r="S36" s="47"/>
      <c r="T36" s="47"/>
      <c r="U36" s="47"/>
      <c r="V36" s="47"/>
      <c r="W36" s="49"/>
      <c r="X36" s="47"/>
      <c r="Y36" s="47"/>
      <c r="Z36" s="47"/>
      <c r="AA36" s="47"/>
      <c r="AB36" s="47"/>
      <c r="AC36" s="47"/>
      <c r="AD36" s="47"/>
      <c r="AE36" s="47"/>
      <c r="AF36" s="47"/>
      <c r="AG36" s="49"/>
      <c r="AH36" s="47"/>
      <c r="AI36" s="47"/>
      <c r="AJ36" s="47"/>
      <c r="AK36" s="47"/>
      <c r="AL36" s="47"/>
      <c r="AM36" s="47"/>
      <c r="AN36" s="47"/>
      <c r="AO36" s="47"/>
      <c r="AP36" s="47"/>
      <c r="AQ36" s="49"/>
      <c r="AR36" s="47"/>
      <c r="AS36" s="47"/>
      <c r="AT36" s="47"/>
      <c r="AU36" s="47"/>
      <c r="AV36" s="47"/>
      <c r="AW36" s="47"/>
      <c r="AX36" s="47"/>
      <c r="AY36" s="47"/>
      <c r="AZ36" s="47"/>
      <c r="BA36" s="50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2"/>
      <c r="BS36" s="53"/>
      <c r="BT36" s="53"/>
      <c r="BU36" s="52"/>
      <c r="BV36" s="47"/>
      <c r="BW36" s="47"/>
      <c r="BX36" s="51"/>
      <c r="BY36" s="52"/>
      <c r="BZ36" s="53"/>
      <c r="CA36" s="53"/>
    </row>
    <row r="37" ht="11.25" customHeight="1">
      <c r="A37" s="54"/>
      <c r="B37" s="55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48"/>
      <c r="N37" s="56"/>
      <c r="O37" s="56"/>
      <c r="P37" s="56"/>
      <c r="Q37" s="56"/>
      <c r="R37" s="56"/>
      <c r="S37" s="56"/>
      <c r="T37" s="56"/>
      <c r="U37" s="56"/>
      <c r="V37" s="56"/>
      <c r="W37" s="49"/>
      <c r="X37" s="56"/>
      <c r="Y37" s="56"/>
      <c r="Z37" s="56"/>
      <c r="AA37" s="56"/>
      <c r="AB37" s="56"/>
      <c r="AC37" s="56"/>
      <c r="AD37" s="56"/>
      <c r="AE37" s="56"/>
      <c r="AF37" s="56"/>
      <c r="AG37" s="49"/>
      <c r="AH37" s="56"/>
      <c r="AI37" s="56"/>
      <c r="AJ37" s="56"/>
      <c r="AK37" s="56"/>
      <c r="AL37" s="56"/>
      <c r="AM37" s="56"/>
      <c r="AN37" s="56"/>
      <c r="AO37" s="56"/>
      <c r="AP37" s="56"/>
      <c r="AQ37" s="49"/>
      <c r="AR37" s="56"/>
      <c r="AS37" s="56"/>
      <c r="AT37" s="56"/>
      <c r="AU37" s="56"/>
      <c r="AV37" s="56"/>
      <c r="AW37" s="56"/>
      <c r="AX37" s="56"/>
      <c r="AY37" s="56"/>
      <c r="AZ37" s="56"/>
      <c r="BA37" s="50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8"/>
      <c r="BS37" s="59"/>
      <c r="BT37" s="59"/>
      <c r="BU37" s="58"/>
      <c r="BV37" s="47"/>
      <c r="BW37" s="47"/>
      <c r="BX37" s="57"/>
      <c r="BY37" s="58"/>
      <c r="BZ37" s="59"/>
      <c r="CA37" s="53"/>
    </row>
    <row r="38" ht="11.25" customHeight="1">
      <c r="A38" s="45"/>
      <c r="B38" s="46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8"/>
      <c r="N38" s="47"/>
      <c r="O38" s="47"/>
      <c r="P38" s="47"/>
      <c r="Q38" s="47"/>
      <c r="R38" s="47"/>
      <c r="S38" s="47"/>
      <c r="T38" s="47"/>
      <c r="U38" s="47"/>
      <c r="V38" s="47"/>
      <c r="W38" s="49"/>
      <c r="X38" s="47"/>
      <c r="Y38" s="47"/>
      <c r="Z38" s="47"/>
      <c r="AA38" s="47"/>
      <c r="AB38" s="47"/>
      <c r="AC38" s="47"/>
      <c r="AD38" s="47"/>
      <c r="AE38" s="47"/>
      <c r="AF38" s="47"/>
      <c r="AG38" s="49"/>
      <c r="AH38" s="47"/>
      <c r="AI38" s="47"/>
      <c r="AJ38" s="47"/>
      <c r="AK38" s="47"/>
      <c r="AL38" s="47"/>
      <c r="AM38" s="47"/>
      <c r="AN38" s="47"/>
      <c r="AO38" s="47"/>
      <c r="AP38" s="47"/>
      <c r="AQ38" s="49"/>
      <c r="AR38" s="47"/>
      <c r="AS38" s="47"/>
      <c r="AT38" s="47"/>
      <c r="AU38" s="47"/>
      <c r="AV38" s="47"/>
      <c r="AW38" s="47"/>
      <c r="AX38" s="47"/>
      <c r="AY38" s="47"/>
      <c r="AZ38" s="47"/>
      <c r="BA38" s="50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2"/>
      <c r="BS38" s="53"/>
      <c r="BT38" s="53"/>
      <c r="BU38" s="52"/>
      <c r="BV38" s="47"/>
      <c r="BW38" s="47"/>
      <c r="BX38" s="51"/>
      <c r="BY38" s="52"/>
      <c r="BZ38" s="53"/>
      <c r="CA38" s="53"/>
    </row>
    <row r="39" ht="11.25" customHeight="1">
      <c r="A39" s="54"/>
      <c r="B39" s="55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48"/>
      <c r="N39" s="56"/>
      <c r="O39" s="56"/>
      <c r="P39" s="56"/>
      <c r="Q39" s="56"/>
      <c r="R39" s="56"/>
      <c r="S39" s="56"/>
      <c r="T39" s="56"/>
      <c r="U39" s="56"/>
      <c r="V39" s="56"/>
      <c r="W39" s="49"/>
      <c r="X39" s="56"/>
      <c r="Y39" s="56"/>
      <c r="Z39" s="56"/>
      <c r="AA39" s="56"/>
      <c r="AB39" s="56"/>
      <c r="AC39" s="56"/>
      <c r="AD39" s="56"/>
      <c r="AE39" s="56"/>
      <c r="AF39" s="56"/>
      <c r="AG39" s="49"/>
      <c r="AH39" s="56"/>
      <c r="AI39" s="56"/>
      <c r="AJ39" s="56"/>
      <c r="AK39" s="56"/>
      <c r="AL39" s="56"/>
      <c r="AM39" s="56"/>
      <c r="AN39" s="56"/>
      <c r="AO39" s="56"/>
      <c r="AP39" s="56"/>
      <c r="AQ39" s="49"/>
      <c r="AR39" s="56"/>
      <c r="AS39" s="56"/>
      <c r="AT39" s="56"/>
      <c r="AU39" s="56"/>
      <c r="AV39" s="56"/>
      <c r="AW39" s="56"/>
      <c r="AX39" s="56"/>
      <c r="AY39" s="56"/>
      <c r="AZ39" s="56"/>
      <c r="BA39" s="50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8"/>
      <c r="BS39" s="59"/>
      <c r="BT39" s="59"/>
      <c r="BU39" s="58"/>
      <c r="BV39" s="47"/>
      <c r="BW39" s="47"/>
      <c r="BX39" s="57"/>
      <c r="BY39" s="58"/>
      <c r="BZ39" s="59"/>
      <c r="CA39" s="53"/>
    </row>
    <row r="40" ht="11.25" customHeight="1">
      <c r="A40" s="45"/>
      <c r="B40" s="46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8"/>
      <c r="N40" s="47"/>
      <c r="O40" s="47"/>
      <c r="P40" s="47"/>
      <c r="Q40" s="47"/>
      <c r="R40" s="47"/>
      <c r="S40" s="47"/>
      <c r="T40" s="47"/>
      <c r="U40" s="47"/>
      <c r="V40" s="47"/>
      <c r="W40" s="49"/>
      <c r="X40" s="47"/>
      <c r="Y40" s="47"/>
      <c r="Z40" s="47"/>
      <c r="AA40" s="47"/>
      <c r="AB40" s="47"/>
      <c r="AC40" s="47"/>
      <c r="AD40" s="47"/>
      <c r="AE40" s="47"/>
      <c r="AF40" s="47"/>
      <c r="AG40" s="49"/>
      <c r="AH40" s="47"/>
      <c r="AI40" s="47"/>
      <c r="AJ40" s="47"/>
      <c r="AK40" s="47"/>
      <c r="AL40" s="47"/>
      <c r="AM40" s="47"/>
      <c r="AN40" s="47"/>
      <c r="AO40" s="47"/>
      <c r="AP40" s="47"/>
      <c r="AQ40" s="49"/>
      <c r="AR40" s="47"/>
      <c r="AS40" s="47"/>
      <c r="AT40" s="47"/>
      <c r="AU40" s="47"/>
      <c r="AV40" s="47"/>
      <c r="AW40" s="47"/>
      <c r="AX40" s="47"/>
      <c r="AY40" s="47"/>
      <c r="AZ40" s="47"/>
      <c r="BA40" s="50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2"/>
      <c r="BS40" s="53"/>
      <c r="BT40" s="53"/>
      <c r="BU40" s="52"/>
      <c r="BV40" s="47"/>
      <c r="BW40" s="47"/>
      <c r="BX40" s="51"/>
      <c r="BY40" s="52"/>
      <c r="BZ40" s="53"/>
      <c r="CA40" s="53"/>
    </row>
    <row r="41" ht="11.25" customHeight="1">
      <c r="A41" s="54"/>
      <c r="B41" s="55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48"/>
      <c r="N41" s="56"/>
      <c r="O41" s="56"/>
      <c r="P41" s="56"/>
      <c r="Q41" s="56"/>
      <c r="R41" s="56"/>
      <c r="S41" s="56"/>
      <c r="T41" s="56"/>
      <c r="U41" s="56"/>
      <c r="V41" s="56"/>
      <c r="W41" s="49"/>
      <c r="X41" s="56"/>
      <c r="Y41" s="56"/>
      <c r="Z41" s="56"/>
      <c r="AA41" s="56"/>
      <c r="AB41" s="56"/>
      <c r="AC41" s="56"/>
      <c r="AD41" s="56"/>
      <c r="AE41" s="56"/>
      <c r="AF41" s="56"/>
      <c r="AG41" s="49"/>
      <c r="AH41" s="56"/>
      <c r="AI41" s="56"/>
      <c r="AJ41" s="56"/>
      <c r="AK41" s="56"/>
      <c r="AL41" s="56"/>
      <c r="AM41" s="56"/>
      <c r="AN41" s="56"/>
      <c r="AO41" s="56"/>
      <c r="AP41" s="56"/>
      <c r="AQ41" s="49"/>
      <c r="AR41" s="56"/>
      <c r="AS41" s="56"/>
      <c r="AT41" s="56"/>
      <c r="AU41" s="56"/>
      <c r="AV41" s="56"/>
      <c r="AW41" s="56"/>
      <c r="AX41" s="56"/>
      <c r="AY41" s="56"/>
      <c r="AZ41" s="56"/>
      <c r="BA41" s="50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8"/>
      <c r="BS41" s="59"/>
      <c r="BT41" s="59"/>
      <c r="BU41" s="58"/>
      <c r="BV41" s="47"/>
      <c r="BW41" s="47"/>
      <c r="BX41" s="57"/>
      <c r="BY41" s="58"/>
      <c r="BZ41" s="59"/>
      <c r="CA41" s="53"/>
    </row>
    <row r="42" ht="11.25" customHeight="1">
      <c r="A42" s="45"/>
      <c r="B42" s="46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8"/>
      <c r="N42" s="47"/>
      <c r="O42" s="47"/>
      <c r="P42" s="47"/>
      <c r="Q42" s="47"/>
      <c r="R42" s="47"/>
      <c r="S42" s="47"/>
      <c r="T42" s="47"/>
      <c r="U42" s="47"/>
      <c r="V42" s="47"/>
      <c r="W42" s="49"/>
      <c r="X42" s="47"/>
      <c r="Y42" s="47"/>
      <c r="Z42" s="47"/>
      <c r="AA42" s="47"/>
      <c r="AB42" s="47"/>
      <c r="AC42" s="47"/>
      <c r="AD42" s="47"/>
      <c r="AE42" s="47"/>
      <c r="AF42" s="47"/>
      <c r="AG42" s="49"/>
      <c r="AH42" s="47"/>
      <c r="AI42" s="47"/>
      <c r="AJ42" s="47"/>
      <c r="AK42" s="47"/>
      <c r="AL42" s="47"/>
      <c r="AM42" s="47"/>
      <c r="AN42" s="47"/>
      <c r="AO42" s="47"/>
      <c r="AP42" s="47"/>
      <c r="AQ42" s="49"/>
      <c r="AR42" s="47"/>
      <c r="AS42" s="47"/>
      <c r="AT42" s="47"/>
      <c r="AU42" s="47"/>
      <c r="AV42" s="47"/>
      <c r="AW42" s="47"/>
      <c r="AX42" s="47"/>
      <c r="AY42" s="47"/>
      <c r="AZ42" s="47"/>
      <c r="BA42" s="50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1"/>
      <c r="BP42" s="51"/>
      <c r="BQ42" s="51"/>
      <c r="BR42" s="52"/>
      <c r="BS42" s="53"/>
      <c r="BT42" s="53"/>
      <c r="BU42" s="52"/>
      <c r="BV42" s="47"/>
      <c r="BW42" s="47"/>
      <c r="BX42" s="51"/>
      <c r="BY42" s="52"/>
      <c r="BZ42" s="53"/>
      <c r="CA42" s="53"/>
    </row>
    <row r="43" ht="11.25" customHeight="1">
      <c r="A43" s="54"/>
      <c r="B43" s="55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48"/>
      <c r="N43" s="56"/>
      <c r="O43" s="56"/>
      <c r="P43" s="56"/>
      <c r="Q43" s="56"/>
      <c r="R43" s="56"/>
      <c r="S43" s="56"/>
      <c r="T43" s="56"/>
      <c r="U43" s="56"/>
      <c r="V43" s="56"/>
      <c r="W43" s="49"/>
      <c r="X43" s="56"/>
      <c r="Y43" s="56"/>
      <c r="Z43" s="56"/>
      <c r="AA43" s="56"/>
      <c r="AB43" s="56"/>
      <c r="AC43" s="56"/>
      <c r="AD43" s="56"/>
      <c r="AE43" s="56"/>
      <c r="AF43" s="56"/>
      <c r="AG43" s="49"/>
      <c r="AH43" s="56"/>
      <c r="AI43" s="56"/>
      <c r="AJ43" s="56"/>
      <c r="AK43" s="56"/>
      <c r="AL43" s="56"/>
      <c r="AM43" s="56"/>
      <c r="AN43" s="56"/>
      <c r="AO43" s="56"/>
      <c r="AP43" s="56"/>
      <c r="AQ43" s="49"/>
      <c r="AR43" s="56"/>
      <c r="AS43" s="56"/>
      <c r="AT43" s="56"/>
      <c r="AU43" s="56"/>
      <c r="AV43" s="56"/>
      <c r="AW43" s="56"/>
      <c r="AX43" s="56"/>
      <c r="AY43" s="56"/>
      <c r="AZ43" s="56"/>
      <c r="BA43" s="50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/>
      <c r="BR43" s="58"/>
      <c r="BS43" s="59"/>
      <c r="BT43" s="59"/>
      <c r="BU43" s="58"/>
      <c r="BV43" s="47"/>
      <c r="BW43" s="47"/>
      <c r="BX43" s="57"/>
      <c r="BY43" s="58"/>
      <c r="BZ43" s="59"/>
      <c r="CA43" s="53"/>
    </row>
    <row r="44" ht="11.25" customHeight="1">
      <c r="A44" s="45"/>
      <c r="B44" s="46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8"/>
      <c r="N44" s="47"/>
      <c r="O44" s="47"/>
      <c r="P44" s="47"/>
      <c r="Q44" s="47"/>
      <c r="R44" s="47"/>
      <c r="S44" s="47"/>
      <c r="T44" s="47"/>
      <c r="U44" s="47"/>
      <c r="V44" s="47"/>
      <c r="W44" s="49"/>
      <c r="X44" s="47"/>
      <c r="Y44" s="47"/>
      <c r="Z44" s="47"/>
      <c r="AA44" s="47"/>
      <c r="AB44" s="47"/>
      <c r="AC44" s="47"/>
      <c r="AD44" s="47"/>
      <c r="AE44" s="47"/>
      <c r="AF44" s="47"/>
      <c r="AG44" s="49"/>
      <c r="AH44" s="47"/>
      <c r="AI44" s="47"/>
      <c r="AJ44" s="47"/>
      <c r="AK44" s="47"/>
      <c r="AL44" s="47"/>
      <c r="AM44" s="47"/>
      <c r="AN44" s="47"/>
      <c r="AO44" s="47"/>
      <c r="AP44" s="47"/>
      <c r="AQ44" s="49"/>
      <c r="AR44" s="47"/>
      <c r="AS44" s="47"/>
      <c r="AT44" s="47"/>
      <c r="AU44" s="47"/>
      <c r="AV44" s="47"/>
      <c r="AW44" s="47"/>
      <c r="AX44" s="47"/>
      <c r="AY44" s="47"/>
      <c r="AZ44" s="47"/>
      <c r="BA44" s="50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1"/>
      <c r="BP44" s="51"/>
      <c r="BQ44" s="51"/>
      <c r="BR44" s="52"/>
      <c r="BS44" s="53"/>
      <c r="BT44" s="53"/>
      <c r="BU44" s="52"/>
      <c r="BV44" s="47"/>
      <c r="BW44" s="47"/>
      <c r="BX44" s="51"/>
      <c r="BY44" s="52"/>
      <c r="BZ44" s="53"/>
      <c r="CA44" s="53"/>
    </row>
    <row r="45" ht="11.25" customHeight="1">
      <c r="A45" s="54"/>
      <c r="B45" s="55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48"/>
      <c r="N45" s="56"/>
      <c r="O45" s="56"/>
      <c r="P45" s="56"/>
      <c r="Q45" s="56"/>
      <c r="R45" s="56"/>
      <c r="S45" s="56"/>
      <c r="T45" s="56"/>
      <c r="U45" s="56"/>
      <c r="V45" s="56"/>
      <c r="W45" s="49"/>
      <c r="X45" s="56"/>
      <c r="Y45" s="56"/>
      <c r="Z45" s="56"/>
      <c r="AA45" s="56"/>
      <c r="AB45" s="56"/>
      <c r="AC45" s="56"/>
      <c r="AD45" s="56"/>
      <c r="AE45" s="56"/>
      <c r="AF45" s="56"/>
      <c r="AG45" s="49"/>
      <c r="AH45" s="56"/>
      <c r="AI45" s="56"/>
      <c r="AJ45" s="56"/>
      <c r="AK45" s="56"/>
      <c r="AL45" s="56"/>
      <c r="AM45" s="56"/>
      <c r="AN45" s="56"/>
      <c r="AO45" s="56"/>
      <c r="AP45" s="56"/>
      <c r="AQ45" s="49"/>
      <c r="AR45" s="56"/>
      <c r="AS45" s="56"/>
      <c r="AT45" s="56"/>
      <c r="AU45" s="56"/>
      <c r="AV45" s="56"/>
      <c r="AW45" s="56"/>
      <c r="AX45" s="56"/>
      <c r="AY45" s="56"/>
      <c r="AZ45" s="56"/>
      <c r="BA45" s="50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8"/>
      <c r="BS45" s="59"/>
      <c r="BT45" s="59"/>
      <c r="BU45" s="58"/>
      <c r="BV45" s="47"/>
      <c r="BW45" s="47"/>
      <c r="BX45" s="57"/>
      <c r="BY45" s="58"/>
      <c r="BZ45" s="59"/>
      <c r="CA45" s="53"/>
    </row>
    <row r="46" ht="11.25" customHeight="1">
      <c r="A46" s="45"/>
      <c r="B46" s="46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8"/>
      <c r="N46" s="47"/>
      <c r="O46" s="47"/>
      <c r="P46" s="47"/>
      <c r="Q46" s="47"/>
      <c r="R46" s="47"/>
      <c r="S46" s="47"/>
      <c r="T46" s="47"/>
      <c r="U46" s="47"/>
      <c r="V46" s="47"/>
      <c r="W46" s="49"/>
      <c r="X46" s="47"/>
      <c r="Y46" s="47"/>
      <c r="Z46" s="47"/>
      <c r="AA46" s="47"/>
      <c r="AB46" s="47"/>
      <c r="AC46" s="47"/>
      <c r="AD46" s="47"/>
      <c r="AE46" s="47"/>
      <c r="AF46" s="47"/>
      <c r="AG46" s="49"/>
      <c r="AH46" s="47"/>
      <c r="AI46" s="47"/>
      <c r="AJ46" s="47"/>
      <c r="AK46" s="47"/>
      <c r="AL46" s="47"/>
      <c r="AM46" s="47"/>
      <c r="AN46" s="47"/>
      <c r="AO46" s="47"/>
      <c r="AP46" s="47"/>
      <c r="AQ46" s="49"/>
      <c r="AR46" s="47"/>
      <c r="AS46" s="47"/>
      <c r="AT46" s="47"/>
      <c r="AU46" s="47"/>
      <c r="AV46" s="47"/>
      <c r="AW46" s="47"/>
      <c r="AX46" s="47"/>
      <c r="AY46" s="47"/>
      <c r="AZ46" s="47"/>
      <c r="BA46" s="50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1"/>
      <c r="BP46" s="51"/>
      <c r="BQ46" s="51"/>
      <c r="BR46" s="52"/>
      <c r="BS46" s="53"/>
      <c r="BT46" s="53"/>
      <c r="BU46" s="52"/>
      <c r="BV46" s="47"/>
      <c r="BW46" s="47"/>
      <c r="BX46" s="51"/>
      <c r="BY46" s="52"/>
      <c r="BZ46" s="53"/>
      <c r="CA46" s="53"/>
    </row>
    <row r="47" ht="11.25" customHeight="1">
      <c r="A47" s="54"/>
      <c r="B47" s="55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48"/>
      <c r="N47" s="56"/>
      <c r="O47" s="56"/>
      <c r="P47" s="56"/>
      <c r="Q47" s="56"/>
      <c r="R47" s="56"/>
      <c r="S47" s="56"/>
      <c r="T47" s="56"/>
      <c r="U47" s="56"/>
      <c r="V47" s="56"/>
      <c r="W47" s="49"/>
      <c r="X47" s="56"/>
      <c r="Y47" s="56"/>
      <c r="Z47" s="56"/>
      <c r="AA47" s="56"/>
      <c r="AB47" s="56"/>
      <c r="AC47" s="56"/>
      <c r="AD47" s="56"/>
      <c r="AE47" s="56"/>
      <c r="AF47" s="56"/>
      <c r="AG47" s="49"/>
      <c r="AH47" s="56"/>
      <c r="AI47" s="56"/>
      <c r="AJ47" s="56"/>
      <c r="AK47" s="56"/>
      <c r="AL47" s="56"/>
      <c r="AM47" s="56"/>
      <c r="AN47" s="56"/>
      <c r="AO47" s="56"/>
      <c r="AP47" s="56"/>
      <c r="AQ47" s="49"/>
      <c r="AR47" s="56"/>
      <c r="AS47" s="56"/>
      <c r="AT47" s="56"/>
      <c r="AU47" s="56"/>
      <c r="AV47" s="56"/>
      <c r="AW47" s="56"/>
      <c r="AX47" s="56"/>
      <c r="AY47" s="56"/>
      <c r="AZ47" s="56"/>
      <c r="BA47" s="50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8"/>
      <c r="BS47" s="59"/>
      <c r="BT47" s="59"/>
      <c r="BU47" s="58"/>
      <c r="BV47" s="47"/>
      <c r="BW47" s="47"/>
      <c r="BX47" s="57"/>
      <c r="BY47" s="58"/>
      <c r="BZ47" s="59"/>
      <c r="CA47" s="53"/>
    </row>
    <row r="48" ht="11.25" customHeight="1">
      <c r="A48" s="46"/>
      <c r="B48" s="46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8"/>
      <c r="N48" s="47"/>
      <c r="O48" s="47"/>
      <c r="P48" s="47"/>
      <c r="Q48" s="47"/>
      <c r="R48" s="47"/>
      <c r="S48" s="47"/>
      <c r="T48" s="47"/>
      <c r="U48" s="47"/>
      <c r="V48" s="47"/>
      <c r="W48" s="49"/>
      <c r="X48" s="47"/>
      <c r="Y48" s="47"/>
      <c r="Z48" s="47"/>
      <c r="AA48" s="47"/>
      <c r="AB48" s="47"/>
      <c r="AC48" s="47"/>
      <c r="AD48" s="47"/>
      <c r="AE48" s="47"/>
      <c r="AF48" s="47"/>
      <c r="AG48" s="49"/>
      <c r="AH48" s="47"/>
      <c r="AI48" s="47"/>
      <c r="AJ48" s="47"/>
      <c r="AK48" s="47"/>
      <c r="AL48" s="47"/>
      <c r="AM48" s="47"/>
      <c r="AN48" s="47"/>
      <c r="AO48" s="47"/>
      <c r="AP48" s="47"/>
      <c r="AQ48" s="49"/>
      <c r="AR48" s="47"/>
      <c r="AS48" s="47"/>
      <c r="AT48" s="47"/>
      <c r="AU48" s="47"/>
      <c r="AV48" s="47"/>
      <c r="AW48" s="47"/>
      <c r="AX48" s="47"/>
      <c r="AY48" s="47"/>
      <c r="AZ48" s="47"/>
      <c r="BA48" s="50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1"/>
      <c r="BP48" s="51"/>
      <c r="BQ48" s="51"/>
      <c r="BR48" s="53"/>
      <c r="BS48" s="53"/>
      <c r="BT48" s="53"/>
      <c r="BU48" s="53"/>
      <c r="BV48" s="47"/>
      <c r="BW48" s="47"/>
      <c r="BX48" s="51"/>
      <c r="BY48" s="53"/>
      <c r="BZ48" s="53"/>
      <c r="CA48" s="53"/>
    </row>
    <row r="49" ht="11.25" customHeight="1">
      <c r="A49" s="55"/>
      <c r="B49" s="55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48"/>
      <c r="N49" s="56"/>
      <c r="O49" s="56"/>
      <c r="P49" s="56"/>
      <c r="Q49" s="56"/>
      <c r="R49" s="56"/>
      <c r="S49" s="56"/>
      <c r="T49" s="56"/>
      <c r="U49" s="56"/>
      <c r="V49" s="56"/>
      <c r="W49" s="49"/>
      <c r="X49" s="56"/>
      <c r="Y49" s="56"/>
      <c r="Z49" s="56"/>
      <c r="AA49" s="56"/>
      <c r="AB49" s="56"/>
      <c r="AC49" s="56"/>
      <c r="AD49" s="56"/>
      <c r="AE49" s="56"/>
      <c r="AF49" s="56"/>
      <c r="AG49" s="49"/>
      <c r="AH49" s="56"/>
      <c r="AI49" s="56"/>
      <c r="AJ49" s="56"/>
      <c r="AK49" s="56"/>
      <c r="AL49" s="56"/>
      <c r="AM49" s="56"/>
      <c r="AN49" s="56"/>
      <c r="AO49" s="56"/>
      <c r="AP49" s="56"/>
      <c r="AQ49" s="49"/>
      <c r="AR49" s="56"/>
      <c r="AS49" s="56"/>
      <c r="AT49" s="56"/>
      <c r="AU49" s="56"/>
      <c r="AV49" s="56"/>
      <c r="AW49" s="56"/>
      <c r="AX49" s="56"/>
      <c r="AY49" s="56"/>
      <c r="AZ49" s="56"/>
      <c r="BA49" s="50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8"/>
      <c r="BS49" s="59"/>
      <c r="BT49" s="59"/>
      <c r="BU49" s="58"/>
      <c r="BV49" s="47"/>
      <c r="BW49" s="47"/>
      <c r="BX49" s="57"/>
      <c r="BY49" s="58"/>
      <c r="BZ49" s="59"/>
      <c r="CA49" s="53"/>
    </row>
    <row r="50" ht="11.25" customHeight="1">
      <c r="A50" s="46"/>
      <c r="B50" s="46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8"/>
      <c r="N50" s="47"/>
      <c r="O50" s="47"/>
      <c r="P50" s="47"/>
      <c r="Q50" s="47"/>
      <c r="R50" s="47"/>
      <c r="S50" s="47"/>
      <c r="T50" s="47"/>
      <c r="U50" s="47"/>
      <c r="V50" s="47"/>
      <c r="W50" s="49"/>
      <c r="X50" s="47"/>
      <c r="Y50" s="47"/>
      <c r="Z50" s="47"/>
      <c r="AA50" s="47"/>
      <c r="AB50" s="47"/>
      <c r="AC50" s="47"/>
      <c r="AD50" s="47"/>
      <c r="AE50" s="47"/>
      <c r="AF50" s="47"/>
      <c r="AG50" s="49"/>
      <c r="AH50" s="47"/>
      <c r="AI50" s="47"/>
      <c r="AJ50" s="47"/>
      <c r="AK50" s="47"/>
      <c r="AL50" s="47"/>
      <c r="AM50" s="47"/>
      <c r="AN50" s="47"/>
      <c r="AO50" s="47"/>
      <c r="AP50" s="47"/>
      <c r="AQ50" s="49"/>
      <c r="AR50" s="47"/>
      <c r="AS50" s="47"/>
      <c r="AT50" s="47"/>
      <c r="AU50" s="47"/>
      <c r="AV50" s="47"/>
      <c r="AW50" s="47"/>
      <c r="AX50" s="47"/>
      <c r="AY50" s="47"/>
      <c r="AZ50" s="47"/>
      <c r="BA50" s="50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1"/>
      <c r="BP50" s="51"/>
      <c r="BQ50" s="51"/>
      <c r="BR50" s="52"/>
      <c r="BS50" s="53"/>
      <c r="BT50" s="53"/>
      <c r="BU50" s="52"/>
      <c r="BV50" s="47"/>
      <c r="BW50" s="47"/>
      <c r="BX50" s="51"/>
      <c r="BY50" s="52"/>
      <c r="BZ50" s="53"/>
      <c r="CA50" s="53"/>
    </row>
    <row r="51" ht="11.25" customHeight="1">
      <c r="A51" s="55"/>
      <c r="B51" s="55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48"/>
      <c r="N51" s="56"/>
      <c r="O51" s="56"/>
      <c r="P51" s="56"/>
      <c r="Q51" s="56"/>
      <c r="R51" s="56"/>
      <c r="S51" s="56"/>
      <c r="T51" s="56"/>
      <c r="U51" s="56"/>
      <c r="V51" s="56"/>
      <c r="W51" s="49"/>
      <c r="X51" s="56"/>
      <c r="Y51" s="56"/>
      <c r="Z51" s="56"/>
      <c r="AA51" s="56"/>
      <c r="AB51" s="56"/>
      <c r="AC51" s="56"/>
      <c r="AD51" s="56"/>
      <c r="AE51" s="56"/>
      <c r="AF51" s="56"/>
      <c r="AG51" s="49"/>
      <c r="AH51" s="56"/>
      <c r="AI51" s="56"/>
      <c r="AJ51" s="56"/>
      <c r="AK51" s="56"/>
      <c r="AL51" s="56"/>
      <c r="AM51" s="56"/>
      <c r="AN51" s="56"/>
      <c r="AO51" s="56"/>
      <c r="AP51" s="56"/>
      <c r="AQ51" s="49"/>
      <c r="AR51" s="56"/>
      <c r="AS51" s="56"/>
      <c r="AT51" s="56"/>
      <c r="AU51" s="56"/>
      <c r="AV51" s="56"/>
      <c r="AW51" s="56"/>
      <c r="AX51" s="56"/>
      <c r="AY51" s="56"/>
      <c r="AZ51" s="56"/>
      <c r="BA51" s="50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8"/>
      <c r="BS51" s="59"/>
      <c r="BT51" s="59"/>
      <c r="BU51" s="58"/>
      <c r="BV51" s="47"/>
      <c r="BW51" s="47"/>
      <c r="BX51" s="57"/>
      <c r="BY51" s="58"/>
      <c r="BZ51" s="59"/>
      <c r="CA51" s="53"/>
    </row>
    <row r="52" ht="11.25" customHeight="1">
      <c r="A52" s="46"/>
      <c r="B52" s="46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8"/>
      <c r="N52" s="47"/>
      <c r="O52" s="47"/>
      <c r="P52" s="47"/>
      <c r="Q52" s="47"/>
      <c r="R52" s="47"/>
      <c r="S52" s="47"/>
      <c r="T52" s="47"/>
      <c r="U52" s="47"/>
      <c r="V52" s="47"/>
      <c r="W52" s="49"/>
      <c r="X52" s="47"/>
      <c r="Y52" s="47"/>
      <c r="Z52" s="47"/>
      <c r="AA52" s="47"/>
      <c r="AB52" s="47"/>
      <c r="AC52" s="47"/>
      <c r="AD52" s="47"/>
      <c r="AE52" s="47"/>
      <c r="AF52" s="47"/>
      <c r="AG52" s="49"/>
      <c r="AH52" s="47"/>
      <c r="AI52" s="47"/>
      <c r="AJ52" s="47"/>
      <c r="AK52" s="47"/>
      <c r="AL52" s="47"/>
      <c r="AM52" s="47"/>
      <c r="AN52" s="47"/>
      <c r="AO52" s="47"/>
      <c r="AP52" s="47"/>
      <c r="AQ52" s="49"/>
      <c r="AR52" s="47"/>
      <c r="AS52" s="47"/>
      <c r="AT52" s="47"/>
      <c r="AU52" s="47"/>
      <c r="AV52" s="47"/>
      <c r="AW52" s="47"/>
      <c r="AX52" s="47"/>
      <c r="AY52" s="47"/>
      <c r="AZ52" s="47"/>
      <c r="BA52" s="50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2"/>
      <c r="BS52" s="53"/>
      <c r="BT52" s="53"/>
      <c r="BU52" s="52"/>
      <c r="BV52" s="47"/>
      <c r="BW52" s="47"/>
      <c r="BX52" s="51"/>
      <c r="BY52" s="52"/>
      <c r="BZ52" s="53"/>
      <c r="CA52" s="53"/>
    </row>
    <row r="53" ht="11.25" customHeight="1">
      <c r="A53" s="55"/>
      <c r="B53" s="55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48"/>
      <c r="N53" s="56"/>
      <c r="O53" s="56"/>
      <c r="P53" s="56"/>
      <c r="Q53" s="56"/>
      <c r="R53" s="56"/>
      <c r="S53" s="56"/>
      <c r="T53" s="56"/>
      <c r="U53" s="56"/>
      <c r="V53" s="56"/>
      <c r="W53" s="49"/>
      <c r="X53" s="56"/>
      <c r="Y53" s="56"/>
      <c r="Z53" s="56"/>
      <c r="AA53" s="56"/>
      <c r="AB53" s="56"/>
      <c r="AC53" s="56"/>
      <c r="AD53" s="56"/>
      <c r="AE53" s="56"/>
      <c r="AF53" s="56"/>
      <c r="AG53" s="49"/>
      <c r="AH53" s="56"/>
      <c r="AI53" s="56"/>
      <c r="AJ53" s="56"/>
      <c r="AK53" s="56"/>
      <c r="AL53" s="56"/>
      <c r="AM53" s="56"/>
      <c r="AN53" s="56"/>
      <c r="AO53" s="56"/>
      <c r="AP53" s="56"/>
      <c r="AQ53" s="49"/>
      <c r="AR53" s="56"/>
      <c r="AS53" s="56"/>
      <c r="AT53" s="56"/>
      <c r="AU53" s="56"/>
      <c r="AV53" s="56"/>
      <c r="AW53" s="56"/>
      <c r="AX53" s="56"/>
      <c r="AY53" s="56"/>
      <c r="AZ53" s="56"/>
      <c r="BA53" s="50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8"/>
      <c r="BS53" s="59"/>
      <c r="BT53" s="59"/>
      <c r="BU53" s="58"/>
      <c r="BV53" s="47"/>
      <c r="BW53" s="47"/>
      <c r="BX53" s="57"/>
      <c r="BY53" s="58"/>
      <c r="BZ53" s="59"/>
      <c r="CA53" s="53"/>
    </row>
    <row r="54" ht="11.25" customHeight="1">
      <c r="A54" s="46"/>
      <c r="B54" s="46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8"/>
      <c r="N54" s="47"/>
      <c r="O54" s="47"/>
      <c r="P54" s="47"/>
      <c r="Q54" s="47"/>
      <c r="R54" s="47"/>
      <c r="S54" s="47"/>
      <c r="T54" s="47"/>
      <c r="U54" s="47"/>
      <c r="V54" s="47"/>
      <c r="W54" s="49"/>
      <c r="X54" s="47"/>
      <c r="Y54" s="47"/>
      <c r="Z54" s="47"/>
      <c r="AA54" s="47"/>
      <c r="AB54" s="47"/>
      <c r="AC54" s="47"/>
      <c r="AD54" s="47"/>
      <c r="AE54" s="47"/>
      <c r="AF54" s="47"/>
      <c r="AG54" s="49"/>
      <c r="AH54" s="47"/>
      <c r="AI54" s="47"/>
      <c r="AJ54" s="47"/>
      <c r="AK54" s="47"/>
      <c r="AL54" s="47"/>
      <c r="AM54" s="47"/>
      <c r="AN54" s="47"/>
      <c r="AO54" s="47"/>
      <c r="AP54" s="47"/>
      <c r="AQ54" s="49"/>
      <c r="AR54" s="47"/>
      <c r="AS54" s="47"/>
      <c r="AT54" s="47"/>
      <c r="AU54" s="47"/>
      <c r="AV54" s="47"/>
      <c r="AW54" s="47"/>
      <c r="AX54" s="47"/>
      <c r="AY54" s="47"/>
      <c r="AZ54" s="47"/>
      <c r="BA54" s="50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1"/>
      <c r="BP54" s="51"/>
      <c r="BQ54" s="51"/>
      <c r="BR54" s="52"/>
      <c r="BS54" s="53"/>
      <c r="BT54" s="53"/>
      <c r="BU54" s="52"/>
      <c r="BV54" s="47"/>
      <c r="BW54" s="47"/>
      <c r="BX54" s="51"/>
      <c r="BY54" s="52"/>
      <c r="BZ54" s="53"/>
      <c r="CA54" s="53"/>
    </row>
    <row r="55" ht="11.25" customHeight="1">
      <c r="A55" s="55"/>
      <c r="B55" s="55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48"/>
      <c r="N55" s="56"/>
      <c r="O55" s="56"/>
      <c r="P55" s="56"/>
      <c r="Q55" s="56"/>
      <c r="R55" s="56"/>
      <c r="S55" s="56"/>
      <c r="T55" s="56"/>
      <c r="U55" s="56"/>
      <c r="V55" s="56"/>
      <c r="W55" s="49"/>
      <c r="X55" s="56"/>
      <c r="Y55" s="56"/>
      <c r="Z55" s="56"/>
      <c r="AA55" s="56"/>
      <c r="AB55" s="56"/>
      <c r="AC55" s="56"/>
      <c r="AD55" s="56"/>
      <c r="AE55" s="56"/>
      <c r="AF55" s="56"/>
      <c r="AG55" s="49"/>
      <c r="AH55" s="56"/>
      <c r="AI55" s="56"/>
      <c r="AJ55" s="56"/>
      <c r="AK55" s="56"/>
      <c r="AL55" s="56"/>
      <c r="AM55" s="56"/>
      <c r="AN55" s="56"/>
      <c r="AO55" s="56"/>
      <c r="AP55" s="56"/>
      <c r="AQ55" s="49"/>
      <c r="AR55" s="56"/>
      <c r="AS55" s="56"/>
      <c r="AT55" s="56"/>
      <c r="AU55" s="56"/>
      <c r="AV55" s="56"/>
      <c r="AW55" s="56"/>
      <c r="AX55" s="56"/>
      <c r="AY55" s="56"/>
      <c r="AZ55" s="56"/>
      <c r="BA55" s="50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8"/>
      <c r="BS55" s="59"/>
      <c r="BT55" s="59"/>
      <c r="BU55" s="58"/>
      <c r="BV55" s="47"/>
      <c r="BW55" s="47"/>
      <c r="BX55" s="57"/>
      <c r="BY55" s="58"/>
      <c r="BZ55" s="59"/>
      <c r="CA55" s="53"/>
    </row>
    <row r="56" ht="11.25" customHeight="1">
      <c r="A56" s="46"/>
      <c r="B56" s="46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8"/>
      <c r="N56" s="47"/>
      <c r="O56" s="47"/>
      <c r="P56" s="47"/>
      <c r="Q56" s="47"/>
      <c r="R56" s="47"/>
      <c r="S56" s="47"/>
      <c r="T56" s="47"/>
      <c r="U56" s="47"/>
      <c r="V56" s="47"/>
      <c r="W56" s="49"/>
      <c r="X56" s="47"/>
      <c r="Y56" s="47"/>
      <c r="Z56" s="47"/>
      <c r="AA56" s="47"/>
      <c r="AB56" s="47"/>
      <c r="AC56" s="47"/>
      <c r="AD56" s="47"/>
      <c r="AE56" s="47"/>
      <c r="AF56" s="47"/>
      <c r="AG56" s="49"/>
      <c r="AH56" s="47"/>
      <c r="AI56" s="47"/>
      <c r="AJ56" s="47"/>
      <c r="AK56" s="47"/>
      <c r="AL56" s="47"/>
      <c r="AM56" s="47"/>
      <c r="AN56" s="47"/>
      <c r="AO56" s="47"/>
      <c r="AP56" s="47"/>
      <c r="AQ56" s="49"/>
      <c r="AR56" s="47"/>
      <c r="AS56" s="47"/>
      <c r="AT56" s="47"/>
      <c r="AU56" s="47"/>
      <c r="AV56" s="47"/>
      <c r="AW56" s="47"/>
      <c r="AX56" s="47"/>
      <c r="AY56" s="47"/>
      <c r="AZ56" s="47"/>
      <c r="BA56" s="50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1"/>
      <c r="BP56" s="51"/>
      <c r="BQ56" s="51"/>
      <c r="BR56" s="52"/>
      <c r="BS56" s="53"/>
      <c r="BT56" s="53"/>
      <c r="BU56" s="52"/>
      <c r="BV56" s="47"/>
      <c r="BW56" s="47"/>
      <c r="BX56" s="51"/>
      <c r="BY56" s="52"/>
      <c r="BZ56" s="53"/>
      <c r="CA56" s="53"/>
    </row>
    <row r="57" ht="11.25" customHeight="1">
      <c r="A57" s="55"/>
      <c r="B57" s="55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48"/>
      <c r="N57" s="56"/>
      <c r="O57" s="56"/>
      <c r="P57" s="56"/>
      <c r="Q57" s="56"/>
      <c r="R57" s="56"/>
      <c r="S57" s="56"/>
      <c r="T57" s="56"/>
      <c r="U57" s="56"/>
      <c r="V57" s="56"/>
      <c r="W57" s="49"/>
      <c r="X57" s="56"/>
      <c r="Y57" s="56"/>
      <c r="Z57" s="56"/>
      <c r="AA57" s="56"/>
      <c r="AB57" s="56"/>
      <c r="AC57" s="56"/>
      <c r="AD57" s="56"/>
      <c r="AE57" s="56"/>
      <c r="AF57" s="56"/>
      <c r="AG57" s="49"/>
      <c r="AH57" s="56"/>
      <c r="AI57" s="56"/>
      <c r="AJ57" s="56"/>
      <c r="AK57" s="56"/>
      <c r="AL57" s="56"/>
      <c r="AM57" s="56"/>
      <c r="AN57" s="56"/>
      <c r="AO57" s="56"/>
      <c r="AP57" s="56"/>
      <c r="AQ57" s="49"/>
      <c r="AR57" s="56"/>
      <c r="AS57" s="56"/>
      <c r="AT57" s="56"/>
      <c r="AU57" s="56"/>
      <c r="AV57" s="56"/>
      <c r="AW57" s="56"/>
      <c r="AX57" s="56"/>
      <c r="AY57" s="56"/>
      <c r="AZ57" s="56"/>
      <c r="BA57" s="50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8"/>
      <c r="BS57" s="59"/>
      <c r="BT57" s="59"/>
      <c r="BU57" s="58"/>
      <c r="BV57" s="47"/>
      <c r="BW57" s="47"/>
      <c r="BX57" s="57"/>
      <c r="BY57" s="58"/>
      <c r="BZ57" s="59"/>
      <c r="CA57" s="53"/>
    </row>
    <row r="58" ht="11.25" customHeight="1">
      <c r="A58" s="46"/>
      <c r="B58" s="46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8"/>
      <c r="N58" s="47"/>
      <c r="O58" s="47"/>
      <c r="P58" s="47"/>
      <c r="Q58" s="47"/>
      <c r="R58" s="47"/>
      <c r="S58" s="47"/>
      <c r="T58" s="47"/>
      <c r="U58" s="47"/>
      <c r="V58" s="47"/>
      <c r="W58" s="49"/>
      <c r="X58" s="47"/>
      <c r="Y58" s="47"/>
      <c r="Z58" s="47"/>
      <c r="AA58" s="47"/>
      <c r="AB58" s="47"/>
      <c r="AC58" s="47"/>
      <c r="AD58" s="47"/>
      <c r="AE58" s="47"/>
      <c r="AF58" s="47"/>
      <c r="AG58" s="49"/>
      <c r="AH58" s="47"/>
      <c r="AI58" s="47"/>
      <c r="AJ58" s="47"/>
      <c r="AK58" s="47"/>
      <c r="AL58" s="47"/>
      <c r="AM58" s="47"/>
      <c r="AN58" s="47"/>
      <c r="AO58" s="47"/>
      <c r="AP58" s="47"/>
      <c r="AQ58" s="49"/>
      <c r="AR58" s="47"/>
      <c r="AS58" s="47"/>
      <c r="AT58" s="47"/>
      <c r="AU58" s="47"/>
      <c r="AV58" s="47"/>
      <c r="AW58" s="47"/>
      <c r="AX58" s="47"/>
      <c r="AY58" s="47"/>
      <c r="AZ58" s="47"/>
      <c r="BA58" s="50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1"/>
      <c r="BP58" s="51"/>
      <c r="BQ58" s="51"/>
      <c r="BR58" s="52"/>
      <c r="BS58" s="53"/>
      <c r="BT58" s="53"/>
      <c r="BU58" s="52"/>
      <c r="BV58" s="47"/>
      <c r="BW58" s="47"/>
      <c r="BX58" s="51"/>
      <c r="BY58" s="52"/>
      <c r="BZ58" s="53"/>
      <c r="CA58" s="53"/>
    </row>
    <row r="59" ht="11.25" customHeight="1">
      <c r="A59" s="55"/>
      <c r="B59" s="55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48"/>
      <c r="N59" s="56"/>
      <c r="O59" s="56"/>
      <c r="P59" s="56"/>
      <c r="Q59" s="56"/>
      <c r="R59" s="56"/>
      <c r="S59" s="56"/>
      <c r="T59" s="56"/>
      <c r="U59" s="56"/>
      <c r="V59" s="56"/>
      <c r="W59" s="49"/>
      <c r="X59" s="56"/>
      <c r="Y59" s="56"/>
      <c r="Z59" s="56"/>
      <c r="AA59" s="56"/>
      <c r="AB59" s="56"/>
      <c r="AC59" s="56"/>
      <c r="AD59" s="56"/>
      <c r="AE59" s="56"/>
      <c r="AF59" s="56"/>
      <c r="AG59" s="49"/>
      <c r="AH59" s="56"/>
      <c r="AI59" s="56"/>
      <c r="AJ59" s="56"/>
      <c r="AK59" s="56"/>
      <c r="AL59" s="56"/>
      <c r="AM59" s="56"/>
      <c r="AN59" s="56"/>
      <c r="AO59" s="56"/>
      <c r="AP59" s="56"/>
      <c r="AQ59" s="49"/>
      <c r="AR59" s="56"/>
      <c r="AS59" s="56"/>
      <c r="AT59" s="56"/>
      <c r="AU59" s="56"/>
      <c r="AV59" s="56"/>
      <c r="AW59" s="56"/>
      <c r="AX59" s="56"/>
      <c r="AY59" s="56"/>
      <c r="AZ59" s="56"/>
      <c r="BA59" s="50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8"/>
      <c r="BS59" s="59"/>
      <c r="BT59" s="59"/>
      <c r="BU59" s="58"/>
      <c r="BV59" s="47"/>
      <c r="BW59" s="47"/>
      <c r="BX59" s="57"/>
      <c r="BY59" s="58"/>
      <c r="BZ59" s="59"/>
      <c r="CA59" s="53"/>
    </row>
    <row r="60" ht="11.25" customHeight="1">
      <c r="A60" s="46"/>
      <c r="B60" s="46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8"/>
      <c r="N60" s="47"/>
      <c r="O60" s="47"/>
      <c r="P60" s="47"/>
      <c r="Q60" s="47"/>
      <c r="R60" s="47"/>
      <c r="S60" s="47"/>
      <c r="T60" s="47"/>
      <c r="U60" s="47"/>
      <c r="V60" s="47"/>
      <c r="W60" s="49"/>
      <c r="X60" s="47"/>
      <c r="Y60" s="47"/>
      <c r="Z60" s="47"/>
      <c r="AA60" s="47"/>
      <c r="AB60" s="47"/>
      <c r="AC60" s="47"/>
      <c r="AD60" s="47"/>
      <c r="AE60" s="47"/>
      <c r="AF60" s="47"/>
      <c r="AG60" s="49"/>
      <c r="AH60" s="47"/>
      <c r="AI60" s="47"/>
      <c r="AJ60" s="47"/>
      <c r="AK60" s="47"/>
      <c r="AL60" s="47"/>
      <c r="AM60" s="47"/>
      <c r="AN60" s="47"/>
      <c r="AO60" s="47"/>
      <c r="AP60" s="47"/>
      <c r="AQ60" s="49"/>
      <c r="AR60" s="47"/>
      <c r="AS60" s="47"/>
      <c r="AT60" s="47"/>
      <c r="AU60" s="47"/>
      <c r="AV60" s="47"/>
      <c r="AW60" s="47"/>
      <c r="AX60" s="47"/>
      <c r="AY60" s="47"/>
      <c r="AZ60" s="47"/>
      <c r="BA60" s="50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51"/>
      <c r="BR60" s="52"/>
      <c r="BS60" s="53"/>
      <c r="BT60" s="53"/>
      <c r="BU60" s="52"/>
      <c r="BV60" s="47"/>
      <c r="BW60" s="47"/>
      <c r="BX60" s="51"/>
      <c r="BY60" s="52"/>
      <c r="BZ60" s="53"/>
      <c r="CA60" s="53"/>
    </row>
    <row r="61" ht="11.25" customHeight="1">
      <c r="A61" s="55"/>
      <c r="B61" s="55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48"/>
      <c r="N61" s="56"/>
      <c r="O61" s="56"/>
      <c r="P61" s="56"/>
      <c r="Q61" s="56"/>
      <c r="R61" s="56"/>
      <c r="S61" s="56"/>
      <c r="T61" s="56"/>
      <c r="U61" s="56"/>
      <c r="V61" s="56"/>
      <c r="W61" s="49"/>
      <c r="X61" s="56"/>
      <c r="Y61" s="56"/>
      <c r="Z61" s="56"/>
      <c r="AA61" s="56"/>
      <c r="AB61" s="56"/>
      <c r="AC61" s="56"/>
      <c r="AD61" s="56"/>
      <c r="AE61" s="56"/>
      <c r="AF61" s="56"/>
      <c r="AG61" s="49"/>
      <c r="AH61" s="56"/>
      <c r="AI61" s="56"/>
      <c r="AJ61" s="56"/>
      <c r="AK61" s="56"/>
      <c r="AL61" s="56"/>
      <c r="AM61" s="56"/>
      <c r="AN61" s="56"/>
      <c r="AO61" s="56"/>
      <c r="AP61" s="56"/>
      <c r="AQ61" s="49"/>
      <c r="AR61" s="56"/>
      <c r="AS61" s="56"/>
      <c r="AT61" s="56"/>
      <c r="AU61" s="56"/>
      <c r="AV61" s="56"/>
      <c r="AW61" s="56"/>
      <c r="AX61" s="56"/>
      <c r="AY61" s="56"/>
      <c r="AZ61" s="56"/>
      <c r="BA61" s="50"/>
      <c r="BB61" s="57"/>
      <c r="BC61" s="57"/>
      <c r="BD61" s="57"/>
      <c r="BE61" s="57"/>
      <c r="BF61" s="57"/>
      <c r="BG61" s="57"/>
      <c r="BH61" s="57"/>
      <c r="BI61" s="57"/>
      <c r="BJ61" s="57"/>
      <c r="BK61" s="57"/>
      <c r="BL61" s="57"/>
      <c r="BM61" s="57"/>
      <c r="BN61" s="57"/>
      <c r="BO61" s="57"/>
      <c r="BP61" s="57"/>
      <c r="BQ61" s="57"/>
      <c r="BR61" s="58"/>
      <c r="BS61" s="59"/>
      <c r="BT61" s="59"/>
      <c r="BU61" s="58"/>
      <c r="BV61" s="47"/>
      <c r="BW61" s="47"/>
      <c r="BX61" s="57"/>
      <c r="BY61" s="58"/>
      <c r="BZ61" s="59"/>
      <c r="CA61" s="53"/>
    </row>
    <row r="62" ht="11.25" customHeight="1">
      <c r="A62" s="46"/>
      <c r="B62" s="46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8"/>
      <c r="N62" s="47"/>
      <c r="O62" s="47"/>
      <c r="P62" s="47"/>
      <c r="Q62" s="47"/>
      <c r="R62" s="47"/>
      <c r="S62" s="47"/>
      <c r="T62" s="47"/>
      <c r="U62" s="47"/>
      <c r="V62" s="47"/>
      <c r="W62" s="49"/>
      <c r="X62" s="47"/>
      <c r="Y62" s="47"/>
      <c r="Z62" s="47"/>
      <c r="AA62" s="47"/>
      <c r="AB62" s="47"/>
      <c r="AC62" s="47"/>
      <c r="AD62" s="47"/>
      <c r="AE62" s="47"/>
      <c r="AF62" s="47"/>
      <c r="AG62" s="49"/>
      <c r="AH62" s="47"/>
      <c r="AI62" s="47"/>
      <c r="AJ62" s="47"/>
      <c r="AK62" s="47"/>
      <c r="AL62" s="47"/>
      <c r="AM62" s="47"/>
      <c r="AN62" s="47"/>
      <c r="AO62" s="47"/>
      <c r="AP62" s="47"/>
      <c r="AQ62" s="49"/>
      <c r="AR62" s="47"/>
      <c r="AS62" s="47"/>
      <c r="AT62" s="47"/>
      <c r="AU62" s="47"/>
      <c r="AV62" s="47"/>
      <c r="AW62" s="47"/>
      <c r="AX62" s="47"/>
      <c r="AY62" s="47"/>
      <c r="AZ62" s="47"/>
      <c r="BA62" s="50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1"/>
      <c r="BP62" s="51"/>
      <c r="BQ62" s="51"/>
      <c r="BR62" s="52"/>
      <c r="BS62" s="53"/>
      <c r="BT62" s="53"/>
      <c r="BU62" s="52"/>
      <c r="BV62" s="47"/>
      <c r="BW62" s="47"/>
      <c r="BX62" s="51"/>
      <c r="BY62" s="52"/>
      <c r="BZ62" s="53"/>
      <c r="CA62" s="53"/>
    </row>
    <row r="63" ht="11.25" customHeight="1">
      <c r="A63" s="55"/>
      <c r="B63" s="55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48"/>
      <c r="N63" s="56"/>
      <c r="O63" s="56"/>
      <c r="P63" s="56"/>
      <c r="Q63" s="56"/>
      <c r="R63" s="56"/>
      <c r="S63" s="56"/>
      <c r="T63" s="56"/>
      <c r="U63" s="56"/>
      <c r="V63" s="56"/>
      <c r="W63" s="49"/>
      <c r="X63" s="56"/>
      <c r="Y63" s="56"/>
      <c r="Z63" s="56"/>
      <c r="AA63" s="56"/>
      <c r="AB63" s="56"/>
      <c r="AC63" s="56"/>
      <c r="AD63" s="56"/>
      <c r="AE63" s="56"/>
      <c r="AF63" s="56"/>
      <c r="AG63" s="49"/>
      <c r="AH63" s="56"/>
      <c r="AI63" s="56"/>
      <c r="AJ63" s="56"/>
      <c r="AK63" s="56"/>
      <c r="AL63" s="56"/>
      <c r="AM63" s="56"/>
      <c r="AN63" s="56"/>
      <c r="AO63" s="56"/>
      <c r="AP63" s="56"/>
      <c r="AQ63" s="49"/>
      <c r="AR63" s="56"/>
      <c r="AS63" s="56"/>
      <c r="AT63" s="56"/>
      <c r="AU63" s="56"/>
      <c r="AV63" s="56"/>
      <c r="AW63" s="56"/>
      <c r="AX63" s="56"/>
      <c r="AY63" s="56"/>
      <c r="AZ63" s="56"/>
      <c r="BA63" s="50"/>
      <c r="BB63" s="57"/>
      <c r="BC63" s="57"/>
      <c r="BD63" s="57"/>
      <c r="BE63" s="57"/>
      <c r="BF63" s="57"/>
      <c r="BG63" s="57"/>
      <c r="BH63" s="57"/>
      <c r="BI63" s="57"/>
      <c r="BJ63" s="57"/>
      <c r="BK63" s="57"/>
      <c r="BL63" s="57"/>
      <c r="BM63" s="57"/>
      <c r="BN63" s="57"/>
      <c r="BO63" s="57"/>
      <c r="BP63" s="57"/>
      <c r="BQ63" s="57"/>
      <c r="BR63" s="58"/>
      <c r="BS63" s="59"/>
      <c r="BT63" s="59"/>
      <c r="BU63" s="58"/>
      <c r="BV63" s="47"/>
      <c r="BW63" s="47"/>
      <c r="BX63" s="57"/>
      <c r="BY63" s="58"/>
      <c r="BZ63" s="59"/>
      <c r="CA63" s="53"/>
    </row>
    <row r="64" ht="11.25" customHeight="1">
      <c r="A64" s="46"/>
      <c r="B64" s="46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8"/>
      <c r="N64" s="47"/>
      <c r="O64" s="47"/>
      <c r="P64" s="47"/>
      <c r="Q64" s="47"/>
      <c r="R64" s="47"/>
      <c r="S64" s="47"/>
      <c r="T64" s="47"/>
      <c r="U64" s="47"/>
      <c r="V64" s="47"/>
      <c r="W64" s="49"/>
      <c r="X64" s="47"/>
      <c r="Y64" s="47"/>
      <c r="Z64" s="47"/>
      <c r="AA64" s="47"/>
      <c r="AB64" s="47"/>
      <c r="AC64" s="47"/>
      <c r="AD64" s="47"/>
      <c r="AE64" s="47"/>
      <c r="AF64" s="47"/>
      <c r="AG64" s="49"/>
      <c r="AH64" s="47"/>
      <c r="AI64" s="47"/>
      <c r="AJ64" s="47"/>
      <c r="AK64" s="47"/>
      <c r="AL64" s="47"/>
      <c r="AM64" s="47"/>
      <c r="AN64" s="47"/>
      <c r="AO64" s="47"/>
      <c r="AP64" s="47"/>
      <c r="AQ64" s="49"/>
      <c r="AR64" s="47"/>
      <c r="AS64" s="47"/>
      <c r="AT64" s="47"/>
      <c r="AU64" s="47"/>
      <c r="AV64" s="47"/>
      <c r="AW64" s="47"/>
      <c r="AX64" s="47"/>
      <c r="AY64" s="47"/>
      <c r="AZ64" s="47"/>
      <c r="BA64" s="50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1"/>
      <c r="BP64" s="51"/>
      <c r="BQ64" s="51"/>
      <c r="BR64" s="52"/>
      <c r="BS64" s="53"/>
      <c r="BT64" s="53"/>
      <c r="BU64" s="52"/>
      <c r="BV64" s="47"/>
      <c r="BW64" s="47"/>
      <c r="BX64" s="51"/>
      <c r="BY64" s="52"/>
      <c r="BZ64" s="53"/>
      <c r="CA64" s="53"/>
    </row>
    <row r="65" ht="11.25" customHeight="1">
      <c r="A65" s="55"/>
      <c r="B65" s="55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48"/>
      <c r="N65" s="56"/>
      <c r="O65" s="56"/>
      <c r="P65" s="56"/>
      <c r="Q65" s="56"/>
      <c r="R65" s="56"/>
      <c r="S65" s="56"/>
      <c r="T65" s="56"/>
      <c r="U65" s="56"/>
      <c r="V65" s="56"/>
      <c r="W65" s="49"/>
      <c r="X65" s="56"/>
      <c r="Y65" s="56"/>
      <c r="Z65" s="56"/>
      <c r="AA65" s="56"/>
      <c r="AB65" s="56"/>
      <c r="AC65" s="56"/>
      <c r="AD65" s="56"/>
      <c r="AE65" s="56"/>
      <c r="AF65" s="56"/>
      <c r="AG65" s="49"/>
      <c r="AH65" s="56"/>
      <c r="AI65" s="56"/>
      <c r="AJ65" s="56"/>
      <c r="AK65" s="56"/>
      <c r="AL65" s="56"/>
      <c r="AM65" s="56"/>
      <c r="AN65" s="56"/>
      <c r="AO65" s="56"/>
      <c r="AP65" s="56"/>
      <c r="AQ65" s="49"/>
      <c r="AR65" s="56"/>
      <c r="AS65" s="56"/>
      <c r="AT65" s="56"/>
      <c r="AU65" s="56"/>
      <c r="AV65" s="56"/>
      <c r="AW65" s="56"/>
      <c r="AX65" s="56"/>
      <c r="AY65" s="56"/>
      <c r="AZ65" s="56"/>
      <c r="BA65" s="50"/>
      <c r="BB65" s="57"/>
      <c r="BC65" s="57"/>
      <c r="BD65" s="57"/>
      <c r="BE65" s="57"/>
      <c r="BF65" s="57"/>
      <c r="BG65" s="57"/>
      <c r="BH65" s="57"/>
      <c r="BI65" s="57"/>
      <c r="BJ65" s="57"/>
      <c r="BK65" s="57"/>
      <c r="BL65" s="57"/>
      <c r="BM65" s="57"/>
      <c r="BN65" s="57"/>
      <c r="BO65" s="57"/>
      <c r="BP65" s="57"/>
      <c r="BQ65" s="57"/>
      <c r="BR65" s="58"/>
      <c r="BS65" s="59"/>
      <c r="BT65" s="59"/>
      <c r="BU65" s="58"/>
      <c r="BV65" s="47"/>
      <c r="BW65" s="47"/>
      <c r="BX65" s="57"/>
      <c r="BY65" s="58"/>
      <c r="BZ65" s="59"/>
      <c r="CA65" s="53"/>
    </row>
    <row r="66" ht="11.25" customHeight="1">
      <c r="A66" s="46"/>
      <c r="B66" s="46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8"/>
      <c r="N66" s="47"/>
      <c r="O66" s="47"/>
      <c r="P66" s="47"/>
      <c r="Q66" s="47"/>
      <c r="R66" s="47"/>
      <c r="S66" s="47"/>
      <c r="T66" s="47"/>
      <c r="U66" s="47"/>
      <c r="V66" s="47"/>
      <c r="W66" s="49"/>
      <c r="X66" s="47"/>
      <c r="Y66" s="47"/>
      <c r="Z66" s="47"/>
      <c r="AA66" s="47"/>
      <c r="AB66" s="47"/>
      <c r="AC66" s="47"/>
      <c r="AD66" s="47"/>
      <c r="AE66" s="47"/>
      <c r="AF66" s="47"/>
      <c r="AG66" s="49"/>
      <c r="AH66" s="47"/>
      <c r="AI66" s="47"/>
      <c r="AJ66" s="47"/>
      <c r="AK66" s="47"/>
      <c r="AL66" s="47"/>
      <c r="AM66" s="47"/>
      <c r="AN66" s="47"/>
      <c r="AO66" s="47"/>
      <c r="AP66" s="47"/>
      <c r="AQ66" s="49"/>
      <c r="AR66" s="47"/>
      <c r="AS66" s="47"/>
      <c r="AT66" s="47"/>
      <c r="AU66" s="47"/>
      <c r="AV66" s="47"/>
      <c r="AW66" s="47"/>
      <c r="AX66" s="47"/>
      <c r="AY66" s="47"/>
      <c r="AZ66" s="47"/>
      <c r="BA66" s="50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51"/>
      <c r="BR66" s="52"/>
      <c r="BS66" s="53"/>
      <c r="BT66" s="53"/>
      <c r="BU66" s="52"/>
      <c r="BV66" s="47"/>
      <c r="BW66" s="47"/>
      <c r="BX66" s="51"/>
      <c r="BY66" s="52"/>
      <c r="BZ66" s="53"/>
      <c r="CA66" s="53"/>
    </row>
    <row r="67" ht="11.25" customHeight="1">
      <c r="A67" s="55"/>
      <c r="B67" s="55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48"/>
      <c r="N67" s="56"/>
      <c r="O67" s="56"/>
      <c r="P67" s="56"/>
      <c r="Q67" s="56"/>
      <c r="R67" s="56"/>
      <c r="S67" s="56"/>
      <c r="T67" s="56"/>
      <c r="U67" s="56"/>
      <c r="V67" s="56"/>
      <c r="W67" s="49"/>
      <c r="X67" s="56"/>
      <c r="Y67" s="56"/>
      <c r="Z67" s="56"/>
      <c r="AA67" s="56"/>
      <c r="AB67" s="56"/>
      <c r="AC67" s="56"/>
      <c r="AD67" s="56"/>
      <c r="AE67" s="56"/>
      <c r="AF67" s="56"/>
      <c r="AG67" s="49"/>
      <c r="AH67" s="56"/>
      <c r="AI67" s="56"/>
      <c r="AJ67" s="56"/>
      <c r="AK67" s="56"/>
      <c r="AL67" s="56"/>
      <c r="AM67" s="56"/>
      <c r="AN67" s="56"/>
      <c r="AO67" s="56"/>
      <c r="AP67" s="56"/>
      <c r="AQ67" s="49"/>
      <c r="AR67" s="56"/>
      <c r="AS67" s="56"/>
      <c r="AT67" s="56"/>
      <c r="AU67" s="56"/>
      <c r="AV67" s="56"/>
      <c r="AW67" s="56"/>
      <c r="AX67" s="56"/>
      <c r="AY67" s="56"/>
      <c r="AZ67" s="56"/>
      <c r="BA67" s="50"/>
      <c r="BB67" s="57"/>
      <c r="BC67" s="57"/>
      <c r="BD67" s="57"/>
      <c r="BE67" s="57"/>
      <c r="BF67" s="57"/>
      <c r="BG67" s="57"/>
      <c r="BH67" s="57"/>
      <c r="BI67" s="57"/>
      <c r="BJ67" s="57"/>
      <c r="BK67" s="57"/>
      <c r="BL67" s="57"/>
      <c r="BM67" s="57"/>
      <c r="BN67" s="57"/>
      <c r="BO67" s="57"/>
      <c r="BP67" s="57"/>
      <c r="BQ67" s="57"/>
      <c r="BR67" s="58"/>
      <c r="BS67" s="59"/>
      <c r="BT67" s="59"/>
      <c r="BU67" s="58"/>
      <c r="BV67" s="47"/>
      <c r="BW67" s="47"/>
      <c r="BX67" s="57"/>
      <c r="BY67" s="58"/>
      <c r="BZ67" s="59"/>
      <c r="CA67" s="53"/>
    </row>
    <row r="68" ht="11.25" customHeight="1">
      <c r="A68" s="46"/>
      <c r="B68" s="46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8"/>
      <c r="N68" s="47"/>
      <c r="O68" s="47"/>
      <c r="P68" s="47"/>
      <c r="Q68" s="47"/>
      <c r="R68" s="47"/>
      <c r="S68" s="47"/>
      <c r="T68" s="47"/>
      <c r="U68" s="47"/>
      <c r="V68" s="47"/>
      <c r="W68" s="49"/>
      <c r="X68" s="47"/>
      <c r="Y68" s="47"/>
      <c r="Z68" s="47"/>
      <c r="AA68" s="47"/>
      <c r="AB68" s="47"/>
      <c r="AC68" s="47"/>
      <c r="AD68" s="47"/>
      <c r="AE68" s="47"/>
      <c r="AF68" s="47"/>
      <c r="AG68" s="49"/>
      <c r="AH68" s="47"/>
      <c r="AI68" s="47"/>
      <c r="AJ68" s="47"/>
      <c r="AK68" s="47"/>
      <c r="AL68" s="47"/>
      <c r="AM68" s="47"/>
      <c r="AN68" s="47"/>
      <c r="AO68" s="47"/>
      <c r="AP68" s="47"/>
      <c r="AQ68" s="49"/>
      <c r="AR68" s="47"/>
      <c r="AS68" s="47"/>
      <c r="AT68" s="47"/>
      <c r="AU68" s="47"/>
      <c r="AV68" s="47"/>
      <c r="AW68" s="47"/>
      <c r="AX68" s="47"/>
      <c r="AY68" s="47"/>
      <c r="AZ68" s="47"/>
      <c r="BA68" s="50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1"/>
      <c r="BP68" s="51"/>
      <c r="BQ68" s="51"/>
      <c r="BR68" s="52"/>
      <c r="BS68" s="53"/>
      <c r="BT68" s="53"/>
      <c r="BU68" s="52"/>
      <c r="BV68" s="47"/>
      <c r="BW68" s="47"/>
      <c r="BX68" s="51"/>
      <c r="BY68" s="52"/>
      <c r="BZ68" s="53"/>
      <c r="CA68" s="53"/>
    </row>
    <row r="69" ht="11.25" customHeight="1">
      <c r="A69" s="55"/>
      <c r="B69" s="55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48"/>
      <c r="N69" s="56"/>
      <c r="O69" s="56"/>
      <c r="P69" s="56"/>
      <c r="Q69" s="56"/>
      <c r="R69" s="56"/>
      <c r="S69" s="56"/>
      <c r="T69" s="56"/>
      <c r="U69" s="56"/>
      <c r="V69" s="56"/>
      <c r="W69" s="49"/>
      <c r="X69" s="56"/>
      <c r="Y69" s="56"/>
      <c r="Z69" s="56"/>
      <c r="AA69" s="56"/>
      <c r="AB69" s="56"/>
      <c r="AC69" s="56"/>
      <c r="AD69" s="56"/>
      <c r="AE69" s="56"/>
      <c r="AF69" s="56"/>
      <c r="AG69" s="49"/>
      <c r="AH69" s="56"/>
      <c r="AI69" s="56"/>
      <c r="AJ69" s="56"/>
      <c r="AK69" s="56"/>
      <c r="AL69" s="56"/>
      <c r="AM69" s="56"/>
      <c r="AN69" s="56"/>
      <c r="AO69" s="56"/>
      <c r="AP69" s="56"/>
      <c r="AQ69" s="49"/>
      <c r="AR69" s="56"/>
      <c r="AS69" s="56"/>
      <c r="AT69" s="56"/>
      <c r="AU69" s="56"/>
      <c r="AV69" s="56"/>
      <c r="AW69" s="56"/>
      <c r="AX69" s="56"/>
      <c r="AY69" s="56"/>
      <c r="AZ69" s="56"/>
      <c r="BA69" s="50"/>
      <c r="BB69" s="57"/>
      <c r="BC69" s="57"/>
      <c r="BD69" s="57"/>
      <c r="BE69" s="57"/>
      <c r="BF69" s="57"/>
      <c r="BG69" s="57"/>
      <c r="BH69" s="57"/>
      <c r="BI69" s="57"/>
      <c r="BJ69" s="57"/>
      <c r="BK69" s="57"/>
      <c r="BL69" s="57"/>
      <c r="BM69" s="57"/>
      <c r="BN69" s="57"/>
      <c r="BO69" s="57"/>
      <c r="BP69" s="57"/>
      <c r="BQ69" s="57"/>
      <c r="BR69" s="58"/>
      <c r="BS69" s="59"/>
      <c r="BT69" s="59"/>
      <c r="BU69" s="58"/>
      <c r="BV69" s="47"/>
      <c r="BW69" s="47"/>
      <c r="BX69" s="57"/>
      <c r="BY69" s="58"/>
      <c r="BZ69" s="59"/>
      <c r="CA69" s="53"/>
    </row>
    <row r="70" ht="11.25" customHeight="1">
      <c r="A70" s="46"/>
      <c r="B70" s="46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8"/>
      <c r="N70" s="47"/>
      <c r="O70" s="47"/>
      <c r="P70" s="47"/>
      <c r="Q70" s="47"/>
      <c r="R70" s="47"/>
      <c r="S70" s="47"/>
      <c r="T70" s="47"/>
      <c r="U70" s="47"/>
      <c r="V70" s="47"/>
      <c r="W70" s="49"/>
      <c r="X70" s="47"/>
      <c r="Y70" s="47"/>
      <c r="Z70" s="47"/>
      <c r="AA70" s="47"/>
      <c r="AB70" s="47"/>
      <c r="AC70" s="47"/>
      <c r="AD70" s="47"/>
      <c r="AE70" s="47"/>
      <c r="AF70" s="47"/>
      <c r="AG70" s="49"/>
      <c r="AH70" s="47"/>
      <c r="AI70" s="47"/>
      <c r="AJ70" s="47"/>
      <c r="AK70" s="47"/>
      <c r="AL70" s="47"/>
      <c r="AM70" s="47"/>
      <c r="AN70" s="47"/>
      <c r="AO70" s="47"/>
      <c r="AP70" s="47"/>
      <c r="AQ70" s="49"/>
      <c r="AR70" s="47"/>
      <c r="AS70" s="47"/>
      <c r="AT70" s="47"/>
      <c r="AU70" s="47"/>
      <c r="AV70" s="47"/>
      <c r="AW70" s="47"/>
      <c r="AX70" s="47"/>
      <c r="AY70" s="47"/>
      <c r="AZ70" s="47"/>
      <c r="BA70" s="50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2"/>
      <c r="BS70" s="53"/>
      <c r="BT70" s="53"/>
      <c r="BU70" s="52"/>
      <c r="BV70" s="47"/>
      <c r="BW70" s="47"/>
      <c r="BX70" s="51"/>
      <c r="BY70" s="52"/>
      <c r="BZ70" s="53"/>
      <c r="CA70" s="53"/>
    </row>
    <row r="71" ht="11.25" customHeight="1">
      <c r="A71" s="55"/>
      <c r="B71" s="55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48"/>
      <c r="N71" s="56"/>
      <c r="O71" s="56"/>
      <c r="P71" s="56"/>
      <c r="Q71" s="56"/>
      <c r="R71" s="56"/>
      <c r="S71" s="56"/>
      <c r="T71" s="56"/>
      <c r="U71" s="56"/>
      <c r="V71" s="56"/>
      <c r="W71" s="49"/>
      <c r="X71" s="56"/>
      <c r="Y71" s="56"/>
      <c r="Z71" s="56"/>
      <c r="AA71" s="56"/>
      <c r="AB71" s="56"/>
      <c r="AC71" s="56"/>
      <c r="AD71" s="56"/>
      <c r="AE71" s="56"/>
      <c r="AF71" s="56"/>
      <c r="AG71" s="49"/>
      <c r="AH71" s="56"/>
      <c r="AI71" s="56"/>
      <c r="AJ71" s="56"/>
      <c r="AK71" s="56"/>
      <c r="AL71" s="56"/>
      <c r="AM71" s="56"/>
      <c r="AN71" s="56"/>
      <c r="AO71" s="56"/>
      <c r="AP71" s="56"/>
      <c r="AQ71" s="49"/>
      <c r="AR71" s="56"/>
      <c r="AS71" s="56"/>
      <c r="AT71" s="56"/>
      <c r="AU71" s="56"/>
      <c r="AV71" s="56"/>
      <c r="AW71" s="56"/>
      <c r="AX71" s="56"/>
      <c r="AY71" s="56"/>
      <c r="AZ71" s="56"/>
      <c r="BA71" s="50"/>
      <c r="BB71" s="57"/>
      <c r="BC71" s="57"/>
      <c r="BD71" s="57"/>
      <c r="BE71" s="57"/>
      <c r="BF71" s="57"/>
      <c r="BG71" s="57"/>
      <c r="BH71" s="57"/>
      <c r="BI71" s="57"/>
      <c r="BJ71" s="57"/>
      <c r="BK71" s="57"/>
      <c r="BL71" s="57"/>
      <c r="BM71" s="57"/>
      <c r="BN71" s="57"/>
      <c r="BO71" s="57"/>
      <c r="BP71" s="57"/>
      <c r="BQ71" s="57"/>
      <c r="BR71" s="58"/>
      <c r="BS71" s="59"/>
      <c r="BT71" s="59"/>
      <c r="BU71" s="58"/>
      <c r="BV71" s="47"/>
      <c r="BW71" s="47"/>
      <c r="BX71" s="57"/>
      <c r="BY71" s="58"/>
      <c r="BZ71" s="59"/>
      <c r="CA71" s="53"/>
    </row>
    <row r="72" ht="11.25" customHeight="1">
      <c r="A72" s="46"/>
      <c r="B72" s="46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8"/>
      <c r="N72" s="47"/>
      <c r="O72" s="47"/>
      <c r="P72" s="47"/>
      <c r="Q72" s="47"/>
      <c r="R72" s="47"/>
      <c r="S72" s="47"/>
      <c r="T72" s="47"/>
      <c r="U72" s="47"/>
      <c r="V72" s="47"/>
      <c r="W72" s="49"/>
      <c r="X72" s="47"/>
      <c r="Y72" s="47"/>
      <c r="Z72" s="47"/>
      <c r="AA72" s="47"/>
      <c r="AB72" s="47"/>
      <c r="AC72" s="47"/>
      <c r="AD72" s="47"/>
      <c r="AE72" s="47"/>
      <c r="AF72" s="47"/>
      <c r="AG72" s="49"/>
      <c r="AH72" s="47"/>
      <c r="AI72" s="47"/>
      <c r="AJ72" s="47"/>
      <c r="AK72" s="47"/>
      <c r="AL72" s="47"/>
      <c r="AM72" s="47"/>
      <c r="AN72" s="47"/>
      <c r="AO72" s="47"/>
      <c r="AP72" s="47"/>
      <c r="AQ72" s="49"/>
      <c r="AR72" s="47"/>
      <c r="AS72" s="47"/>
      <c r="AT72" s="47"/>
      <c r="AU72" s="47"/>
      <c r="AV72" s="47"/>
      <c r="AW72" s="47"/>
      <c r="AX72" s="47"/>
      <c r="AY72" s="47"/>
      <c r="AZ72" s="47"/>
      <c r="BA72" s="50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1"/>
      <c r="BP72" s="51"/>
      <c r="BQ72" s="51"/>
      <c r="BR72" s="53"/>
      <c r="BS72" s="53"/>
      <c r="BT72" s="53"/>
      <c r="BU72" s="53"/>
      <c r="BV72" s="47"/>
      <c r="BW72" s="47"/>
      <c r="BX72" s="51"/>
      <c r="BY72" s="53"/>
      <c r="BZ72" s="53"/>
      <c r="CA72" s="53"/>
    </row>
    <row r="73" ht="11.25" customHeight="1">
      <c r="A73" s="54"/>
      <c r="B73" s="55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48"/>
      <c r="N73" s="56"/>
      <c r="O73" s="56"/>
      <c r="P73" s="56"/>
      <c r="Q73" s="56"/>
      <c r="R73" s="56"/>
      <c r="S73" s="56"/>
      <c r="T73" s="56"/>
      <c r="U73" s="56"/>
      <c r="V73" s="56"/>
      <c r="W73" s="49"/>
      <c r="X73" s="56"/>
      <c r="Y73" s="56"/>
      <c r="Z73" s="56"/>
      <c r="AA73" s="56"/>
      <c r="AB73" s="56"/>
      <c r="AC73" s="56"/>
      <c r="AD73" s="56"/>
      <c r="AE73" s="56"/>
      <c r="AF73" s="56"/>
      <c r="AG73" s="49"/>
      <c r="AH73" s="56"/>
      <c r="AI73" s="56"/>
      <c r="AJ73" s="56"/>
      <c r="AK73" s="56"/>
      <c r="AL73" s="56"/>
      <c r="AM73" s="56"/>
      <c r="AN73" s="56"/>
      <c r="AO73" s="56"/>
      <c r="AP73" s="56"/>
      <c r="AQ73" s="49"/>
      <c r="AR73" s="56"/>
      <c r="AS73" s="56"/>
      <c r="AT73" s="56"/>
      <c r="AU73" s="56"/>
      <c r="AV73" s="56"/>
      <c r="AW73" s="56"/>
      <c r="AX73" s="56"/>
      <c r="AY73" s="56"/>
      <c r="AZ73" s="56"/>
      <c r="BA73" s="50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52"/>
      <c r="BS73" s="59"/>
      <c r="BT73" s="59"/>
      <c r="BU73" s="58"/>
      <c r="BV73" s="47"/>
      <c r="BW73" s="47"/>
      <c r="BX73" s="57"/>
      <c r="BY73" s="58"/>
      <c r="BZ73" s="59"/>
      <c r="CA73" s="53"/>
    </row>
    <row r="74" ht="11.25" customHeight="1">
      <c r="A74" s="60"/>
      <c r="B74" s="61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48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3"/>
      <c r="BB74" s="64"/>
      <c r="BC74" s="64"/>
      <c r="BD74" s="64"/>
      <c r="BE74" s="64"/>
      <c r="BF74" s="64"/>
      <c r="BG74" s="64"/>
      <c r="BH74" s="64"/>
      <c r="BI74" s="64"/>
      <c r="BJ74" s="64"/>
      <c r="BK74" s="64"/>
      <c r="BL74" s="64"/>
      <c r="BM74" s="64"/>
      <c r="BN74" s="64"/>
      <c r="BO74" s="64"/>
      <c r="BP74" s="64"/>
      <c r="BQ74" s="64"/>
      <c r="BR74" s="52"/>
      <c r="BS74" s="63"/>
      <c r="BT74" s="63"/>
      <c r="BU74" s="65"/>
      <c r="BV74" s="47"/>
      <c r="BW74" s="47"/>
      <c r="BX74" s="64"/>
      <c r="BY74" s="65"/>
      <c r="BZ74" s="63"/>
      <c r="CA74" s="53"/>
    </row>
    <row r="75" ht="11.25" customHeight="1">
      <c r="A75" s="61"/>
      <c r="B75" s="61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48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3"/>
      <c r="BB75" s="64"/>
      <c r="BC75" s="64"/>
      <c r="BD75" s="64"/>
      <c r="BE75" s="64"/>
      <c r="BF75" s="64"/>
      <c r="BG75" s="64"/>
      <c r="BH75" s="64"/>
      <c r="BI75" s="64"/>
      <c r="BJ75" s="64"/>
      <c r="BK75" s="64"/>
      <c r="BL75" s="64"/>
      <c r="BM75" s="64"/>
      <c r="BN75" s="64"/>
      <c r="BO75" s="64"/>
      <c r="BP75" s="64"/>
      <c r="BQ75" s="64"/>
      <c r="BR75" s="52"/>
      <c r="BS75" s="63"/>
      <c r="BT75" s="63"/>
      <c r="BU75" s="65"/>
      <c r="BV75" s="47"/>
      <c r="BW75" s="47"/>
      <c r="BX75" s="64"/>
      <c r="BY75" s="65"/>
      <c r="BZ75" s="63"/>
      <c r="CA75" s="53"/>
    </row>
    <row r="76" ht="11.25" customHeight="1">
      <c r="A76" s="61"/>
      <c r="B76" s="61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48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3"/>
      <c r="BB76" s="64"/>
      <c r="BC76" s="64"/>
      <c r="BD76" s="64"/>
      <c r="BE76" s="64"/>
      <c r="BF76" s="64"/>
      <c r="BG76" s="64"/>
      <c r="BH76" s="64"/>
      <c r="BI76" s="64"/>
      <c r="BJ76" s="64"/>
      <c r="BK76" s="64"/>
      <c r="BL76" s="64"/>
      <c r="BM76" s="64"/>
      <c r="BN76" s="64"/>
      <c r="BO76" s="64"/>
      <c r="BP76" s="64"/>
      <c r="BQ76" s="64"/>
      <c r="BR76" s="52"/>
      <c r="BS76" s="63"/>
      <c r="BT76" s="63"/>
      <c r="BU76" s="65"/>
      <c r="BV76" s="47"/>
      <c r="BW76" s="47"/>
      <c r="BX76" s="64"/>
      <c r="BY76" s="65"/>
      <c r="BZ76" s="63"/>
      <c r="CA76" s="53"/>
    </row>
    <row r="77" ht="11.25" customHeight="1">
      <c r="A77" s="55"/>
      <c r="B77" s="55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48"/>
      <c r="N77" s="56"/>
      <c r="O77" s="56"/>
      <c r="P77" s="56"/>
      <c r="Q77" s="56"/>
      <c r="R77" s="56"/>
      <c r="S77" s="56"/>
      <c r="T77" s="56"/>
      <c r="U77" s="56"/>
      <c r="V77" s="56"/>
      <c r="W77" s="49"/>
      <c r="X77" s="56"/>
      <c r="Y77" s="56"/>
      <c r="Z77" s="56"/>
      <c r="AA77" s="56"/>
      <c r="AB77" s="56"/>
      <c r="AC77" s="56"/>
      <c r="AD77" s="56"/>
      <c r="AE77" s="56"/>
      <c r="AF77" s="56"/>
      <c r="AG77" s="49"/>
      <c r="AH77" s="56"/>
      <c r="AI77" s="56"/>
      <c r="AJ77" s="56"/>
      <c r="AK77" s="56"/>
      <c r="AL77" s="56"/>
      <c r="AM77" s="56"/>
      <c r="AN77" s="56"/>
      <c r="AO77" s="56"/>
      <c r="AP77" s="56"/>
      <c r="AQ77" s="49"/>
      <c r="AR77" s="56"/>
      <c r="AS77" s="56"/>
      <c r="AT77" s="56"/>
      <c r="AU77" s="56"/>
      <c r="AV77" s="56"/>
      <c r="AW77" s="56"/>
      <c r="AX77" s="56"/>
      <c r="AY77" s="56"/>
      <c r="AZ77" s="56"/>
      <c r="BA77" s="50"/>
      <c r="BB77" s="57"/>
      <c r="BC77" s="57"/>
      <c r="BD77" s="57"/>
      <c r="BE77" s="57"/>
      <c r="BF77" s="57"/>
      <c r="BG77" s="57"/>
      <c r="BH77" s="57"/>
      <c r="BI77" s="57"/>
      <c r="BJ77" s="57"/>
      <c r="BK77" s="57"/>
      <c r="BL77" s="57"/>
      <c r="BM77" s="57"/>
      <c r="BN77" s="57"/>
      <c r="BO77" s="57"/>
      <c r="BP77" s="57"/>
      <c r="BQ77" s="57"/>
      <c r="BR77" s="52"/>
      <c r="BS77" s="59"/>
      <c r="BT77" s="59"/>
      <c r="BU77" s="58"/>
      <c r="BV77" s="47"/>
      <c r="BW77" s="47"/>
      <c r="BX77" s="57"/>
      <c r="BY77" s="58"/>
      <c r="BZ77" s="59"/>
      <c r="CA77" s="53"/>
    </row>
    <row r="78" ht="11.25" customHeight="1">
      <c r="A78" s="61"/>
      <c r="B78" s="61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48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3"/>
      <c r="BB78" s="64"/>
      <c r="BC78" s="64"/>
      <c r="BD78" s="64"/>
      <c r="BE78" s="64"/>
      <c r="BF78" s="64"/>
      <c r="BG78" s="64"/>
      <c r="BH78" s="64"/>
      <c r="BI78" s="64"/>
      <c r="BJ78" s="64"/>
      <c r="BK78" s="64"/>
      <c r="BL78" s="64"/>
      <c r="BM78" s="64"/>
      <c r="BN78" s="64"/>
      <c r="BO78" s="64"/>
      <c r="BP78" s="64"/>
      <c r="BQ78" s="64"/>
      <c r="BR78" s="52"/>
      <c r="BS78" s="63"/>
      <c r="BT78" s="63"/>
      <c r="BU78" s="65"/>
      <c r="BV78" s="47"/>
      <c r="BW78" s="47"/>
      <c r="BX78" s="64"/>
      <c r="BY78" s="65"/>
      <c r="BZ78" s="63"/>
      <c r="CA78" s="53"/>
    </row>
    <row r="79" ht="11.25" customHeight="1">
      <c r="A79" s="55"/>
      <c r="B79" s="55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48"/>
      <c r="N79" s="56"/>
      <c r="O79" s="56"/>
      <c r="P79" s="56"/>
      <c r="Q79" s="56"/>
      <c r="R79" s="56"/>
      <c r="S79" s="56"/>
      <c r="T79" s="56"/>
      <c r="U79" s="56"/>
      <c r="V79" s="56"/>
      <c r="W79" s="49"/>
      <c r="X79" s="56"/>
      <c r="Y79" s="56"/>
      <c r="Z79" s="56"/>
      <c r="AA79" s="56"/>
      <c r="AB79" s="56"/>
      <c r="AC79" s="56"/>
      <c r="AD79" s="56"/>
      <c r="AE79" s="56"/>
      <c r="AF79" s="56"/>
      <c r="AG79" s="49"/>
      <c r="AH79" s="56"/>
      <c r="AI79" s="56"/>
      <c r="AJ79" s="56"/>
      <c r="AK79" s="56"/>
      <c r="AL79" s="56"/>
      <c r="AM79" s="56"/>
      <c r="AN79" s="56"/>
      <c r="AO79" s="56"/>
      <c r="AP79" s="56"/>
      <c r="AQ79" s="49"/>
      <c r="AR79" s="56"/>
      <c r="AS79" s="56"/>
      <c r="AT79" s="56"/>
      <c r="AU79" s="56"/>
      <c r="AV79" s="56"/>
      <c r="AW79" s="56"/>
      <c r="AX79" s="56"/>
      <c r="AY79" s="56"/>
      <c r="AZ79" s="56"/>
      <c r="BA79" s="50"/>
      <c r="BB79" s="57"/>
      <c r="BC79" s="57"/>
      <c r="BD79" s="57"/>
      <c r="BE79" s="57"/>
      <c r="BF79" s="57"/>
      <c r="BG79" s="57"/>
      <c r="BH79" s="57"/>
      <c r="BI79" s="57"/>
      <c r="BJ79" s="57"/>
      <c r="BK79" s="57"/>
      <c r="BL79" s="57"/>
      <c r="BM79" s="57"/>
      <c r="BN79" s="57"/>
      <c r="BO79" s="57"/>
      <c r="BP79" s="57"/>
      <c r="BQ79" s="57"/>
      <c r="BR79" s="52"/>
      <c r="BS79" s="59"/>
      <c r="BT79" s="59"/>
      <c r="BU79" s="58"/>
      <c r="BV79" s="47"/>
      <c r="BW79" s="47"/>
      <c r="BX79" s="57"/>
      <c r="BY79" s="58"/>
      <c r="BZ79" s="59"/>
      <c r="CA79" s="53"/>
    </row>
    <row r="80" ht="11.25" customHeight="1">
      <c r="A80" s="46"/>
      <c r="B80" s="46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8"/>
      <c r="N80" s="47"/>
      <c r="O80" s="47"/>
      <c r="P80" s="47"/>
      <c r="Q80" s="47"/>
      <c r="R80" s="47"/>
      <c r="S80" s="47"/>
      <c r="T80" s="47"/>
      <c r="U80" s="47"/>
      <c r="V80" s="47"/>
      <c r="W80" s="49"/>
      <c r="X80" s="47"/>
      <c r="Y80" s="47"/>
      <c r="Z80" s="47"/>
      <c r="AA80" s="47"/>
      <c r="AB80" s="47"/>
      <c r="AC80" s="47"/>
      <c r="AD80" s="47"/>
      <c r="AE80" s="47"/>
      <c r="AF80" s="47"/>
      <c r="AG80" s="49"/>
      <c r="AH80" s="47"/>
      <c r="AI80" s="47"/>
      <c r="AJ80" s="47"/>
      <c r="AK80" s="47"/>
      <c r="AL80" s="47"/>
      <c r="AM80" s="47"/>
      <c r="AN80" s="47"/>
      <c r="AO80" s="47"/>
      <c r="AP80" s="47"/>
      <c r="AQ80" s="49"/>
      <c r="AR80" s="47"/>
      <c r="AS80" s="47"/>
      <c r="AT80" s="47"/>
      <c r="AU80" s="47"/>
      <c r="AV80" s="47"/>
      <c r="AW80" s="47"/>
      <c r="AX80" s="47"/>
      <c r="AY80" s="47"/>
      <c r="AZ80" s="47"/>
      <c r="BA80" s="50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2"/>
      <c r="BS80" s="53"/>
      <c r="BT80" s="53"/>
      <c r="BU80" s="52"/>
      <c r="BV80" s="47"/>
      <c r="BW80" s="47"/>
      <c r="BX80" s="51"/>
      <c r="BY80" s="52"/>
      <c r="BZ80" s="53"/>
      <c r="CA80" s="53"/>
    </row>
    <row r="81" ht="11.25" customHeight="1">
      <c r="A81" s="61"/>
      <c r="B81" s="61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48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3"/>
      <c r="BB81" s="64"/>
      <c r="BC81" s="64"/>
      <c r="BD81" s="64"/>
      <c r="BE81" s="64"/>
      <c r="BF81" s="64"/>
      <c r="BG81" s="64"/>
      <c r="BH81" s="64"/>
      <c r="BI81" s="64"/>
      <c r="BJ81" s="64"/>
      <c r="BK81" s="64"/>
      <c r="BL81" s="64"/>
      <c r="BM81" s="64"/>
      <c r="BN81" s="64"/>
      <c r="BO81" s="64"/>
      <c r="BP81" s="64"/>
      <c r="BQ81" s="64"/>
      <c r="BR81" s="52"/>
      <c r="BS81" s="63"/>
      <c r="BT81" s="63"/>
      <c r="BU81" s="65"/>
      <c r="BV81" s="47"/>
      <c r="BW81" s="47"/>
      <c r="BX81" s="64"/>
      <c r="BY81" s="65"/>
      <c r="BZ81" s="63"/>
      <c r="CA81" s="53"/>
    </row>
    <row r="82" ht="11.25" customHeight="1">
      <c r="A82" s="46"/>
      <c r="B82" s="46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8"/>
      <c r="N82" s="47"/>
      <c r="O82" s="47"/>
      <c r="P82" s="47"/>
      <c r="Q82" s="47"/>
      <c r="R82" s="47"/>
      <c r="S82" s="47"/>
      <c r="T82" s="47"/>
      <c r="U82" s="47"/>
      <c r="V82" s="47"/>
      <c r="W82" s="49"/>
      <c r="X82" s="47"/>
      <c r="Y82" s="47"/>
      <c r="Z82" s="47"/>
      <c r="AA82" s="47"/>
      <c r="AB82" s="47"/>
      <c r="AC82" s="47"/>
      <c r="AD82" s="47"/>
      <c r="AE82" s="47"/>
      <c r="AF82" s="47"/>
      <c r="AG82" s="49"/>
      <c r="AH82" s="47"/>
      <c r="AI82" s="47"/>
      <c r="AJ82" s="47"/>
      <c r="AK82" s="47"/>
      <c r="AL82" s="47"/>
      <c r="AM82" s="47"/>
      <c r="AN82" s="47"/>
      <c r="AO82" s="47"/>
      <c r="AP82" s="47"/>
      <c r="AQ82" s="49"/>
      <c r="AR82" s="47"/>
      <c r="AS82" s="47"/>
      <c r="AT82" s="47"/>
      <c r="AU82" s="47"/>
      <c r="AV82" s="47"/>
      <c r="AW82" s="47"/>
      <c r="AX82" s="47"/>
      <c r="AY82" s="47"/>
      <c r="AZ82" s="47"/>
      <c r="BA82" s="50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1"/>
      <c r="BP82" s="51"/>
      <c r="BQ82" s="51"/>
      <c r="BR82" s="52"/>
      <c r="BS82" s="53"/>
      <c r="BT82" s="53"/>
      <c r="BU82" s="52"/>
      <c r="BV82" s="47"/>
      <c r="BW82" s="47"/>
      <c r="BX82" s="51"/>
      <c r="BY82" s="52"/>
      <c r="BZ82" s="53"/>
      <c r="CA82" s="53"/>
    </row>
    <row r="83" ht="11.25" customHeight="1">
      <c r="A83" s="61"/>
      <c r="B83" s="61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48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3"/>
      <c r="BB83" s="64"/>
      <c r="BC83" s="64"/>
      <c r="BD83" s="64"/>
      <c r="BE83" s="64"/>
      <c r="BF83" s="64"/>
      <c r="BG83" s="64"/>
      <c r="BH83" s="64"/>
      <c r="BI83" s="64"/>
      <c r="BJ83" s="64"/>
      <c r="BK83" s="64"/>
      <c r="BL83" s="64"/>
      <c r="BM83" s="64"/>
      <c r="BN83" s="64"/>
      <c r="BO83" s="64"/>
      <c r="BP83" s="64"/>
      <c r="BQ83" s="64"/>
      <c r="BR83" s="52"/>
      <c r="BS83" s="63"/>
      <c r="BT83" s="63"/>
      <c r="BU83" s="65"/>
      <c r="BV83" s="47"/>
      <c r="BW83" s="47"/>
      <c r="BX83" s="64"/>
      <c r="BY83" s="65"/>
      <c r="BZ83" s="63"/>
      <c r="CA83" s="53"/>
    </row>
    <row r="84" ht="11.25" customHeight="1">
      <c r="A84" s="61"/>
      <c r="B84" s="61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48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3"/>
      <c r="BB84" s="64"/>
      <c r="BC84" s="64"/>
      <c r="BD84" s="64"/>
      <c r="BE84" s="64"/>
      <c r="BF84" s="64"/>
      <c r="BG84" s="64"/>
      <c r="BH84" s="64"/>
      <c r="BI84" s="64"/>
      <c r="BJ84" s="64"/>
      <c r="BK84" s="64"/>
      <c r="BL84" s="64"/>
      <c r="BM84" s="64"/>
      <c r="BN84" s="64"/>
      <c r="BO84" s="64"/>
      <c r="BP84" s="64"/>
      <c r="BQ84" s="64"/>
      <c r="BR84" s="65"/>
      <c r="BS84" s="63"/>
      <c r="BT84" s="63"/>
      <c r="BU84" s="65"/>
      <c r="BV84" s="47"/>
      <c r="BW84" s="47"/>
      <c r="BX84" s="64"/>
      <c r="BY84" s="65"/>
      <c r="BZ84" s="63"/>
      <c r="CA84" s="53"/>
    </row>
    <row r="85" ht="11.25" customHeight="1">
      <c r="A85" s="55"/>
      <c r="B85" s="55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48"/>
      <c r="N85" s="56"/>
      <c r="O85" s="56"/>
      <c r="P85" s="56"/>
      <c r="Q85" s="56"/>
      <c r="R85" s="56"/>
      <c r="S85" s="56"/>
      <c r="T85" s="56"/>
      <c r="U85" s="56"/>
      <c r="V85" s="56"/>
      <c r="W85" s="49"/>
      <c r="X85" s="56"/>
      <c r="Y85" s="56"/>
      <c r="Z85" s="56"/>
      <c r="AA85" s="56"/>
      <c r="AB85" s="56"/>
      <c r="AC85" s="56"/>
      <c r="AD85" s="56"/>
      <c r="AE85" s="56"/>
      <c r="AF85" s="56"/>
      <c r="AG85" s="49"/>
      <c r="AH85" s="56"/>
      <c r="AI85" s="56"/>
      <c r="AJ85" s="56"/>
      <c r="AK85" s="56"/>
      <c r="AL85" s="56"/>
      <c r="AM85" s="56"/>
      <c r="AN85" s="56"/>
      <c r="AO85" s="56"/>
      <c r="AP85" s="56"/>
      <c r="AQ85" s="49"/>
      <c r="AR85" s="56"/>
      <c r="AS85" s="56"/>
      <c r="AT85" s="56"/>
      <c r="AU85" s="56"/>
      <c r="AV85" s="56"/>
      <c r="AW85" s="56"/>
      <c r="AX85" s="56"/>
      <c r="AY85" s="56"/>
      <c r="AZ85" s="56"/>
      <c r="BA85" s="50"/>
      <c r="BB85" s="57"/>
      <c r="BC85" s="57"/>
      <c r="BD85" s="57"/>
      <c r="BE85" s="57"/>
      <c r="BF85" s="57"/>
      <c r="BG85" s="57"/>
      <c r="BH85" s="57"/>
      <c r="BI85" s="57"/>
      <c r="BJ85" s="57"/>
      <c r="BK85" s="57"/>
      <c r="BL85" s="57"/>
      <c r="BM85" s="57"/>
      <c r="BN85" s="57"/>
      <c r="BO85" s="57"/>
      <c r="BP85" s="57"/>
      <c r="BQ85" s="57"/>
      <c r="BR85" s="58"/>
      <c r="BS85" s="59"/>
      <c r="BT85" s="59"/>
      <c r="BU85" s="58"/>
      <c r="BV85" s="47"/>
      <c r="BW85" s="47"/>
      <c r="BX85" s="57"/>
      <c r="BY85" s="58"/>
      <c r="BZ85" s="59"/>
      <c r="CA85" s="53"/>
    </row>
    <row r="86" ht="11.25" customHeight="1">
      <c r="A86" s="46"/>
      <c r="B86" s="46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8"/>
      <c r="N86" s="47"/>
      <c r="O86" s="47"/>
      <c r="P86" s="47"/>
      <c r="Q86" s="47"/>
      <c r="R86" s="47"/>
      <c r="S86" s="47"/>
      <c r="T86" s="47"/>
      <c r="U86" s="47"/>
      <c r="V86" s="47"/>
      <c r="W86" s="49"/>
      <c r="X86" s="47"/>
      <c r="Y86" s="47"/>
      <c r="Z86" s="47"/>
      <c r="AA86" s="47"/>
      <c r="AB86" s="47"/>
      <c r="AC86" s="47"/>
      <c r="AD86" s="47"/>
      <c r="AE86" s="47"/>
      <c r="AF86" s="47"/>
      <c r="AG86" s="49"/>
      <c r="AH86" s="47"/>
      <c r="AI86" s="47"/>
      <c r="AJ86" s="47"/>
      <c r="AK86" s="47"/>
      <c r="AL86" s="47"/>
      <c r="AM86" s="47"/>
      <c r="AN86" s="47"/>
      <c r="AO86" s="47"/>
      <c r="AP86" s="47"/>
      <c r="AQ86" s="49"/>
      <c r="AR86" s="47"/>
      <c r="AS86" s="47"/>
      <c r="AT86" s="47"/>
      <c r="AU86" s="47"/>
      <c r="AV86" s="47"/>
      <c r="AW86" s="47"/>
      <c r="AX86" s="47"/>
      <c r="AY86" s="47"/>
      <c r="AZ86" s="47"/>
      <c r="BA86" s="50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1"/>
      <c r="BP86" s="51"/>
      <c r="BQ86" s="51"/>
      <c r="BR86" s="52"/>
      <c r="BS86" s="53"/>
      <c r="BT86" s="53"/>
      <c r="BU86" s="52"/>
      <c r="BV86" s="47"/>
      <c r="BW86" s="47"/>
      <c r="BX86" s="51"/>
      <c r="BY86" s="52"/>
      <c r="BZ86" s="53"/>
      <c r="CA86" s="53"/>
    </row>
    <row r="87" ht="11.25" customHeight="1">
      <c r="A87" s="55"/>
      <c r="B87" s="55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48"/>
      <c r="N87" s="56"/>
      <c r="O87" s="56"/>
      <c r="P87" s="56"/>
      <c r="Q87" s="56"/>
      <c r="R87" s="56"/>
      <c r="S87" s="56"/>
      <c r="T87" s="56"/>
      <c r="U87" s="56"/>
      <c r="V87" s="56"/>
      <c r="W87" s="49"/>
      <c r="X87" s="56"/>
      <c r="Y87" s="56"/>
      <c r="Z87" s="56"/>
      <c r="AA87" s="56"/>
      <c r="AB87" s="56"/>
      <c r="AC87" s="56"/>
      <c r="AD87" s="56"/>
      <c r="AE87" s="56"/>
      <c r="AF87" s="56"/>
      <c r="AG87" s="49"/>
      <c r="AH87" s="56"/>
      <c r="AI87" s="56"/>
      <c r="AJ87" s="56"/>
      <c r="AK87" s="56"/>
      <c r="AL87" s="56"/>
      <c r="AM87" s="56"/>
      <c r="AN87" s="56"/>
      <c r="AO87" s="56"/>
      <c r="AP87" s="56"/>
      <c r="AQ87" s="49"/>
      <c r="AR87" s="56"/>
      <c r="AS87" s="56"/>
      <c r="AT87" s="56"/>
      <c r="AU87" s="56"/>
      <c r="AV87" s="56"/>
      <c r="AW87" s="56"/>
      <c r="AX87" s="56"/>
      <c r="AY87" s="56"/>
      <c r="AZ87" s="56"/>
      <c r="BA87" s="50"/>
      <c r="BB87" s="57"/>
      <c r="BC87" s="57"/>
      <c r="BD87" s="57"/>
      <c r="BE87" s="57"/>
      <c r="BF87" s="57"/>
      <c r="BG87" s="57"/>
      <c r="BH87" s="57"/>
      <c r="BI87" s="57"/>
      <c r="BJ87" s="57"/>
      <c r="BK87" s="57"/>
      <c r="BL87" s="57"/>
      <c r="BM87" s="57"/>
      <c r="BN87" s="57"/>
      <c r="BO87" s="57"/>
      <c r="BP87" s="57"/>
      <c r="BQ87" s="57"/>
      <c r="BR87" s="58"/>
      <c r="BS87" s="59"/>
      <c r="BT87" s="59"/>
      <c r="BU87" s="58"/>
      <c r="BV87" s="47"/>
      <c r="BW87" s="47"/>
      <c r="BX87" s="57"/>
      <c r="BY87" s="58"/>
      <c r="BZ87" s="59"/>
      <c r="CA87" s="53"/>
    </row>
    <row r="88" ht="11.25" customHeight="1">
      <c r="A88" s="46"/>
      <c r="B88" s="46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8"/>
      <c r="N88" s="47"/>
      <c r="O88" s="47"/>
      <c r="P88" s="47"/>
      <c r="Q88" s="47"/>
      <c r="R88" s="47"/>
      <c r="S88" s="47"/>
      <c r="T88" s="47"/>
      <c r="U88" s="47"/>
      <c r="V88" s="47"/>
      <c r="W88" s="49"/>
      <c r="X88" s="47"/>
      <c r="Y88" s="47"/>
      <c r="Z88" s="47"/>
      <c r="AA88" s="47"/>
      <c r="AB88" s="47"/>
      <c r="AC88" s="47"/>
      <c r="AD88" s="47"/>
      <c r="AE88" s="47"/>
      <c r="AF88" s="47"/>
      <c r="AG88" s="49"/>
      <c r="AH88" s="47"/>
      <c r="AI88" s="47"/>
      <c r="AJ88" s="47"/>
      <c r="AK88" s="47"/>
      <c r="AL88" s="47"/>
      <c r="AM88" s="47"/>
      <c r="AN88" s="47"/>
      <c r="AO88" s="47"/>
      <c r="AP88" s="47"/>
      <c r="AQ88" s="49"/>
      <c r="AR88" s="47"/>
      <c r="AS88" s="47"/>
      <c r="AT88" s="47"/>
      <c r="AU88" s="47"/>
      <c r="AV88" s="47"/>
      <c r="AW88" s="47"/>
      <c r="AX88" s="47"/>
      <c r="AY88" s="47"/>
      <c r="AZ88" s="47"/>
      <c r="BA88" s="50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2"/>
      <c r="BS88" s="53"/>
      <c r="BT88" s="53"/>
      <c r="BU88" s="52"/>
      <c r="BV88" s="47"/>
      <c r="BW88" s="47"/>
      <c r="BX88" s="51"/>
      <c r="BY88" s="52"/>
      <c r="BZ88" s="53"/>
      <c r="CA88" s="53"/>
    </row>
    <row r="89" ht="11.25" customHeight="1">
      <c r="A89" s="55"/>
      <c r="B89" s="55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48"/>
      <c r="N89" s="56"/>
      <c r="O89" s="56"/>
      <c r="P89" s="56"/>
      <c r="Q89" s="56"/>
      <c r="R89" s="56"/>
      <c r="S89" s="56"/>
      <c r="T89" s="56"/>
      <c r="U89" s="56"/>
      <c r="V89" s="56"/>
      <c r="W89" s="49"/>
      <c r="X89" s="56"/>
      <c r="Y89" s="56"/>
      <c r="Z89" s="56"/>
      <c r="AA89" s="56"/>
      <c r="AB89" s="56"/>
      <c r="AC89" s="56"/>
      <c r="AD89" s="56"/>
      <c r="AE89" s="56"/>
      <c r="AF89" s="56"/>
      <c r="AG89" s="49"/>
      <c r="AH89" s="56"/>
      <c r="AI89" s="56"/>
      <c r="AJ89" s="56"/>
      <c r="AK89" s="56"/>
      <c r="AL89" s="56"/>
      <c r="AM89" s="56"/>
      <c r="AN89" s="56"/>
      <c r="AO89" s="56"/>
      <c r="AP89" s="56"/>
      <c r="AQ89" s="49"/>
      <c r="AR89" s="56"/>
      <c r="AS89" s="56"/>
      <c r="AT89" s="56"/>
      <c r="AU89" s="56"/>
      <c r="AV89" s="56"/>
      <c r="AW89" s="56"/>
      <c r="AX89" s="56"/>
      <c r="AY89" s="56"/>
      <c r="AZ89" s="56"/>
      <c r="BA89" s="50"/>
      <c r="BB89" s="57"/>
      <c r="BC89" s="57"/>
      <c r="BD89" s="57"/>
      <c r="BE89" s="57"/>
      <c r="BF89" s="57"/>
      <c r="BG89" s="57"/>
      <c r="BH89" s="57"/>
      <c r="BI89" s="57"/>
      <c r="BJ89" s="57"/>
      <c r="BK89" s="57"/>
      <c r="BL89" s="57"/>
      <c r="BM89" s="57"/>
      <c r="BN89" s="57"/>
      <c r="BO89" s="57"/>
      <c r="BP89" s="57"/>
      <c r="BQ89" s="57"/>
      <c r="BR89" s="59"/>
      <c r="BS89" s="59"/>
      <c r="BT89" s="59"/>
      <c r="BU89" s="59"/>
      <c r="BV89" s="47"/>
      <c r="BW89" s="47"/>
      <c r="BX89" s="57"/>
      <c r="BY89" s="59"/>
      <c r="BZ89" s="59"/>
      <c r="CA89" s="53"/>
    </row>
    <row r="90" ht="11.25" customHeight="1">
      <c r="A90" s="45"/>
      <c r="B90" s="46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8"/>
      <c r="N90" s="47"/>
      <c r="O90" s="47"/>
      <c r="P90" s="47"/>
      <c r="Q90" s="47"/>
      <c r="R90" s="47"/>
      <c r="S90" s="47"/>
      <c r="T90" s="47"/>
      <c r="U90" s="47"/>
      <c r="V90" s="47"/>
      <c r="W90" s="49"/>
      <c r="X90" s="47"/>
      <c r="Y90" s="47"/>
      <c r="Z90" s="47"/>
      <c r="AA90" s="47"/>
      <c r="AB90" s="47"/>
      <c r="AC90" s="47"/>
      <c r="AD90" s="47"/>
      <c r="AE90" s="47"/>
      <c r="AF90" s="47"/>
      <c r="AG90" s="49"/>
      <c r="AH90" s="47"/>
      <c r="AI90" s="47"/>
      <c r="AJ90" s="47"/>
      <c r="AK90" s="47"/>
      <c r="AL90" s="47"/>
      <c r="AM90" s="47"/>
      <c r="AN90" s="47"/>
      <c r="AO90" s="47"/>
      <c r="AP90" s="47"/>
      <c r="AQ90" s="49"/>
      <c r="AR90" s="47"/>
      <c r="AS90" s="47"/>
      <c r="AT90" s="47"/>
      <c r="AU90" s="47"/>
      <c r="AV90" s="47"/>
      <c r="AW90" s="47"/>
      <c r="AX90" s="47"/>
      <c r="AY90" s="47"/>
      <c r="AZ90" s="47"/>
      <c r="BA90" s="50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1"/>
      <c r="BP90" s="51"/>
      <c r="BQ90" s="51"/>
      <c r="BR90" s="52"/>
      <c r="BS90" s="53"/>
      <c r="BT90" s="53"/>
      <c r="BU90" s="52"/>
      <c r="BV90" s="47"/>
      <c r="BW90" s="47"/>
      <c r="BX90" s="51"/>
      <c r="BY90" s="52"/>
      <c r="BZ90" s="53"/>
      <c r="CA90" s="53"/>
    </row>
    <row r="91" ht="11.25" customHeight="1">
      <c r="A91" s="60"/>
      <c r="B91" s="61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48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3"/>
      <c r="BB91" s="64"/>
      <c r="BC91" s="64"/>
      <c r="BD91" s="64"/>
      <c r="BE91" s="64"/>
      <c r="BF91" s="64"/>
      <c r="BG91" s="64"/>
      <c r="BH91" s="64"/>
      <c r="BI91" s="64"/>
      <c r="BJ91" s="64"/>
      <c r="BK91" s="64"/>
      <c r="BL91" s="64"/>
      <c r="BM91" s="64"/>
      <c r="BN91" s="64"/>
      <c r="BO91" s="64"/>
      <c r="BP91" s="64"/>
      <c r="BQ91" s="64"/>
      <c r="BR91" s="65"/>
      <c r="BS91" s="63"/>
      <c r="BT91" s="63"/>
      <c r="BU91" s="65"/>
      <c r="BV91" s="47"/>
      <c r="BW91" s="47"/>
      <c r="BX91" s="64"/>
      <c r="BY91" s="65"/>
      <c r="BZ91" s="63"/>
      <c r="CA91" s="53"/>
    </row>
    <row r="92" ht="11.25" customHeight="1">
      <c r="A92" s="60"/>
      <c r="B92" s="61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48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3"/>
      <c r="BB92" s="64"/>
      <c r="BC92" s="64"/>
      <c r="BD92" s="64"/>
      <c r="BE92" s="64"/>
      <c r="BF92" s="64"/>
      <c r="BG92" s="64"/>
      <c r="BH92" s="64"/>
      <c r="BI92" s="64"/>
      <c r="BJ92" s="64"/>
      <c r="BK92" s="64"/>
      <c r="BL92" s="64"/>
      <c r="BM92" s="64"/>
      <c r="BN92" s="64"/>
      <c r="BO92" s="64"/>
      <c r="BP92" s="64"/>
      <c r="BQ92" s="64"/>
      <c r="BR92" s="65"/>
      <c r="BS92" s="63"/>
      <c r="BT92" s="63"/>
      <c r="BU92" s="65"/>
      <c r="BV92" s="47"/>
      <c r="BW92" s="47"/>
      <c r="BX92" s="64"/>
      <c r="BY92" s="65"/>
      <c r="BZ92" s="63"/>
      <c r="CA92" s="53"/>
    </row>
    <row r="93" ht="11.25" customHeight="1">
      <c r="A93" s="61"/>
      <c r="B93" s="61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48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3"/>
      <c r="BB93" s="64"/>
      <c r="BC93" s="64"/>
      <c r="BD93" s="64"/>
      <c r="BE93" s="64"/>
      <c r="BF93" s="64"/>
      <c r="BG93" s="64"/>
      <c r="BH93" s="64"/>
      <c r="BI93" s="64"/>
      <c r="BJ93" s="64"/>
      <c r="BK93" s="64"/>
      <c r="BL93" s="64"/>
      <c r="BM93" s="64"/>
      <c r="BN93" s="64"/>
      <c r="BO93" s="64"/>
      <c r="BP93" s="64"/>
      <c r="BQ93" s="64"/>
      <c r="BR93" s="65"/>
      <c r="BS93" s="63"/>
      <c r="BT93" s="63"/>
      <c r="BU93" s="65"/>
      <c r="BV93" s="47"/>
      <c r="BW93" s="47"/>
      <c r="BX93" s="64"/>
      <c r="BY93" s="65"/>
      <c r="BZ93" s="63"/>
      <c r="CA93" s="53"/>
    </row>
    <row r="94" ht="11.25" customHeight="1">
      <c r="A94" s="60"/>
      <c r="B94" s="61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48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3"/>
      <c r="BB94" s="64"/>
      <c r="BC94" s="64"/>
      <c r="BD94" s="64"/>
      <c r="BE94" s="64"/>
      <c r="BF94" s="64"/>
      <c r="BG94" s="64"/>
      <c r="BH94" s="64"/>
      <c r="BI94" s="64"/>
      <c r="BJ94" s="64"/>
      <c r="BK94" s="64"/>
      <c r="BL94" s="64"/>
      <c r="BM94" s="64"/>
      <c r="BN94" s="64"/>
      <c r="BO94" s="64"/>
      <c r="BP94" s="64"/>
      <c r="BQ94" s="64"/>
      <c r="BR94" s="65"/>
      <c r="BS94" s="63"/>
      <c r="BT94" s="63"/>
      <c r="BU94" s="65"/>
      <c r="BV94" s="47"/>
      <c r="BW94" s="47"/>
      <c r="BX94" s="64"/>
      <c r="BY94" s="65"/>
      <c r="BZ94" s="63"/>
      <c r="CA94" s="53"/>
    </row>
    <row r="95" ht="11.25" customHeight="1">
      <c r="A95" s="54"/>
      <c r="B95" s="55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48"/>
      <c r="N95" s="56"/>
      <c r="O95" s="56"/>
      <c r="P95" s="56"/>
      <c r="Q95" s="56"/>
      <c r="R95" s="56"/>
      <c r="S95" s="56"/>
      <c r="T95" s="56"/>
      <c r="U95" s="56"/>
      <c r="V95" s="56"/>
      <c r="W95" s="49"/>
      <c r="X95" s="56"/>
      <c r="Y95" s="56"/>
      <c r="Z95" s="56"/>
      <c r="AA95" s="56"/>
      <c r="AB95" s="56"/>
      <c r="AC95" s="56"/>
      <c r="AD95" s="56"/>
      <c r="AE95" s="56"/>
      <c r="AF95" s="56"/>
      <c r="AG95" s="49"/>
      <c r="AH95" s="56"/>
      <c r="AI95" s="56"/>
      <c r="AJ95" s="56"/>
      <c r="AK95" s="56"/>
      <c r="AL95" s="56"/>
      <c r="AM95" s="56"/>
      <c r="AN95" s="56"/>
      <c r="AO95" s="56"/>
      <c r="AP95" s="56"/>
      <c r="AQ95" s="49"/>
      <c r="AR95" s="56"/>
      <c r="AS95" s="56"/>
      <c r="AT95" s="56"/>
      <c r="AU95" s="56"/>
      <c r="AV95" s="56"/>
      <c r="AW95" s="56"/>
      <c r="AX95" s="56"/>
      <c r="AY95" s="56"/>
      <c r="AZ95" s="56"/>
      <c r="BA95" s="50"/>
      <c r="BB95" s="57"/>
      <c r="BC95" s="57"/>
      <c r="BD95" s="57"/>
      <c r="BE95" s="57"/>
      <c r="BF95" s="57"/>
      <c r="BG95" s="57"/>
      <c r="BH95" s="57"/>
      <c r="BI95" s="57"/>
      <c r="BJ95" s="57"/>
      <c r="BK95" s="57"/>
      <c r="BL95" s="57"/>
      <c r="BM95" s="57"/>
      <c r="BN95" s="57"/>
      <c r="BO95" s="57"/>
      <c r="BP95" s="57"/>
      <c r="BQ95" s="57"/>
      <c r="BR95" s="58"/>
      <c r="BS95" s="59"/>
      <c r="BT95" s="59"/>
      <c r="BU95" s="58"/>
      <c r="BV95" s="47"/>
      <c r="BW95" s="47"/>
      <c r="BX95" s="57"/>
      <c r="BY95" s="58"/>
      <c r="BZ95" s="59"/>
      <c r="CA95" s="53"/>
    </row>
    <row r="96" ht="11.25" customHeight="1">
      <c r="A96" s="60"/>
      <c r="B96" s="61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48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3"/>
      <c r="BB96" s="64"/>
      <c r="BC96" s="64"/>
      <c r="BD96" s="64"/>
      <c r="BE96" s="64"/>
      <c r="BF96" s="64"/>
      <c r="BG96" s="64"/>
      <c r="BH96" s="64"/>
      <c r="BI96" s="64"/>
      <c r="BJ96" s="64"/>
      <c r="BK96" s="64"/>
      <c r="BL96" s="64"/>
      <c r="BM96" s="64"/>
      <c r="BN96" s="64"/>
      <c r="BO96" s="64"/>
      <c r="BP96" s="64"/>
      <c r="BQ96" s="64"/>
      <c r="BR96" s="65"/>
      <c r="BS96" s="63"/>
      <c r="BT96" s="63"/>
      <c r="BU96" s="65"/>
      <c r="BV96" s="47"/>
      <c r="BW96" s="47"/>
      <c r="BX96" s="64"/>
      <c r="BY96" s="65"/>
      <c r="BZ96" s="63"/>
      <c r="CA96" s="53"/>
    </row>
    <row r="97" ht="11.25" customHeight="1">
      <c r="A97" s="54"/>
      <c r="B97" s="55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48"/>
      <c r="N97" s="56"/>
      <c r="O97" s="56"/>
      <c r="P97" s="56"/>
      <c r="Q97" s="56"/>
      <c r="R97" s="56"/>
      <c r="S97" s="56"/>
      <c r="T97" s="56"/>
      <c r="U97" s="56"/>
      <c r="V97" s="56"/>
      <c r="W97" s="49"/>
      <c r="X97" s="56"/>
      <c r="Y97" s="56"/>
      <c r="Z97" s="56"/>
      <c r="AA97" s="56"/>
      <c r="AB97" s="56"/>
      <c r="AC97" s="56"/>
      <c r="AD97" s="56"/>
      <c r="AE97" s="56"/>
      <c r="AF97" s="56"/>
      <c r="AG97" s="49"/>
      <c r="AH97" s="56"/>
      <c r="AI97" s="56"/>
      <c r="AJ97" s="56"/>
      <c r="AK97" s="56"/>
      <c r="AL97" s="56"/>
      <c r="AM97" s="56"/>
      <c r="AN97" s="56"/>
      <c r="AO97" s="56"/>
      <c r="AP97" s="56"/>
      <c r="AQ97" s="49"/>
      <c r="AR97" s="56"/>
      <c r="AS97" s="56"/>
      <c r="AT97" s="56"/>
      <c r="AU97" s="56"/>
      <c r="AV97" s="56"/>
      <c r="AW97" s="56"/>
      <c r="AX97" s="56"/>
      <c r="AY97" s="56"/>
      <c r="AZ97" s="56"/>
      <c r="BA97" s="50"/>
      <c r="BB97" s="57"/>
      <c r="BC97" s="57"/>
      <c r="BD97" s="57"/>
      <c r="BE97" s="57"/>
      <c r="BF97" s="57"/>
      <c r="BG97" s="57"/>
      <c r="BH97" s="57"/>
      <c r="BI97" s="57"/>
      <c r="BJ97" s="57"/>
      <c r="BK97" s="57"/>
      <c r="BL97" s="57"/>
      <c r="BM97" s="57"/>
      <c r="BN97" s="57"/>
      <c r="BO97" s="57"/>
      <c r="BP97" s="57"/>
      <c r="BQ97" s="57"/>
      <c r="BR97" s="58"/>
      <c r="BS97" s="59"/>
      <c r="BT97" s="59"/>
      <c r="BU97" s="58"/>
      <c r="BV97" s="47"/>
      <c r="BW97" s="47"/>
      <c r="BX97" s="57"/>
      <c r="BY97" s="58"/>
      <c r="BZ97" s="59"/>
      <c r="CA97" s="53"/>
    </row>
    <row r="98" ht="11.25" customHeight="1">
      <c r="A98" s="60"/>
      <c r="B98" s="61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48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3"/>
      <c r="BB98" s="64"/>
      <c r="BC98" s="64"/>
      <c r="BD98" s="64"/>
      <c r="BE98" s="64"/>
      <c r="BF98" s="64"/>
      <c r="BG98" s="64"/>
      <c r="BH98" s="64"/>
      <c r="BI98" s="64"/>
      <c r="BJ98" s="64"/>
      <c r="BK98" s="64"/>
      <c r="BL98" s="64"/>
      <c r="BM98" s="64"/>
      <c r="BN98" s="64"/>
      <c r="BO98" s="64"/>
      <c r="BP98" s="64"/>
      <c r="BQ98" s="64"/>
      <c r="BR98" s="65"/>
      <c r="BS98" s="63"/>
      <c r="BT98" s="63"/>
      <c r="BU98" s="65"/>
      <c r="BV98" s="47"/>
      <c r="BW98" s="47"/>
      <c r="BX98" s="64"/>
      <c r="BY98" s="65"/>
      <c r="BZ98" s="63"/>
      <c r="CA98" s="53"/>
    </row>
    <row r="99" ht="11.25" customHeight="1">
      <c r="A99" s="60"/>
      <c r="B99" s="61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48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3"/>
      <c r="BB99" s="64"/>
      <c r="BC99" s="64"/>
      <c r="BD99" s="64"/>
      <c r="BE99" s="64"/>
      <c r="BF99" s="64"/>
      <c r="BG99" s="64"/>
      <c r="BH99" s="64"/>
      <c r="BI99" s="64"/>
      <c r="BJ99" s="64"/>
      <c r="BK99" s="64"/>
      <c r="BL99" s="64"/>
      <c r="BM99" s="64"/>
      <c r="BN99" s="64"/>
      <c r="BO99" s="64"/>
      <c r="BP99" s="64"/>
      <c r="BQ99" s="64"/>
      <c r="BR99" s="65"/>
      <c r="BS99" s="63"/>
      <c r="BT99" s="63"/>
      <c r="BU99" s="65"/>
      <c r="BV99" s="47"/>
      <c r="BW99" s="47"/>
      <c r="BX99" s="64"/>
      <c r="BY99" s="65"/>
      <c r="BZ99" s="63"/>
      <c r="CA99" s="53"/>
    </row>
    <row r="100" ht="11.25" customHeight="1">
      <c r="A100" s="45"/>
      <c r="B100" s="46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8"/>
      <c r="N100" s="47"/>
      <c r="O100" s="47"/>
      <c r="P100" s="47"/>
      <c r="Q100" s="47"/>
      <c r="R100" s="47"/>
      <c r="S100" s="47"/>
      <c r="T100" s="47"/>
      <c r="U100" s="47"/>
      <c r="V100" s="47"/>
      <c r="W100" s="49"/>
      <c r="X100" s="47"/>
      <c r="Y100" s="47"/>
      <c r="Z100" s="47"/>
      <c r="AA100" s="47"/>
      <c r="AB100" s="47"/>
      <c r="AC100" s="47"/>
      <c r="AD100" s="47"/>
      <c r="AE100" s="47"/>
      <c r="AF100" s="47"/>
      <c r="AG100" s="49"/>
      <c r="AH100" s="47"/>
      <c r="AI100" s="47"/>
      <c r="AJ100" s="47"/>
      <c r="AK100" s="47"/>
      <c r="AL100" s="47"/>
      <c r="AM100" s="47"/>
      <c r="AN100" s="47"/>
      <c r="AO100" s="47"/>
      <c r="AP100" s="47"/>
      <c r="AQ100" s="49"/>
      <c r="AR100" s="47"/>
      <c r="AS100" s="47"/>
      <c r="AT100" s="47"/>
      <c r="AU100" s="47"/>
      <c r="AV100" s="47"/>
      <c r="AW100" s="47"/>
      <c r="AX100" s="47"/>
      <c r="AY100" s="47"/>
      <c r="AZ100" s="47"/>
      <c r="BA100" s="50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1"/>
      <c r="BP100" s="51"/>
      <c r="BQ100" s="51"/>
      <c r="BR100" s="52"/>
      <c r="BS100" s="53"/>
      <c r="BT100" s="53"/>
      <c r="BU100" s="52"/>
      <c r="BV100" s="47"/>
      <c r="BW100" s="47"/>
      <c r="BX100" s="51"/>
      <c r="BY100" s="52"/>
      <c r="BZ100" s="53"/>
      <c r="CA100" s="53"/>
    </row>
    <row r="101" ht="11.25" customHeight="1">
      <c r="A101" s="54"/>
      <c r="B101" s="55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48"/>
      <c r="N101" s="56"/>
      <c r="O101" s="56"/>
      <c r="P101" s="56"/>
      <c r="Q101" s="56"/>
      <c r="R101" s="56"/>
      <c r="S101" s="56"/>
      <c r="T101" s="56"/>
      <c r="U101" s="56"/>
      <c r="V101" s="56"/>
      <c r="W101" s="49"/>
      <c r="X101" s="56"/>
      <c r="Y101" s="56"/>
      <c r="Z101" s="56"/>
      <c r="AA101" s="56"/>
      <c r="AB101" s="56"/>
      <c r="AC101" s="56"/>
      <c r="AD101" s="56"/>
      <c r="AE101" s="56"/>
      <c r="AF101" s="56"/>
      <c r="AG101" s="49"/>
      <c r="AH101" s="56"/>
      <c r="AI101" s="56"/>
      <c r="AJ101" s="56"/>
      <c r="AK101" s="56"/>
      <c r="AL101" s="56"/>
      <c r="AM101" s="56"/>
      <c r="AN101" s="56"/>
      <c r="AO101" s="56"/>
      <c r="AP101" s="56"/>
      <c r="AQ101" s="49"/>
      <c r="AR101" s="56"/>
      <c r="AS101" s="56"/>
      <c r="AT101" s="56"/>
      <c r="AU101" s="56"/>
      <c r="AV101" s="56"/>
      <c r="AW101" s="56"/>
      <c r="AX101" s="56"/>
      <c r="AY101" s="56"/>
      <c r="AZ101" s="56"/>
      <c r="BA101" s="50"/>
      <c r="BB101" s="57"/>
      <c r="BC101" s="57"/>
      <c r="BD101" s="57"/>
      <c r="BE101" s="57"/>
      <c r="BF101" s="57"/>
      <c r="BG101" s="57"/>
      <c r="BH101" s="57"/>
      <c r="BI101" s="57"/>
      <c r="BJ101" s="57"/>
      <c r="BK101" s="57"/>
      <c r="BL101" s="57"/>
      <c r="BM101" s="57"/>
      <c r="BN101" s="57"/>
      <c r="BO101" s="57"/>
      <c r="BP101" s="57"/>
      <c r="BQ101" s="57"/>
      <c r="BR101" s="58"/>
      <c r="BS101" s="59"/>
      <c r="BT101" s="59"/>
      <c r="BU101" s="58"/>
      <c r="BV101" s="47"/>
      <c r="BW101" s="47"/>
      <c r="BX101" s="57"/>
      <c r="BY101" s="58"/>
      <c r="BZ101" s="59"/>
      <c r="CA101" s="53"/>
    </row>
    <row r="102" ht="11.25" customHeight="1">
      <c r="A102" s="45"/>
      <c r="B102" s="46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8"/>
      <c r="N102" s="47"/>
      <c r="O102" s="47"/>
      <c r="P102" s="47"/>
      <c r="Q102" s="47"/>
      <c r="R102" s="47"/>
      <c r="S102" s="47"/>
      <c r="T102" s="47"/>
      <c r="U102" s="47"/>
      <c r="V102" s="47"/>
      <c r="W102" s="49"/>
      <c r="X102" s="47"/>
      <c r="Y102" s="47"/>
      <c r="Z102" s="47"/>
      <c r="AA102" s="47"/>
      <c r="AB102" s="47"/>
      <c r="AC102" s="47"/>
      <c r="AD102" s="47"/>
      <c r="AE102" s="47"/>
      <c r="AF102" s="47"/>
      <c r="AG102" s="49"/>
      <c r="AH102" s="47"/>
      <c r="AI102" s="47"/>
      <c r="AJ102" s="47"/>
      <c r="AK102" s="47"/>
      <c r="AL102" s="47"/>
      <c r="AM102" s="47"/>
      <c r="AN102" s="47"/>
      <c r="AO102" s="47"/>
      <c r="AP102" s="47"/>
      <c r="AQ102" s="49"/>
      <c r="AR102" s="47"/>
      <c r="AS102" s="47"/>
      <c r="AT102" s="47"/>
      <c r="AU102" s="47"/>
      <c r="AV102" s="47"/>
      <c r="AW102" s="47"/>
      <c r="AX102" s="47"/>
      <c r="AY102" s="47"/>
      <c r="AZ102" s="47"/>
      <c r="BA102" s="50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1"/>
      <c r="BP102" s="51"/>
      <c r="BQ102" s="51"/>
      <c r="BR102" s="52"/>
      <c r="BS102" s="53"/>
      <c r="BT102" s="53"/>
      <c r="BU102" s="52"/>
      <c r="BV102" s="47"/>
      <c r="BW102" s="47"/>
      <c r="BX102" s="51"/>
      <c r="BY102" s="52"/>
      <c r="BZ102" s="53"/>
      <c r="CA102" s="53"/>
    </row>
    <row r="103" ht="11.25" customHeight="1">
      <c r="A103" s="55"/>
      <c r="B103" s="55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48"/>
      <c r="N103" s="56"/>
      <c r="O103" s="56"/>
      <c r="P103" s="56"/>
      <c r="Q103" s="56"/>
      <c r="R103" s="56"/>
      <c r="S103" s="56"/>
      <c r="T103" s="56"/>
      <c r="U103" s="56"/>
      <c r="V103" s="56"/>
      <c r="W103" s="49"/>
      <c r="X103" s="56"/>
      <c r="Y103" s="56"/>
      <c r="Z103" s="56"/>
      <c r="AA103" s="56"/>
      <c r="AB103" s="56"/>
      <c r="AC103" s="56"/>
      <c r="AD103" s="56"/>
      <c r="AE103" s="56"/>
      <c r="AF103" s="56"/>
      <c r="AG103" s="49"/>
      <c r="AH103" s="56"/>
      <c r="AI103" s="56"/>
      <c r="AJ103" s="56"/>
      <c r="AK103" s="56"/>
      <c r="AL103" s="56"/>
      <c r="AM103" s="56"/>
      <c r="AN103" s="56"/>
      <c r="AO103" s="56"/>
      <c r="AP103" s="56"/>
      <c r="AQ103" s="49"/>
      <c r="AR103" s="56"/>
      <c r="AS103" s="56"/>
      <c r="AT103" s="56"/>
      <c r="AU103" s="56"/>
      <c r="AV103" s="56"/>
      <c r="AW103" s="56"/>
      <c r="AX103" s="56"/>
      <c r="AY103" s="56"/>
      <c r="AZ103" s="56"/>
      <c r="BA103" s="50"/>
      <c r="BB103" s="57"/>
      <c r="BC103" s="57"/>
      <c r="BD103" s="57"/>
      <c r="BE103" s="57"/>
      <c r="BF103" s="57"/>
      <c r="BG103" s="57"/>
      <c r="BH103" s="57"/>
      <c r="BI103" s="57"/>
      <c r="BJ103" s="57"/>
      <c r="BK103" s="57"/>
      <c r="BL103" s="57"/>
      <c r="BM103" s="57"/>
      <c r="BN103" s="57"/>
      <c r="BO103" s="57"/>
      <c r="BP103" s="57"/>
      <c r="BQ103" s="57"/>
      <c r="BR103" s="59"/>
      <c r="BS103" s="59"/>
      <c r="BT103" s="59"/>
      <c r="BU103" s="59"/>
      <c r="BV103" s="47"/>
      <c r="BW103" s="47"/>
      <c r="BX103" s="57"/>
      <c r="BY103" s="59"/>
      <c r="BZ103" s="59"/>
      <c r="CA103" s="53"/>
    </row>
    <row r="104" ht="11.25" customHeight="1">
      <c r="A104" s="60"/>
      <c r="B104" s="61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48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3"/>
      <c r="BB104" s="64"/>
      <c r="BC104" s="64"/>
      <c r="BD104" s="64"/>
      <c r="BE104" s="64"/>
      <c r="BF104" s="64"/>
      <c r="BG104" s="64"/>
      <c r="BH104" s="64"/>
      <c r="BI104" s="64"/>
      <c r="BJ104" s="64"/>
      <c r="BK104" s="64"/>
      <c r="BL104" s="64"/>
      <c r="BM104" s="64"/>
      <c r="BN104" s="64"/>
      <c r="BO104" s="64"/>
      <c r="BP104" s="64"/>
      <c r="BQ104" s="64"/>
      <c r="BR104" s="65"/>
      <c r="BS104" s="63"/>
      <c r="BT104" s="63"/>
      <c r="BU104" s="65"/>
      <c r="BV104" s="47"/>
      <c r="BW104" s="47"/>
      <c r="BX104" s="64"/>
      <c r="BY104" s="65"/>
      <c r="BZ104" s="63"/>
      <c r="CA104" s="53"/>
    </row>
    <row r="105" ht="11.25" customHeight="1">
      <c r="A105" s="60"/>
      <c r="B105" s="61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48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3"/>
      <c r="BB105" s="64"/>
      <c r="BC105" s="64"/>
      <c r="BD105" s="64"/>
      <c r="BE105" s="64"/>
      <c r="BF105" s="64"/>
      <c r="BG105" s="64"/>
      <c r="BH105" s="64"/>
      <c r="BI105" s="64"/>
      <c r="BJ105" s="64"/>
      <c r="BK105" s="64"/>
      <c r="BL105" s="64"/>
      <c r="BM105" s="64"/>
      <c r="BN105" s="64"/>
      <c r="BO105" s="64"/>
      <c r="BP105" s="64"/>
      <c r="BQ105" s="64"/>
      <c r="BR105" s="65"/>
      <c r="BS105" s="63"/>
      <c r="BT105" s="63"/>
      <c r="BU105" s="65"/>
      <c r="BV105" s="47"/>
      <c r="BW105" s="47"/>
      <c r="BX105" s="64"/>
      <c r="BY105" s="65"/>
      <c r="BZ105" s="63"/>
      <c r="CA105" s="53"/>
    </row>
    <row r="106" ht="11.25" customHeight="1">
      <c r="A106" s="60"/>
      <c r="B106" s="61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48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  <c r="AL106" s="62"/>
      <c r="AM106" s="62"/>
      <c r="AN106" s="62"/>
      <c r="AO106" s="62"/>
      <c r="AP106" s="62"/>
      <c r="AQ106" s="62"/>
      <c r="AR106" s="62"/>
      <c r="AS106" s="62"/>
      <c r="AT106" s="62"/>
      <c r="AU106" s="62"/>
      <c r="AV106" s="62"/>
      <c r="AW106" s="62"/>
      <c r="AX106" s="62"/>
      <c r="AY106" s="62"/>
      <c r="AZ106" s="62"/>
      <c r="BA106" s="63"/>
      <c r="BB106" s="64"/>
      <c r="BC106" s="64"/>
      <c r="BD106" s="64"/>
      <c r="BE106" s="64"/>
      <c r="BF106" s="64"/>
      <c r="BG106" s="64"/>
      <c r="BH106" s="64"/>
      <c r="BI106" s="64"/>
      <c r="BJ106" s="64"/>
      <c r="BK106" s="64"/>
      <c r="BL106" s="64"/>
      <c r="BM106" s="64"/>
      <c r="BN106" s="64"/>
      <c r="BO106" s="64"/>
      <c r="BP106" s="64"/>
      <c r="BQ106" s="64"/>
      <c r="BR106" s="65"/>
      <c r="BS106" s="63"/>
      <c r="BT106" s="63"/>
      <c r="BU106" s="65"/>
      <c r="BV106" s="47"/>
      <c r="BW106" s="47"/>
      <c r="BX106" s="64"/>
      <c r="BY106" s="65"/>
      <c r="BZ106" s="63"/>
      <c r="CA106" s="53"/>
    </row>
    <row r="107" ht="11.25" customHeight="1">
      <c r="A107" s="54"/>
      <c r="B107" s="55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48"/>
      <c r="N107" s="56"/>
      <c r="O107" s="56"/>
      <c r="P107" s="56"/>
      <c r="Q107" s="56"/>
      <c r="R107" s="56"/>
      <c r="S107" s="56"/>
      <c r="T107" s="56"/>
      <c r="U107" s="56"/>
      <c r="V107" s="56"/>
      <c r="W107" s="49"/>
      <c r="X107" s="56"/>
      <c r="Y107" s="56"/>
      <c r="Z107" s="56"/>
      <c r="AA107" s="56"/>
      <c r="AB107" s="56"/>
      <c r="AC107" s="56"/>
      <c r="AD107" s="56"/>
      <c r="AE107" s="56"/>
      <c r="AF107" s="56"/>
      <c r="AG107" s="49"/>
      <c r="AH107" s="56"/>
      <c r="AI107" s="56"/>
      <c r="AJ107" s="56"/>
      <c r="AK107" s="56"/>
      <c r="AL107" s="56"/>
      <c r="AM107" s="56"/>
      <c r="AN107" s="56"/>
      <c r="AO107" s="56"/>
      <c r="AP107" s="56"/>
      <c r="AQ107" s="49"/>
      <c r="AR107" s="56"/>
      <c r="AS107" s="56"/>
      <c r="AT107" s="56"/>
      <c r="AU107" s="56"/>
      <c r="AV107" s="56"/>
      <c r="AW107" s="56"/>
      <c r="AX107" s="56"/>
      <c r="AY107" s="56"/>
      <c r="AZ107" s="56"/>
      <c r="BA107" s="50"/>
      <c r="BB107" s="57"/>
      <c r="BC107" s="57"/>
      <c r="BD107" s="57"/>
      <c r="BE107" s="57"/>
      <c r="BF107" s="57"/>
      <c r="BG107" s="57"/>
      <c r="BH107" s="57"/>
      <c r="BI107" s="57"/>
      <c r="BJ107" s="57"/>
      <c r="BK107" s="57"/>
      <c r="BL107" s="57"/>
      <c r="BM107" s="57"/>
      <c r="BN107" s="57"/>
      <c r="BO107" s="57"/>
      <c r="BP107" s="57"/>
      <c r="BQ107" s="57"/>
      <c r="BR107" s="58"/>
      <c r="BS107" s="59"/>
      <c r="BT107" s="59"/>
      <c r="BU107" s="58"/>
      <c r="BV107" s="47"/>
      <c r="BW107" s="47"/>
      <c r="BX107" s="57"/>
      <c r="BY107" s="58"/>
      <c r="BZ107" s="59"/>
      <c r="CA107" s="53"/>
    </row>
    <row r="108" ht="11.25" customHeight="1">
      <c r="A108" s="60"/>
      <c r="B108" s="61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48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  <c r="AL108" s="62"/>
      <c r="AM108" s="62"/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3"/>
      <c r="BB108" s="64"/>
      <c r="BC108" s="64"/>
      <c r="BD108" s="64"/>
      <c r="BE108" s="64"/>
      <c r="BF108" s="64"/>
      <c r="BG108" s="64"/>
      <c r="BH108" s="64"/>
      <c r="BI108" s="64"/>
      <c r="BJ108" s="64"/>
      <c r="BK108" s="64"/>
      <c r="BL108" s="64"/>
      <c r="BM108" s="64"/>
      <c r="BN108" s="64"/>
      <c r="BO108" s="64"/>
      <c r="BP108" s="64"/>
      <c r="BQ108" s="64"/>
      <c r="BR108" s="65"/>
      <c r="BS108" s="63"/>
      <c r="BT108" s="63"/>
      <c r="BU108" s="65"/>
      <c r="BV108" s="47"/>
      <c r="BW108" s="47"/>
      <c r="BX108" s="64"/>
      <c r="BY108" s="65"/>
      <c r="BZ108" s="63"/>
      <c r="CA108" s="53"/>
    </row>
    <row r="109" ht="11.25" customHeight="1">
      <c r="A109" s="55"/>
      <c r="B109" s="55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48"/>
      <c r="N109" s="56"/>
      <c r="O109" s="56"/>
      <c r="P109" s="56"/>
      <c r="Q109" s="56"/>
      <c r="R109" s="56"/>
      <c r="S109" s="56"/>
      <c r="T109" s="56"/>
      <c r="U109" s="56"/>
      <c r="V109" s="56"/>
      <c r="W109" s="49"/>
      <c r="X109" s="56"/>
      <c r="Y109" s="56"/>
      <c r="Z109" s="56"/>
      <c r="AA109" s="56"/>
      <c r="AB109" s="56"/>
      <c r="AC109" s="56"/>
      <c r="AD109" s="56"/>
      <c r="AE109" s="56"/>
      <c r="AF109" s="56"/>
      <c r="AG109" s="49"/>
      <c r="AH109" s="56"/>
      <c r="AI109" s="56"/>
      <c r="AJ109" s="56"/>
      <c r="AK109" s="56"/>
      <c r="AL109" s="56"/>
      <c r="AM109" s="56"/>
      <c r="AN109" s="56"/>
      <c r="AO109" s="56"/>
      <c r="AP109" s="56"/>
      <c r="AQ109" s="49"/>
      <c r="AR109" s="56"/>
      <c r="AS109" s="56"/>
      <c r="AT109" s="56"/>
      <c r="AU109" s="56"/>
      <c r="AV109" s="56"/>
      <c r="AW109" s="56"/>
      <c r="AX109" s="56"/>
      <c r="AY109" s="56"/>
      <c r="AZ109" s="56"/>
      <c r="BA109" s="50"/>
      <c r="BB109" s="57"/>
      <c r="BC109" s="57"/>
      <c r="BD109" s="57"/>
      <c r="BE109" s="57"/>
      <c r="BF109" s="57"/>
      <c r="BG109" s="57"/>
      <c r="BH109" s="57"/>
      <c r="BI109" s="57"/>
      <c r="BJ109" s="57"/>
      <c r="BK109" s="57"/>
      <c r="BL109" s="57"/>
      <c r="BM109" s="57"/>
      <c r="BN109" s="57"/>
      <c r="BO109" s="57"/>
      <c r="BP109" s="57"/>
      <c r="BQ109" s="57"/>
      <c r="BR109" s="58"/>
      <c r="BS109" s="59"/>
      <c r="BT109" s="59"/>
      <c r="BU109" s="58"/>
      <c r="BV109" s="47"/>
      <c r="BW109" s="47"/>
      <c r="BX109" s="57"/>
      <c r="BY109" s="58"/>
      <c r="BZ109" s="59"/>
      <c r="CA109" s="53"/>
    </row>
    <row r="110" ht="11.25" customHeight="1">
      <c r="A110" s="60"/>
      <c r="B110" s="61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48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  <c r="AR110" s="62"/>
      <c r="AS110" s="62"/>
      <c r="AT110" s="62"/>
      <c r="AU110" s="62"/>
      <c r="AV110" s="62"/>
      <c r="AW110" s="62"/>
      <c r="AX110" s="62"/>
      <c r="AY110" s="62"/>
      <c r="AZ110" s="62"/>
      <c r="BA110" s="63"/>
      <c r="BB110" s="64"/>
      <c r="BC110" s="64"/>
      <c r="BD110" s="64"/>
      <c r="BE110" s="64"/>
      <c r="BF110" s="64"/>
      <c r="BG110" s="64"/>
      <c r="BH110" s="64"/>
      <c r="BI110" s="64"/>
      <c r="BJ110" s="64"/>
      <c r="BK110" s="64"/>
      <c r="BL110" s="64"/>
      <c r="BM110" s="64"/>
      <c r="BN110" s="64"/>
      <c r="BO110" s="64"/>
      <c r="BP110" s="64"/>
      <c r="BQ110" s="64"/>
      <c r="BR110" s="65"/>
      <c r="BS110" s="63"/>
      <c r="BT110" s="63"/>
      <c r="BU110" s="65"/>
      <c r="BV110" s="47"/>
      <c r="BW110" s="47"/>
      <c r="BX110" s="64"/>
      <c r="BY110" s="65"/>
      <c r="BZ110" s="63"/>
      <c r="CA110" s="53"/>
    </row>
    <row r="111" ht="11.25" customHeight="1">
      <c r="A111" s="54"/>
      <c r="B111" s="55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48"/>
      <c r="N111" s="56"/>
      <c r="O111" s="56"/>
      <c r="P111" s="56"/>
      <c r="Q111" s="56"/>
      <c r="R111" s="56"/>
      <c r="S111" s="56"/>
      <c r="T111" s="56"/>
      <c r="U111" s="56"/>
      <c r="V111" s="56"/>
      <c r="W111" s="49"/>
      <c r="X111" s="56"/>
      <c r="Y111" s="56"/>
      <c r="Z111" s="56"/>
      <c r="AA111" s="56"/>
      <c r="AB111" s="56"/>
      <c r="AC111" s="56"/>
      <c r="AD111" s="56"/>
      <c r="AE111" s="56"/>
      <c r="AF111" s="56"/>
      <c r="AG111" s="49"/>
      <c r="AH111" s="56"/>
      <c r="AI111" s="56"/>
      <c r="AJ111" s="56"/>
      <c r="AK111" s="56"/>
      <c r="AL111" s="56"/>
      <c r="AM111" s="56"/>
      <c r="AN111" s="56"/>
      <c r="AO111" s="56"/>
      <c r="AP111" s="56"/>
      <c r="AQ111" s="49"/>
      <c r="AR111" s="56"/>
      <c r="AS111" s="56"/>
      <c r="AT111" s="56"/>
      <c r="AU111" s="56"/>
      <c r="AV111" s="56"/>
      <c r="AW111" s="56"/>
      <c r="AX111" s="56"/>
      <c r="AY111" s="56"/>
      <c r="AZ111" s="56"/>
      <c r="BA111" s="50"/>
      <c r="BB111" s="57"/>
      <c r="BC111" s="57"/>
      <c r="BD111" s="57"/>
      <c r="BE111" s="57"/>
      <c r="BF111" s="57"/>
      <c r="BG111" s="57"/>
      <c r="BH111" s="57"/>
      <c r="BI111" s="57"/>
      <c r="BJ111" s="57"/>
      <c r="BK111" s="57"/>
      <c r="BL111" s="57"/>
      <c r="BM111" s="57"/>
      <c r="BN111" s="57"/>
      <c r="BO111" s="57"/>
      <c r="BP111" s="57"/>
      <c r="BQ111" s="57"/>
      <c r="BR111" s="58"/>
      <c r="BS111" s="59"/>
      <c r="BT111" s="59"/>
      <c r="BU111" s="58"/>
      <c r="BV111" s="47"/>
      <c r="BW111" s="47"/>
      <c r="BX111" s="57"/>
      <c r="BY111" s="58"/>
      <c r="BZ111" s="59"/>
      <c r="CA111" s="53"/>
    </row>
    <row r="112" ht="11.25" customHeight="1">
      <c r="A112" s="60"/>
      <c r="B112" s="61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48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  <c r="AR112" s="62"/>
      <c r="AS112" s="62"/>
      <c r="AT112" s="62"/>
      <c r="AU112" s="62"/>
      <c r="AV112" s="62"/>
      <c r="AW112" s="62"/>
      <c r="AX112" s="62"/>
      <c r="AY112" s="62"/>
      <c r="AZ112" s="62"/>
      <c r="BA112" s="63"/>
      <c r="BB112" s="64"/>
      <c r="BC112" s="64"/>
      <c r="BD112" s="64"/>
      <c r="BE112" s="64"/>
      <c r="BF112" s="64"/>
      <c r="BG112" s="64"/>
      <c r="BH112" s="64"/>
      <c r="BI112" s="64"/>
      <c r="BJ112" s="64"/>
      <c r="BK112" s="64"/>
      <c r="BL112" s="64"/>
      <c r="BM112" s="64"/>
      <c r="BN112" s="64"/>
      <c r="BO112" s="64"/>
      <c r="BP112" s="64"/>
      <c r="BQ112" s="64"/>
      <c r="BR112" s="65"/>
      <c r="BS112" s="63"/>
      <c r="BT112" s="63"/>
      <c r="BU112" s="65"/>
      <c r="BV112" s="47"/>
      <c r="BW112" s="47"/>
      <c r="BX112" s="64"/>
      <c r="BY112" s="65"/>
      <c r="BZ112" s="63"/>
      <c r="CA112" s="53"/>
    </row>
    <row r="113" ht="11.25" customHeight="1">
      <c r="A113" s="54"/>
      <c r="B113" s="55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48"/>
      <c r="N113" s="56"/>
      <c r="O113" s="56"/>
      <c r="P113" s="56"/>
      <c r="Q113" s="56"/>
      <c r="R113" s="56"/>
      <c r="S113" s="56"/>
      <c r="T113" s="56"/>
      <c r="U113" s="56"/>
      <c r="V113" s="56"/>
      <c r="W113" s="49"/>
      <c r="X113" s="56"/>
      <c r="Y113" s="56"/>
      <c r="Z113" s="56"/>
      <c r="AA113" s="56"/>
      <c r="AB113" s="56"/>
      <c r="AC113" s="56"/>
      <c r="AD113" s="56"/>
      <c r="AE113" s="56"/>
      <c r="AF113" s="56"/>
      <c r="AG113" s="49"/>
      <c r="AH113" s="56"/>
      <c r="AI113" s="56"/>
      <c r="AJ113" s="56"/>
      <c r="AK113" s="56"/>
      <c r="AL113" s="56"/>
      <c r="AM113" s="56"/>
      <c r="AN113" s="56"/>
      <c r="AO113" s="56"/>
      <c r="AP113" s="56"/>
      <c r="AQ113" s="49"/>
      <c r="AR113" s="56"/>
      <c r="AS113" s="56"/>
      <c r="AT113" s="56"/>
      <c r="AU113" s="56"/>
      <c r="AV113" s="56"/>
      <c r="AW113" s="56"/>
      <c r="AX113" s="56"/>
      <c r="AY113" s="56"/>
      <c r="AZ113" s="56"/>
      <c r="BA113" s="50"/>
      <c r="BB113" s="57"/>
      <c r="BC113" s="57"/>
      <c r="BD113" s="57"/>
      <c r="BE113" s="57"/>
      <c r="BF113" s="57"/>
      <c r="BG113" s="57"/>
      <c r="BH113" s="57"/>
      <c r="BI113" s="57"/>
      <c r="BJ113" s="57"/>
      <c r="BK113" s="57"/>
      <c r="BL113" s="57"/>
      <c r="BM113" s="57"/>
      <c r="BN113" s="57"/>
      <c r="BO113" s="57"/>
      <c r="BP113" s="57"/>
      <c r="BQ113" s="57"/>
      <c r="BR113" s="58"/>
      <c r="BS113" s="59"/>
      <c r="BT113" s="59"/>
      <c r="BU113" s="58"/>
      <c r="BV113" s="47"/>
      <c r="BW113" s="47"/>
      <c r="BX113" s="57"/>
      <c r="BY113" s="58"/>
      <c r="BZ113" s="59"/>
      <c r="CA113" s="53"/>
    </row>
    <row r="114" ht="11.25" customHeight="1">
      <c r="A114" s="45"/>
      <c r="B114" s="46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8"/>
      <c r="N114" s="47"/>
      <c r="O114" s="47"/>
      <c r="P114" s="47"/>
      <c r="Q114" s="47"/>
      <c r="R114" s="47"/>
      <c r="S114" s="47"/>
      <c r="T114" s="47"/>
      <c r="U114" s="47"/>
      <c r="V114" s="47"/>
      <c r="W114" s="49"/>
      <c r="X114" s="47"/>
      <c r="Y114" s="47"/>
      <c r="Z114" s="47"/>
      <c r="AA114" s="47"/>
      <c r="AB114" s="47"/>
      <c r="AC114" s="47"/>
      <c r="AD114" s="47"/>
      <c r="AE114" s="47"/>
      <c r="AF114" s="47"/>
      <c r="AG114" s="49"/>
      <c r="AH114" s="47"/>
      <c r="AI114" s="47"/>
      <c r="AJ114" s="47"/>
      <c r="AK114" s="47"/>
      <c r="AL114" s="47"/>
      <c r="AM114" s="47"/>
      <c r="AN114" s="47"/>
      <c r="AO114" s="47"/>
      <c r="AP114" s="47"/>
      <c r="AQ114" s="49"/>
      <c r="AR114" s="47"/>
      <c r="AS114" s="47"/>
      <c r="AT114" s="47"/>
      <c r="AU114" s="47"/>
      <c r="AV114" s="47"/>
      <c r="AW114" s="47"/>
      <c r="AX114" s="47"/>
      <c r="AY114" s="47"/>
      <c r="AZ114" s="47"/>
      <c r="BA114" s="50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1"/>
      <c r="BP114" s="51"/>
      <c r="BQ114" s="51"/>
      <c r="BR114" s="52"/>
      <c r="BS114" s="53"/>
      <c r="BT114" s="53"/>
      <c r="BU114" s="52"/>
      <c r="BV114" s="47"/>
      <c r="BW114" s="47"/>
      <c r="BX114" s="51"/>
      <c r="BY114" s="52"/>
      <c r="BZ114" s="53"/>
      <c r="CA114" s="53"/>
    </row>
    <row r="115" ht="11.25" customHeight="1">
      <c r="A115" s="54"/>
      <c r="B115" s="55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48"/>
      <c r="N115" s="56"/>
      <c r="O115" s="56"/>
      <c r="P115" s="56"/>
      <c r="Q115" s="56"/>
      <c r="R115" s="56"/>
      <c r="S115" s="56"/>
      <c r="T115" s="56"/>
      <c r="U115" s="56"/>
      <c r="V115" s="56"/>
      <c r="W115" s="49"/>
      <c r="X115" s="56"/>
      <c r="Y115" s="56"/>
      <c r="Z115" s="56"/>
      <c r="AA115" s="56"/>
      <c r="AB115" s="56"/>
      <c r="AC115" s="56"/>
      <c r="AD115" s="56"/>
      <c r="AE115" s="56"/>
      <c r="AF115" s="56"/>
      <c r="AG115" s="49"/>
      <c r="AH115" s="56"/>
      <c r="AI115" s="56"/>
      <c r="AJ115" s="56"/>
      <c r="AK115" s="56"/>
      <c r="AL115" s="56"/>
      <c r="AM115" s="56"/>
      <c r="AN115" s="56"/>
      <c r="AO115" s="56"/>
      <c r="AP115" s="56"/>
      <c r="AQ115" s="49"/>
      <c r="AR115" s="56"/>
      <c r="AS115" s="56"/>
      <c r="AT115" s="56"/>
      <c r="AU115" s="56"/>
      <c r="AV115" s="56"/>
      <c r="AW115" s="56"/>
      <c r="AX115" s="56"/>
      <c r="AY115" s="56"/>
      <c r="AZ115" s="56"/>
      <c r="BA115" s="50"/>
      <c r="BB115" s="57"/>
      <c r="BC115" s="57"/>
      <c r="BD115" s="57"/>
      <c r="BE115" s="57"/>
      <c r="BF115" s="57"/>
      <c r="BG115" s="57"/>
      <c r="BH115" s="57"/>
      <c r="BI115" s="57"/>
      <c r="BJ115" s="57"/>
      <c r="BK115" s="57"/>
      <c r="BL115" s="57"/>
      <c r="BM115" s="57"/>
      <c r="BN115" s="57"/>
      <c r="BO115" s="57"/>
      <c r="BP115" s="57"/>
      <c r="BQ115" s="57"/>
      <c r="BR115" s="58"/>
      <c r="BS115" s="59"/>
      <c r="BT115" s="59"/>
      <c r="BU115" s="58"/>
      <c r="BV115" s="47"/>
      <c r="BW115" s="47"/>
      <c r="BX115" s="57"/>
      <c r="BY115" s="58"/>
      <c r="BZ115" s="59"/>
      <c r="CA115" s="53"/>
    </row>
    <row r="116" ht="11.25" customHeight="1">
      <c r="A116" s="46"/>
      <c r="B116" s="46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8"/>
      <c r="N116" s="47"/>
      <c r="O116" s="47"/>
      <c r="P116" s="47"/>
      <c r="Q116" s="47"/>
      <c r="R116" s="47"/>
      <c r="S116" s="47"/>
      <c r="T116" s="47"/>
      <c r="U116" s="47"/>
      <c r="V116" s="47"/>
      <c r="W116" s="49"/>
      <c r="X116" s="47"/>
      <c r="Y116" s="47"/>
      <c r="Z116" s="47"/>
      <c r="AA116" s="47"/>
      <c r="AB116" s="47"/>
      <c r="AC116" s="47"/>
      <c r="AD116" s="47"/>
      <c r="AE116" s="47"/>
      <c r="AF116" s="47"/>
      <c r="AG116" s="49"/>
      <c r="AH116" s="47"/>
      <c r="AI116" s="47"/>
      <c r="AJ116" s="47"/>
      <c r="AK116" s="47"/>
      <c r="AL116" s="47"/>
      <c r="AM116" s="47"/>
      <c r="AN116" s="47"/>
      <c r="AO116" s="47"/>
      <c r="AP116" s="47"/>
      <c r="AQ116" s="49"/>
      <c r="AR116" s="47"/>
      <c r="AS116" s="47"/>
      <c r="AT116" s="47"/>
      <c r="AU116" s="47"/>
      <c r="AV116" s="47"/>
      <c r="AW116" s="47"/>
      <c r="AX116" s="47"/>
      <c r="AY116" s="47"/>
      <c r="AZ116" s="47"/>
      <c r="BA116" s="50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3"/>
      <c r="BS116" s="53"/>
      <c r="BT116" s="53"/>
      <c r="BU116" s="53"/>
      <c r="BV116" s="47"/>
      <c r="BW116" s="47"/>
      <c r="BX116" s="51"/>
      <c r="BY116" s="53"/>
      <c r="BZ116" s="53"/>
      <c r="CA116" s="53"/>
    </row>
    <row r="117" ht="11.25" customHeight="1">
      <c r="A117" s="61"/>
      <c r="B117" s="61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48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  <c r="BA117" s="63"/>
      <c r="BB117" s="64"/>
      <c r="BC117" s="64"/>
      <c r="BD117" s="64"/>
      <c r="BE117" s="64"/>
      <c r="BF117" s="64"/>
      <c r="BG117" s="64"/>
      <c r="BH117" s="64"/>
      <c r="BI117" s="64"/>
      <c r="BJ117" s="64"/>
      <c r="BK117" s="64"/>
      <c r="BL117" s="64"/>
      <c r="BM117" s="64"/>
      <c r="BN117" s="64"/>
      <c r="BO117" s="64"/>
      <c r="BP117" s="64"/>
      <c r="BQ117" s="64"/>
      <c r="BR117" s="65"/>
      <c r="BS117" s="63"/>
      <c r="BT117" s="63"/>
      <c r="BU117" s="65"/>
      <c r="BV117" s="47"/>
      <c r="BW117" s="47"/>
      <c r="BX117" s="64"/>
      <c r="BY117" s="65"/>
      <c r="BZ117" s="63"/>
      <c r="CA117" s="53"/>
    </row>
    <row r="118" ht="11.25" customHeight="1">
      <c r="A118" s="61"/>
      <c r="B118" s="61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48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  <c r="BA118" s="63"/>
      <c r="BB118" s="64"/>
      <c r="BC118" s="64"/>
      <c r="BD118" s="64"/>
      <c r="BE118" s="64"/>
      <c r="BF118" s="64"/>
      <c r="BG118" s="64"/>
      <c r="BH118" s="64"/>
      <c r="BI118" s="64"/>
      <c r="BJ118" s="64"/>
      <c r="BK118" s="64"/>
      <c r="BL118" s="64"/>
      <c r="BM118" s="64"/>
      <c r="BN118" s="64"/>
      <c r="BO118" s="64"/>
      <c r="BP118" s="64"/>
      <c r="BQ118" s="64"/>
      <c r="BR118" s="65"/>
      <c r="BS118" s="63"/>
      <c r="BT118" s="63"/>
      <c r="BU118" s="65"/>
      <c r="BV118" s="47"/>
      <c r="BW118" s="47"/>
      <c r="BX118" s="64"/>
      <c r="BY118" s="65"/>
      <c r="BZ118" s="63"/>
      <c r="CA118" s="53"/>
    </row>
    <row r="119" ht="11.25" customHeight="1">
      <c r="A119" s="61"/>
      <c r="B119" s="61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48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  <c r="BA119" s="63"/>
      <c r="BB119" s="64"/>
      <c r="BC119" s="64"/>
      <c r="BD119" s="64"/>
      <c r="BE119" s="64"/>
      <c r="BF119" s="64"/>
      <c r="BG119" s="64"/>
      <c r="BH119" s="64"/>
      <c r="BI119" s="64"/>
      <c r="BJ119" s="64"/>
      <c r="BK119" s="64"/>
      <c r="BL119" s="64"/>
      <c r="BM119" s="64"/>
      <c r="BN119" s="64"/>
      <c r="BO119" s="64"/>
      <c r="BP119" s="64"/>
      <c r="BQ119" s="64"/>
      <c r="BR119" s="65"/>
      <c r="BS119" s="63"/>
      <c r="BT119" s="63"/>
      <c r="BU119" s="65"/>
      <c r="BV119" s="47"/>
      <c r="BW119" s="47"/>
      <c r="BX119" s="64"/>
      <c r="BY119" s="65"/>
      <c r="BZ119" s="63"/>
      <c r="CA119" s="53"/>
    </row>
    <row r="120" ht="11.25" customHeight="1">
      <c r="A120" s="61"/>
      <c r="B120" s="61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48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  <c r="BA120" s="63"/>
      <c r="BB120" s="64"/>
      <c r="BC120" s="64"/>
      <c r="BD120" s="64"/>
      <c r="BE120" s="64"/>
      <c r="BF120" s="64"/>
      <c r="BG120" s="64"/>
      <c r="BH120" s="64"/>
      <c r="BI120" s="64"/>
      <c r="BJ120" s="64"/>
      <c r="BK120" s="64"/>
      <c r="BL120" s="64"/>
      <c r="BM120" s="64"/>
      <c r="BN120" s="64"/>
      <c r="BO120" s="64"/>
      <c r="BP120" s="64"/>
      <c r="BQ120" s="64"/>
      <c r="BR120" s="65"/>
      <c r="BS120" s="63"/>
      <c r="BT120" s="63"/>
      <c r="BU120" s="65"/>
      <c r="BV120" s="47"/>
      <c r="BW120" s="47"/>
      <c r="BX120" s="64"/>
      <c r="BY120" s="65"/>
      <c r="BZ120" s="63"/>
      <c r="CA120" s="53"/>
    </row>
    <row r="121" ht="11.25" customHeight="1">
      <c r="A121" s="55"/>
      <c r="B121" s="55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48"/>
      <c r="N121" s="56"/>
      <c r="O121" s="56"/>
      <c r="P121" s="56"/>
      <c r="Q121" s="56"/>
      <c r="R121" s="56"/>
      <c r="S121" s="56"/>
      <c r="T121" s="56"/>
      <c r="U121" s="56"/>
      <c r="V121" s="56"/>
      <c r="W121" s="49"/>
      <c r="X121" s="56"/>
      <c r="Y121" s="56"/>
      <c r="Z121" s="56"/>
      <c r="AA121" s="56"/>
      <c r="AB121" s="56"/>
      <c r="AC121" s="56"/>
      <c r="AD121" s="56"/>
      <c r="AE121" s="56"/>
      <c r="AF121" s="56"/>
      <c r="AG121" s="49"/>
      <c r="AH121" s="56"/>
      <c r="AI121" s="56"/>
      <c r="AJ121" s="56"/>
      <c r="AK121" s="56"/>
      <c r="AL121" s="56"/>
      <c r="AM121" s="56"/>
      <c r="AN121" s="56"/>
      <c r="AO121" s="56"/>
      <c r="AP121" s="56"/>
      <c r="AQ121" s="49"/>
      <c r="AR121" s="56"/>
      <c r="AS121" s="56"/>
      <c r="AT121" s="56"/>
      <c r="AU121" s="56"/>
      <c r="AV121" s="56"/>
      <c r="AW121" s="56"/>
      <c r="AX121" s="56"/>
      <c r="AY121" s="56"/>
      <c r="AZ121" s="56"/>
      <c r="BA121" s="50"/>
      <c r="BB121" s="57"/>
      <c r="BC121" s="57"/>
      <c r="BD121" s="57"/>
      <c r="BE121" s="57"/>
      <c r="BF121" s="57"/>
      <c r="BG121" s="57"/>
      <c r="BH121" s="57"/>
      <c r="BI121" s="57"/>
      <c r="BJ121" s="57"/>
      <c r="BK121" s="57"/>
      <c r="BL121" s="57"/>
      <c r="BM121" s="57"/>
      <c r="BN121" s="57"/>
      <c r="BO121" s="57"/>
      <c r="BP121" s="57"/>
      <c r="BQ121" s="57"/>
      <c r="BR121" s="58"/>
      <c r="BS121" s="59"/>
      <c r="BT121" s="59"/>
      <c r="BU121" s="58"/>
      <c r="BV121" s="47"/>
      <c r="BW121" s="47"/>
      <c r="BX121" s="57"/>
      <c r="BY121" s="58"/>
      <c r="BZ121" s="59"/>
      <c r="CA121" s="53"/>
    </row>
    <row r="122" ht="11.25" customHeight="1">
      <c r="A122" s="61"/>
      <c r="B122" s="61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48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  <c r="BA122" s="63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65"/>
      <c r="BS122" s="63"/>
      <c r="BT122" s="63"/>
      <c r="BU122" s="65"/>
      <c r="BV122" s="47"/>
      <c r="BW122" s="47"/>
      <c r="BX122" s="64"/>
      <c r="BY122" s="65"/>
      <c r="BZ122" s="63"/>
      <c r="CA122" s="53"/>
    </row>
    <row r="123" ht="11.25" customHeight="1">
      <c r="A123" s="55"/>
      <c r="B123" s="55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48"/>
      <c r="N123" s="56"/>
      <c r="O123" s="56"/>
      <c r="P123" s="56"/>
      <c r="Q123" s="56"/>
      <c r="R123" s="56"/>
      <c r="S123" s="56"/>
      <c r="T123" s="56"/>
      <c r="U123" s="56"/>
      <c r="V123" s="56"/>
      <c r="W123" s="49"/>
      <c r="X123" s="56"/>
      <c r="Y123" s="56"/>
      <c r="Z123" s="56"/>
      <c r="AA123" s="56"/>
      <c r="AB123" s="56"/>
      <c r="AC123" s="56"/>
      <c r="AD123" s="56"/>
      <c r="AE123" s="56"/>
      <c r="AF123" s="56"/>
      <c r="AG123" s="49"/>
      <c r="AH123" s="56"/>
      <c r="AI123" s="56"/>
      <c r="AJ123" s="56"/>
      <c r="AK123" s="56"/>
      <c r="AL123" s="56"/>
      <c r="AM123" s="56"/>
      <c r="AN123" s="56"/>
      <c r="AO123" s="56"/>
      <c r="AP123" s="56"/>
      <c r="AQ123" s="49"/>
      <c r="AR123" s="56"/>
      <c r="AS123" s="56"/>
      <c r="AT123" s="56"/>
      <c r="AU123" s="56"/>
      <c r="AV123" s="56"/>
      <c r="AW123" s="56"/>
      <c r="AX123" s="56"/>
      <c r="AY123" s="56"/>
      <c r="AZ123" s="56"/>
      <c r="BA123" s="50"/>
      <c r="BB123" s="57"/>
      <c r="BC123" s="57"/>
      <c r="BD123" s="57"/>
      <c r="BE123" s="57"/>
      <c r="BF123" s="57"/>
      <c r="BG123" s="57"/>
      <c r="BH123" s="57"/>
      <c r="BI123" s="57"/>
      <c r="BJ123" s="57"/>
      <c r="BK123" s="57"/>
      <c r="BL123" s="57"/>
      <c r="BM123" s="57"/>
      <c r="BN123" s="57"/>
      <c r="BO123" s="57"/>
      <c r="BP123" s="57"/>
      <c r="BQ123" s="57"/>
      <c r="BR123" s="58"/>
      <c r="BS123" s="59"/>
      <c r="BT123" s="59"/>
      <c r="BU123" s="58"/>
      <c r="BV123" s="47"/>
      <c r="BW123" s="47"/>
      <c r="BX123" s="57"/>
      <c r="BY123" s="58"/>
      <c r="BZ123" s="59"/>
      <c r="CA123" s="53"/>
    </row>
    <row r="124" ht="11.25" customHeight="1">
      <c r="A124" s="61"/>
      <c r="B124" s="61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48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3"/>
      <c r="BB124" s="64"/>
      <c r="BC124" s="64"/>
      <c r="BD124" s="64"/>
      <c r="BE124" s="64"/>
      <c r="BF124" s="64"/>
      <c r="BG124" s="64"/>
      <c r="BH124" s="64"/>
      <c r="BI124" s="64"/>
      <c r="BJ124" s="64"/>
      <c r="BK124" s="64"/>
      <c r="BL124" s="64"/>
      <c r="BM124" s="64"/>
      <c r="BN124" s="64"/>
      <c r="BO124" s="64"/>
      <c r="BP124" s="64"/>
      <c r="BQ124" s="64"/>
      <c r="BR124" s="65"/>
      <c r="BS124" s="63"/>
      <c r="BT124" s="63"/>
      <c r="BU124" s="65"/>
      <c r="BV124" s="47"/>
      <c r="BW124" s="47"/>
      <c r="BX124" s="64"/>
      <c r="BY124" s="65"/>
      <c r="BZ124" s="63"/>
      <c r="CA124" s="53"/>
    </row>
    <row r="125" ht="11.25" customHeight="1">
      <c r="A125" s="55"/>
      <c r="B125" s="55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48"/>
      <c r="N125" s="56"/>
      <c r="O125" s="56"/>
      <c r="P125" s="56"/>
      <c r="Q125" s="56"/>
      <c r="R125" s="56"/>
      <c r="S125" s="56"/>
      <c r="T125" s="56"/>
      <c r="U125" s="56"/>
      <c r="V125" s="56"/>
      <c r="W125" s="49"/>
      <c r="X125" s="56"/>
      <c r="Y125" s="56"/>
      <c r="Z125" s="56"/>
      <c r="AA125" s="56"/>
      <c r="AB125" s="56"/>
      <c r="AC125" s="56"/>
      <c r="AD125" s="56"/>
      <c r="AE125" s="56"/>
      <c r="AF125" s="56"/>
      <c r="AG125" s="49"/>
      <c r="AH125" s="56"/>
      <c r="AI125" s="56"/>
      <c r="AJ125" s="56"/>
      <c r="AK125" s="56"/>
      <c r="AL125" s="56"/>
      <c r="AM125" s="56"/>
      <c r="AN125" s="56"/>
      <c r="AO125" s="56"/>
      <c r="AP125" s="56"/>
      <c r="AQ125" s="49"/>
      <c r="AR125" s="56"/>
      <c r="AS125" s="56"/>
      <c r="AT125" s="56"/>
      <c r="AU125" s="56"/>
      <c r="AV125" s="56"/>
      <c r="AW125" s="56"/>
      <c r="AX125" s="56"/>
      <c r="AY125" s="56"/>
      <c r="AZ125" s="56"/>
      <c r="BA125" s="50"/>
      <c r="BB125" s="57"/>
      <c r="BC125" s="57"/>
      <c r="BD125" s="57"/>
      <c r="BE125" s="57"/>
      <c r="BF125" s="57"/>
      <c r="BG125" s="57"/>
      <c r="BH125" s="57"/>
      <c r="BI125" s="57"/>
      <c r="BJ125" s="57"/>
      <c r="BK125" s="57"/>
      <c r="BL125" s="57"/>
      <c r="BM125" s="57"/>
      <c r="BN125" s="57"/>
      <c r="BO125" s="57"/>
      <c r="BP125" s="57"/>
      <c r="BQ125" s="57"/>
      <c r="BR125" s="58"/>
      <c r="BS125" s="59"/>
      <c r="BT125" s="59"/>
      <c r="BU125" s="58"/>
      <c r="BV125" s="47"/>
      <c r="BW125" s="47"/>
      <c r="BX125" s="57"/>
      <c r="BY125" s="58"/>
      <c r="BZ125" s="59"/>
      <c r="CA125" s="53"/>
    </row>
    <row r="126" ht="11.25" customHeight="1">
      <c r="A126" s="61"/>
      <c r="B126" s="61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48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3"/>
      <c r="BB126" s="64"/>
      <c r="BC126" s="64"/>
      <c r="BD126" s="64"/>
      <c r="BE126" s="64"/>
      <c r="BF126" s="64"/>
      <c r="BG126" s="64"/>
      <c r="BH126" s="64"/>
      <c r="BI126" s="64"/>
      <c r="BJ126" s="64"/>
      <c r="BK126" s="64"/>
      <c r="BL126" s="64"/>
      <c r="BM126" s="64"/>
      <c r="BN126" s="64"/>
      <c r="BO126" s="64"/>
      <c r="BP126" s="64"/>
      <c r="BQ126" s="64"/>
      <c r="BR126" s="65"/>
      <c r="BS126" s="63"/>
      <c r="BT126" s="63"/>
      <c r="BU126" s="65"/>
      <c r="BV126" s="47"/>
      <c r="BW126" s="47"/>
      <c r="BX126" s="64"/>
      <c r="BY126" s="65"/>
      <c r="BZ126" s="63"/>
      <c r="CA126" s="53"/>
    </row>
    <row r="127" ht="11.25" customHeight="1">
      <c r="A127" s="55"/>
      <c r="B127" s="55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48"/>
      <c r="N127" s="56"/>
      <c r="O127" s="56"/>
      <c r="P127" s="56"/>
      <c r="Q127" s="56"/>
      <c r="R127" s="56"/>
      <c r="S127" s="56"/>
      <c r="T127" s="56"/>
      <c r="U127" s="56"/>
      <c r="V127" s="56"/>
      <c r="W127" s="49"/>
      <c r="X127" s="56"/>
      <c r="Y127" s="56"/>
      <c r="Z127" s="56"/>
      <c r="AA127" s="56"/>
      <c r="AB127" s="56"/>
      <c r="AC127" s="56"/>
      <c r="AD127" s="56"/>
      <c r="AE127" s="56"/>
      <c r="AF127" s="56"/>
      <c r="AG127" s="49"/>
      <c r="AH127" s="56"/>
      <c r="AI127" s="56"/>
      <c r="AJ127" s="56"/>
      <c r="AK127" s="56"/>
      <c r="AL127" s="56"/>
      <c r="AM127" s="56"/>
      <c r="AN127" s="56"/>
      <c r="AO127" s="56"/>
      <c r="AP127" s="56"/>
      <c r="AQ127" s="49"/>
      <c r="AR127" s="56"/>
      <c r="AS127" s="56"/>
      <c r="AT127" s="56"/>
      <c r="AU127" s="56"/>
      <c r="AV127" s="56"/>
      <c r="AW127" s="56"/>
      <c r="AX127" s="56"/>
      <c r="AY127" s="56"/>
      <c r="AZ127" s="56"/>
      <c r="BA127" s="50"/>
      <c r="BB127" s="57"/>
      <c r="BC127" s="57"/>
      <c r="BD127" s="57"/>
      <c r="BE127" s="57"/>
      <c r="BF127" s="57"/>
      <c r="BG127" s="57"/>
      <c r="BH127" s="57"/>
      <c r="BI127" s="57"/>
      <c r="BJ127" s="57"/>
      <c r="BK127" s="57"/>
      <c r="BL127" s="57"/>
      <c r="BM127" s="57"/>
      <c r="BN127" s="57"/>
      <c r="BO127" s="57"/>
      <c r="BP127" s="57"/>
      <c r="BQ127" s="57"/>
      <c r="BR127" s="58"/>
      <c r="BS127" s="59"/>
      <c r="BT127" s="59"/>
      <c r="BU127" s="58"/>
      <c r="BV127" s="47"/>
      <c r="BW127" s="47"/>
      <c r="BX127" s="57"/>
      <c r="BY127" s="58"/>
      <c r="BZ127" s="59"/>
      <c r="CA127" s="53"/>
    </row>
    <row r="128" ht="11.25" customHeight="1">
      <c r="A128" s="46"/>
      <c r="B128" s="46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8"/>
      <c r="N128" s="47"/>
      <c r="O128" s="47"/>
      <c r="P128" s="47"/>
      <c r="Q128" s="47"/>
      <c r="R128" s="47"/>
      <c r="S128" s="47"/>
      <c r="T128" s="47"/>
      <c r="U128" s="47"/>
      <c r="V128" s="47"/>
      <c r="W128" s="49"/>
      <c r="X128" s="47"/>
      <c r="Y128" s="47"/>
      <c r="Z128" s="47"/>
      <c r="AA128" s="47"/>
      <c r="AB128" s="47"/>
      <c r="AC128" s="47"/>
      <c r="AD128" s="47"/>
      <c r="AE128" s="47"/>
      <c r="AF128" s="47"/>
      <c r="AG128" s="49"/>
      <c r="AH128" s="47"/>
      <c r="AI128" s="47"/>
      <c r="AJ128" s="47"/>
      <c r="AK128" s="47"/>
      <c r="AL128" s="47"/>
      <c r="AM128" s="47"/>
      <c r="AN128" s="47"/>
      <c r="AO128" s="47"/>
      <c r="AP128" s="47"/>
      <c r="AQ128" s="49"/>
      <c r="AR128" s="47"/>
      <c r="AS128" s="47"/>
      <c r="AT128" s="47"/>
      <c r="AU128" s="47"/>
      <c r="AV128" s="47"/>
      <c r="AW128" s="47"/>
      <c r="AX128" s="47"/>
      <c r="AY128" s="47"/>
      <c r="AZ128" s="47"/>
      <c r="BA128" s="50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1"/>
      <c r="BP128" s="51"/>
      <c r="BQ128" s="51"/>
      <c r="BR128" s="52"/>
      <c r="BS128" s="53"/>
      <c r="BT128" s="53"/>
      <c r="BU128" s="52"/>
      <c r="BV128" s="47"/>
      <c r="BW128" s="47"/>
      <c r="BX128" s="51"/>
      <c r="BY128" s="52"/>
      <c r="BZ128" s="53"/>
      <c r="CA128" s="53"/>
    </row>
    <row r="129" ht="11.25" customHeight="1">
      <c r="A129" s="55"/>
      <c r="B129" s="55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48"/>
      <c r="N129" s="56"/>
      <c r="O129" s="56"/>
      <c r="P129" s="56"/>
      <c r="Q129" s="56"/>
      <c r="R129" s="56"/>
      <c r="S129" s="56"/>
      <c r="T129" s="56"/>
      <c r="U129" s="56"/>
      <c r="V129" s="56"/>
      <c r="W129" s="49"/>
      <c r="X129" s="56"/>
      <c r="Y129" s="56"/>
      <c r="Z129" s="56"/>
      <c r="AA129" s="56"/>
      <c r="AB129" s="56"/>
      <c r="AC129" s="56"/>
      <c r="AD129" s="56"/>
      <c r="AE129" s="56"/>
      <c r="AF129" s="56"/>
      <c r="AG129" s="49"/>
      <c r="AH129" s="56"/>
      <c r="AI129" s="56"/>
      <c r="AJ129" s="56"/>
      <c r="AK129" s="56"/>
      <c r="AL129" s="56"/>
      <c r="AM129" s="56"/>
      <c r="AN129" s="56"/>
      <c r="AO129" s="56"/>
      <c r="AP129" s="56"/>
      <c r="AQ129" s="49"/>
      <c r="AR129" s="56"/>
      <c r="AS129" s="56"/>
      <c r="AT129" s="56"/>
      <c r="AU129" s="56"/>
      <c r="AV129" s="56"/>
      <c r="AW129" s="56"/>
      <c r="AX129" s="56"/>
      <c r="AY129" s="56"/>
      <c r="AZ129" s="56"/>
      <c r="BA129" s="50"/>
      <c r="BB129" s="57"/>
      <c r="BC129" s="57"/>
      <c r="BD129" s="57"/>
      <c r="BE129" s="57"/>
      <c r="BF129" s="57"/>
      <c r="BG129" s="57"/>
      <c r="BH129" s="57"/>
      <c r="BI129" s="57"/>
      <c r="BJ129" s="57"/>
      <c r="BK129" s="57"/>
      <c r="BL129" s="57"/>
      <c r="BM129" s="57"/>
      <c r="BN129" s="57"/>
      <c r="BO129" s="57"/>
      <c r="BP129" s="57"/>
      <c r="BQ129" s="57"/>
      <c r="BR129" s="58"/>
      <c r="BS129" s="59"/>
      <c r="BT129" s="59"/>
      <c r="BU129" s="58"/>
      <c r="BV129" s="47"/>
      <c r="BW129" s="47"/>
      <c r="BX129" s="57"/>
      <c r="BY129" s="58"/>
      <c r="BZ129" s="59"/>
      <c r="CA129" s="53"/>
    </row>
    <row r="130" ht="11.25" customHeight="1">
      <c r="A130" s="61"/>
      <c r="B130" s="61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48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3"/>
      <c r="BB130" s="64"/>
      <c r="BC130" s="64"/>
      <c r="BD130" s="64"/>
      <c r="BE130" s="64"/>
      <c r="BF130" s="64"/>
      <c r="BG130" s="64"/>
      <c r="BH130" s="64"/>
      <c r="BI130" s="64"/>
      <c r="BJ130" s="64"/>
      <c r="BK130" s="64"/>
      <c r="BL130" s="64"/>
      <c r="BM130" s="64"/>
      <c r="BN130" s="64"/>
      <c r="BO130" s="64"/>
      <c r="BP130" s="64"/>
      <c r="BQ130" s="64"/>
      <c r="BR130" s="65"/>
      <c r="BS130" s="63"/>
      <c r="BT130" s="63"/>
      <c r="BU130" s="65"/>
      <c r="BV130" s="47"/>
      <c r="BW130" s="47"/>
      <c r="BX130" s="64"/>
      <c r="BY130" s="65"/>
      <c r="BZ130" s="63"/>
      <c r="CA130" s="53"/>
    </row>
    <row r="131" ht="11.25" customHeight="1">
      <c r="A131" s="55"/>
      <c r="B131" s="55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48"/>
      <c r="N131" s="56"/>
      <c r="O131" s="56"/>
      <c r="P131" s="56"/>
      <c r="Q131" s="56"/>
      <c r="R131" s="56"/>
      <c r="S131" s="56"/>
      <c r="T131" s="56"/>
      <c r="U131" s="56"/>
      <c r="V131" s="56"/>
      <c r="W131" s="49"/>
      <c r="X131" s="56"/>
      <c r="Y131" s="56"/>
      <c r="Z131" s="56"/>
      <c r="AA131" s="56"/>
      <c r="AB131" s="56"/>
      <c r="AC131" s="56"/>
      <c r="AD131" s="56"/>
      <c r="AE131" s="56"/>
      <c r="AF131" s="56"/>
      <c r="AG131" s="49"/>
      <c r="AH131" s="56"/>
      <c r="AI131" s="56"/>
      <c r="AJ131" s="56"/>
      <c r="AK131" s="56"/>
      <c r="AL131" s="56"/>
      <c r="AM131" s="56"/>
      <c r="AN131" s="56"/>
      <c r="AO131" s="56"/>
      <c r="AP131" s="56"/>
      <c r="AQ131" s="49"/>
      <c r="AR131" s="56"/>
      <c r="AS131" s="56"/>
      <c r="AT131" s="56"/>
      <c r="AU131" s="56"/>
      <c r="AV131" s="56"/>
      <c r="AW131" s="56"/>
      <c r="AX131" s="56"/>
      <c r="AY131" s="56"/>
      <c r="AZ131" s="56"/>
      <c r="BA131" s="50"/>
      <c r="BB131" s="57"/>
      <c r="BC131" s="57"/>
      <c r="BD131" s="57"/>
      <c r="BE131" s="57"/>
      <c r="BF131" s="57"/>
      <c r="BG131" s="57"/>
      <c r="BH131" s="57"/>
      <c r="BI131" s="57"/>
      <c r="BJ131" s="57"/>
      <c r="BK131" s="57"/>
      <c r="BL131" s="57"/>
      <c r="BM131" s="57"/>
      <c r="BN131" s="57"/>
      <c r="BO131" s="57"/>
      <c r="BP131" s="57"/>
      <c r="BQ131" s="57"/>
      <c r="BR131" s="58"/>
      <c r="BS131" s="59"/>
      <c r="BT131" s="59"/>
      <c r="BU131" s="58"/>
      <c r="BV131" s="47"/>
      <c r="BW131" s="47"/>
      <c r="BX131" s="57"/>
      <c r="BY131" s="58"/>
      <c r="BZ131" s="59"/>
      <c r="CA131" s="53"/>
    </row>
    <row r="132" ht="11.25" customHeight="1">
      <c r="A132" s="46"/>
      <c r="B132" s="46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8"/>
      <c r="N132" s="47"/>
      <c r="O132" s="47"/>
      <c r="P132" s="47"/>
      <c r="Q132" s="47"/>
      <c r="R132" s="47"/>
      <c r="S132" s="47"/>
      <c r="T132" s="47"/>
      <c r="U132" s="47"/>
      <c r="V132" s="47"/>
      <c r="W132" s="49"/>
      <c r="X132" s="47"/>
      <c r="Y132" s="47"/>
      <c r="Z132" s="47"/>
      <c r="AA132" s="47"/>
      <c r="AB132" s="47"/>
      <c r="AC132" s="47"/>
      <c r="AD132" s="47"/>
      <c r="AE132" s="47"/>
      <c r="AF132" s="47"/>
      <c r="AG132" s="49"/>
      <c r="AH132" s="47"/>
      <c r="AI132" s="47"/>
      <c r="AJ132" s="47"/>
      <c r="AK132" s="47"/>
      <c r="AL132" s="47"/>
      <c r="AM132" s="47"/>
      <c r="AN132" s="47"/>
      <c r="AO132" s="47"/>
      <c r="AP132" s="47"/>
      <c r="AQ132" s="49"/>
      <c r="AR132" s="47"/>
      <c r="AS132" s="47"/>
      <c r="AT132" s="47"/>
      <c r="AU132" s="47"/>
      <c r="AV132" s="47"/>
      <c r="AW132" s="47"/>
      <c r="AX132" s="47"/>
      <c r="AY132" s="47"/>
      <c r="AZ132" s="47"/>
      <c r="BA132" s="50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1"/>
      <c r="BP132" s="51"/>
      <c r="BQ132" s="51"/>
      <c r="BR132" s="52"/>
      <c r="BS132" s="53"/>
      <c r="BT132" s="53"/>
      <c r="BU132" s="52"/>
      <c r="BV132" s="47"/>
      <c r="BW132" s="47"/>
      <c r="BX132" s="51"/>
      <c r="BY132" s="52"/>
      <c r="BZ132" s="53"/>
      <c r="CA132" s="53"/>
    </row>
    <row r="133" ht="11.25" customHeight="1">
      <c r="A133" s="55"/>
      <c r="B133" s="55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48"/>
      <c r="N133" s="56"/>
      <c r="O133" s="56"/>
      <c r="P133" s="56"/>
      <c r="Q133" s="56"/>
      <c r="R133" s="56"/>
      <c r="S133" s="56"/>
      <c r="T133" s="56"/>
      <c r="U133" s="56"/>
      <c r="V133" s="56"/>
      <c r="W133" s="49"/>
      <c r="X133" s="56"/>
      <c r="Y133" s="56"/>
      <c r="Z133" s="56"/>
      <c r="AA133" s="56"/>
      <c r="AB133" s="56"/>
      <c r="AC133" s="56"/>
      <c r="AD133" s="56"/>
      <c r="AE133" s="56"/>
      <c r="AF133" s="56"/>
      <c r="AG133" s="49"/>
      <c r="AH133" s="56"/>
      <c r="AI133" s="56"/>
      <c r="AJ133" s="56"/>
      <c r="AK133" s="56"/>
      <c r="AL133" s="56"/>
      <c r="AM133" s="56"/>
      <c r="AN133" s="56"/>
      <c r="AO133" s="56"/>
      <c r="AP133" s="56"/>
      <c r="AQ133" s="49"/>
      <c r="AR133" s="56"/>
      <c r="AS133" s="56"/>
      <c r="AT133" s="56"/>
      <c r="AU133" s="56"/>
      <c r="AV133" s="56"/>
      <c r="AW133" s="56"/>
      <c r="AX133" s="56"/>
      <c r="AY133" s="56"/>
      <c r="AZ133" s="56"/>
      <c r="BA133" s="50"/>
      <c r="BB133" s="57"/>
      <c r="BC133" s="57"/>
      <c r="BD133" s="57"/>
      <c r="BE133" s="57"/>
      <c r="BF133" s="57"/>
      <c r="BG133" s="57"/>
      <c r="BH133" s="57"/>
      <c r="BI133" s="57"/>
      <c r="BJ133" s="57"/>
      <c r="BK133" s="57"/>
      <c r="BL133" s="57"/>
      <c r="BM133" s="57"/>
      <c r="BN133" s="57"/>
      <c r="BO133" s="57"/>
      <c r="BP133" s="57"/>
      <c r="BQ133" s="57"/>
      <c r="BR133" s="58"/>
      <c r="BS133" s="59"/>
      <c r="BT133" s="59"/>
      <c r="BU133" s="58"/>
      <c r="BV133" s="47"/>
      <c r="BW133" s="47"/>
      <c r="BX133" s="57"/>
      <c r="BY133" s="58"/>
      <c r="BZ133" s="59"/>
      <c r="CA133" s="53"/>
    </row>
    <row r="134" ht="11.25" customHeight="1">
      <c r="A134" s="46"/>
      <c r="B134" s="46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8"/>
      <c r="N134" s="47"/>
      <c r="O134" s="47"/>
      <c r="P134" s="47"/>
      <c r="Q134" s="47"/>
      <c r="R134" s="47"/>
      <c r="S134" s="47"/>
      <c r="T134" s="47"/>
      <c r="U134" s="47"/>
      <c r="V134" s="47"/>
      <c r="W134" s="49"/>
      <c r="X134" s="47"/>
      <c r="Y134" s="47"/>
      <c r="Z134" s="47"/>
      <c r="AA134" s="47"/>
      <c r="AB134" s="47"/>
      <c r="AC134" s="47"/>
      <c r="AD134" s="47"/>
      <c r="AE134" s="47"/>
      <c r="AF134" s="47"/>
      <c r="AG134" s="49"/>
      <c r="AH134" s="47"/>
      <c r="AI134" s="47"/>
      <c r="AJ134" s="47"/>
      <c r="AK134" s="47"/>
      <c r="AL134" s="47"/>
      <c r="AM134" s="47"/>
      <c r="AN134" s="47"/>
      <c r="AO134" s="47"/>
      <c r="AP134" s="47"/>
      <c r="AQ134" s="49"/>
      <c r="AR134" s="47"/>
      <c r="AS134" s="47"/>
      <c r="AT134" s="47"/>
      <c r="AU134" s="47"/>
      <c r="AV134" s="47"/>
      <c r="AW134" s="47"/>
      <c r="AX134" s="47"/>
      <c r="AY134" s="47"/>
      <c r="AZ134" s="47"/>
      <c r="BA134" s="50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1"/>
      <c r="BP134" s="51"/>
      <c r="BQ134" s="51"/>
      <c r="BR134" s="52"/>
      <c r="BS134" s="53"/>
      <c r="BT134" s="53"/>
      <c r="BU134" s="52"/>
      <c r="BV134" s="47"/>
      <c r="BW134" s="47"/>
      <c r="BX134" s="51"/>
      <c r="BY134" s="52"/>
      <c r="BZ134" s="53"/>
      <c r="CA134" s="53"/>
    </row>
    <row r="135" ht="11.25" customHeight="1">
      <c r="A135" s="55"/>
      <c r="B135" s="55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48"/>
      <c r="N135" s="56"/>
      <c r="O135" s="56"/>
      <c r="P135" s="56"/>
      <c r="Q135" s="56"/>
      <c r="R135" s="56"/>
      <c r="S135" s="56"/>
      <c r="T135" s="56"/>
      <c r="U135" s="56"/>
      <c r="V135" s="56"/>
      <c r="W135" s="49"/>
      <c r="X135" s="56"/>
      <c r="Y135" s="56"/>
      <c r="Z135" s="56"/>
      <c r="AA135" s="56"/>
      <c r="AB135" s="56"/>
      <c r="AC135" s="56"/>
      <c r="AD135" s="56"/>
      <c r="AE135" s="56"/>
      <c r="AF135" s="56"/>
      <c r="AG135" s="49"/>
      <c r="AH135" s="56"/>
      <c r="AI135" s="56"/>
      <c r="AJ135" s="56"/>
      <c r="AK135" s="56"/>
      <c r="AL135" s="56"/>
      <c r="AM135" s="56"/>
      <c r="AN135" s="56"/>
      <c r="AO135" s="56"/>
      <c r="AP135" s="56"/>
      <c r="AQ135" s="49"/>
      <c r="AR135" s="56"/>
      <c r="AS135" s="56"/>
      <c r="AT135" s="56"/>
      <c r="AU135" s="56"/>
      <c r="AV135" s="56"/>
      <c r="AW135" s="56"/>
      <c r="AX135" s="56"/>
      <c r="AY135" s="56"/>
      <c r="AZ135" s="56"/>
      <c r="BA135" s="50"/>
      <c r="BB135" s="57"/>
      <c r="BC135" s="57"/>
      <c r="BD135" s="57"/>
      <c r="BE135" s="57"/>
      <c r="BF135" s="57"/>
      <c r="BG135" s="57"/>
      <c r="BH135" s="57"/>
      <c r="BI135" s="57"/>
      <c r="BJ135" s="57"/>
      <c r="BK135" s="57"/>
      <c r="BL135" s="57"/>
      <c r="BM135" s="57"/>
      <c r="BN135" s="57"/>
      <c r="BO135" s="57"/>
      <c r="BP135" s="57"/>
      <c r="BQ135" s="57"/>
      <c r="BR135" s="58"/>
      <c r="BS135" s="59"/>
      <c r="BT135" s="59"/>
      <c r="BU135" s="58"/>
      <c r="BV135" s="47"/>
      <c r="BW135" s="47"/>
      <c r="BX135" s="57"/>
      <c r="BY135" s="58"/>
      <c r="BZ135" s="59"/>
      <c r="CA135" s="53"/>
    </row>
    <row r="136" ht="11.25" customHeight="1">
      <c r="A136" s="46"/>
      <c r="B136" s="46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8"/>
      <c r="N136" s="47"/>
      <c r="O136" s="47"/>
      <c r="P136" s="47"/>
      <c r="Q136" s="47"/>
      <c r="R136" s="47"/>
      <c r="S136" s="47"/>
      <c r="T136" s="47"/>
      <c r="U136" s="47"/>
      <c r="V136" s="47"/>
      <c r="W136" s="49"/>
      <c r="X136" s="47"/>
      <c r="Y136" s="47"/>
      <c r="Z136" s="47"/>
      <c r="AA136" s="47"/>
      <c r="AB136" s="47"/>
      <c r="AC136" s="47"/>
      <c r="AD136" s="47"/>
      <c r="AE136" s="47"/>
      <c r="AF136" s="47"/>
      <c r="AG136" s="49"/>
      <c r="AH136" s="47"/>
      <c r="AI136" s="47"/>
      <c r="AJ136" s="47"/>
      <c r="AK136" s="47"/>
      <c r="AL136" s="47"/>
      <c r="AM136" s="47"/>
      <c r="AN136" s="47"/>
      <c r="AO136" s="47"/>
      <c r="AP136" s="47"/>
      <c r="AQ136" s="49"/>
      <c r="AR136" s="47"/>
      <c r="AS136" s="47"/>
      <c r="AT136" s="47"/>
      <c r="AU136" s="47"/>
      <c r="AV136" s="47"/>
      <c r="AW136" s="47"/>
      <c r="AX136" s="47"/>
      <c r="AY136" s="47"/>
      <c r="AZ136" s="47"/>
      <c r="BA136" s="50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2"/>
      <c r="BS136" s="53"/>
      <c r="BT136" s="53"/>
      <c r="BU136" s="52"/>
      <c r="BV136" s="47"/>
      <c r="BW136" s="47"/>
      <c r="BX136" s="51"/>
      <c r="BY136" s="52"/>
      <c r="BZ136" s="53"/>
      <c r="CA136" s="53"/>
    </row>
    <row r="137" ht="11.25" customHeight="1">
      <c r="A137" s="55"/>
      <c r="B137" s="55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48"/>
      <c r="N137" s="56"/>
      <c r="O137" s="56"/>
      <c r="P137" s="56"/>
      <c r="Q137" s="56"/>
      <c r="R137" s="56"/>
      <c r="S137" s="56"/>
      <c r="T137" s="56"/>
      <c r="U137" s="56"/>
      <c r="V137" s="56"/>
      <c r="W137" s="49"/>
      <c r="X137" s="56"/>
      <c r="Y137" s="56"/>
      <c r="Z137" s="56"/>
      <c r="AA137" s="56"/>
      <c r="AB137" s="56"/>
      <c r="AC137" s="56"/>
      <c r="AD137" s="56"/>
      <c r="AE137" s="56"/>
      <c r="AF137" s="56"/>
      <c r="AG137" s="49"/>
      <c r="AH137" s="56"/>
      <c r="AI137" s="56"/>
      <c r="AJ137" s="56"/>
      <c r="AK137" s="56"/>
      <c r="AL137" s="56"/>
      <c r="AM137" s="56"/>
      <c r="AN137" s="56"/>
      <c r="AO137" s="56"/>
      <c r="AP137" s="56"/>
      <c r="AQ137" s="49"/>
      <c r="AR137" s="56"/>
      <c r="AS137" s="56"/>
      <c r="AT137" s="56"/>
      <c r="AU137" s="56"/>
      <c r="AV137" s="56"/>
      <c r="AW137" s="56"/>
      <c r="AX137" s="56"/>
      <c r="AY137" s="56"/>
      <c r="AZ137" s="56"/>
      <c r="BA137" s="50"/>
      <c r="BB137" s="57"/>
      <c r="BC137" s="57"/>
      <c r="BD137" s="57"/>
      <c r="BE137" s="57"/>
      <c r="BF137" s="57"/>
      <c r="BG137" s="57"/>
      <c r="BH137" s="57"/>
      <c r="BI137" s="57"/>
      <c r="BJ137" s="57"/>
      <c r="BK137" s="57"/>
      <c r="BL137" s="57"/>
      <c r="BM137" s="57"/>
      <c r="BN137" s="57"/>
      <c r="BO137" s="57"/>
      <c r="BP137" s="57"/>
      <c r="BQ137" s="57"/>
      <c r="BR137" s="58"/>
      <c r="BS137" s="59"/>
      <c r="BT137" s="59"/>
      <c r="BU137" s="58"/>
      <c r="BV137" s="47"/>
      <c r="BW137" s="47"/>
      <c r="BX137" s="57"/>
      <c r="BY137" s="58"/>
      <c r="BZ137" s="59"/>
      <c r="CA137" s="53"/>
    </row>
    <row r="138" ht="11.25" customHeight="1">
      <c r="A138" s="46"/>
      <c r="B138" s="46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8"/>
      <c r="N138" s="47"/>
      <c r="O138" s="47"/>
      <c r="P138" s="47"/>
      <c r="Q138" s="47"/>
      <c r="R138" s="47"/>
      <c r="S138" s="47"/>
      <c r="T138" s="47"/>
      <c r="U138" s="47"/>
      <c r="V138" s="47"/>
      <c r="W138" s="49"/>
      <c r="X138" s="47"/>
      <c r="Y138" s="47"/>
      <c r="Z138" s="47"/>
      <c r="AA138" s="47"/>
      <c r="AB138" s="47"/>
      <c r="AC138" s="47"/>
      <c r="AD138" s="47"/>
      <c r="AE138" s="47"/>
      <c r="AF138" s="47"/>
      <c r="AG138" s="49"/>
      <c r="AH138" s="47"/>
      <c r="AI138" s="47"/>
      <c r="AJ138" s="47"/>
      <c r="AK138" s="47"/>
      <c r="AL138" s="47"/>
      <c r="AM138" s="47"/>
      <c r="AN138" s="47"/>
      <c r="AO138" s="47"/>
      <c r="AP138" s="47"/>
      <c r="AQ138" s="49"/>
      <c r="AR138" s="47"/>
      <c r="AS138" s="47"/>
      <c r="AT138" s="47"/>
      <c r="AU138" s="47"/>
      <c r="AV138" s="47"/>
      <c r="AW138" s="47"/>
      <c r="AX138" s="47"/>
      <c r="AY138" s="47"/>
      <c r="AZ138" s="47"/>
      <c r="BA138" s="50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1"/>
      <c r="BP138" s="51"/>
      <c r="BQ138" s="51"/>
      <c r="BR138" s="52"/>
      <c r="BS138" s="53"/>
      <c r="BT138" s="53"/>
      <c r="BU138" s="52"/>
      <c r="BV138" s="47"/>
      <c r="BW138" s="47"/>
      <c r="BX138" s="51"/>
      <c r="BY138" s="52"/>
      <c r="BZ138" s="53"/>
      <c r="CA138" s="53"/>
    </row>
    <row r="139" ht="11.25" customHeight="1">
      <c r="A139" s="55"/>
      <c r="B139" s="55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48"/>
      <c r="N139" s="56"/>
      <c r="O139" s="56"/>
      <c r="P139" s="56"/>
      <c r="Q139" s="56"/>
      <c r="R139" s="56"/>
      <c r="S139" s="56"/>
      <c r="T139" s="56"/>
      <c r="U139" s="56"/>
      <c r="V139" s="56"/>
      <c r="W139" s="49"/>
      <c r="X139" s="56"/>
      <c r="Y139" s="56"/>
      <c r="Z139" s="56"/>
      <c r="AA139" s="56"/>
      <c r="AB139" s="56"/>
      <c r="AC139" s="56"/>
      <c r="AD139" s="56"/>
      <c r="AE139" s="56"/>
      <c r="AF139" s="56"/>
      <c r="AG139" s="49"/>
      <c r="AH139" s="56"/>
      <c r="AI139" s="56"/>
      <c r="AJ139" s="56"/>
      <c r="AK139" s="56"/>
      <c r="AL139" s="56"/>
      <c r="AM139" s="56"/>
      <c r="AN139" s="56"/>
      <c r="AO139" s="56"/>
      <c r="AP139" s="56"/>
      <c r="AQ139" s="49"/>
      <c r="AR139" s="56"/>
      <c r="AS139" s="56"/>
      <c r="AT139" s="56"/>
      <c r="AU139" s="56"/>
      <c r="AV139" s="56"/>
      <c r="AW139" s="56"/>
      <c r="AX139" s="56"/>
      <c r="AY139" s="56"/>
      <c r="AZ139" s="56"/>
      <c r="BA139" s="50"/>
      <c r="BB139" s="57"/>
      <c r="BC139" s="57"/>
      <c r="BD139" s="57"/>
      <c r="BE139" s="57"/>
      <c r="BF139" s="57"/>
      <c r="BG139" s="57"/>
      <c r="BH139" s="57"/>
      <c r="BI139" s="57"/>
      <c r="BJ139" s="57"/>
      <c r="BK139" s="57"/>
      <c r="BL139" s="57"/>
      <c r="BM139" s="57"/>
      <c r="BN139" s="57"/>
      <c r="BO139" s="57"/>
      <c r="BP139" s="57"/>
      <c r="BQ139" s="57"/>
      <c r="BR139" s="58"/>
      <c r="BS139" s="59"/>
      <c r="BT139" s="59"/>
      <c r="BU139" s="58"/>
      <c r="BV139" s="47"/>
      <c r="BW139" s="47"/>
      <c r="BX139" s="57"/>
      <c r="BY139" s="58"/>
      <c r="BZ139" s="59"/>
      <c r="CA139" s="53"/>
    </row>
    <row r="140" ht="11.25" customHeight="1">
      <c r="A140" s="46"/>
      <c r="B140" s="46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8"/>
      <c r="N140" s="47"/>
      <c r="O140" s="47"/>
      <c r="P140" s="47"/>
      <c r="Q140" s="47"/>
      <c r="R140" s="47"/>
      <c r="S140" s="47"/>
      <c r="T140" s="47"/>
      <c r="U140" s="47"/>
      <c r="V140" s="47"/>
      <c r="W140" s="49"/>
      <c r="X140" s="47"/>
      <c r="Y140" s="47"/>
      <c r="Z140" s="47"/>
      <c r="AA140" s="47"/>
      <c r="AB140" s="47"/>
      <c r="AC140" s="47"/>
      <c r="AD140" s="47"/>
      <c r="AE140" s="47"/>
      <c r="AF140" s="47"/>
      <c r="AG140" s="49"/>
      <c r="AH140" s="47"/>
      <c r="AI140" s="47"/>
      <c r="AJ140" s="47"/>
      <c r="AK140" s="47"/>
      <c r="AL140" s="47"/>
      <c r="AM140" s="47"/>
      <c r="AN140" s="47"/>
      <c r="AO140" s="47"/>
      <c r="AP140" s="47"/>
      <c r="AQ140" s="49"/>
      <c r="AR140" s="47"/>
      <c r="AS140" s="47"/>
      <c r="AT140" s="47"/>
      <c r="AU140" s="47"/>
      <c r="AV140" s="47"/>
      <c r="AW140" s="47"/>
      <c r="AX140" s="47"/>
      <c r="AY140" s="47"/>
      <c r="AZ140" s="47"/>
      <c r="BA140" s="50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2"/>
      <c r="BS140" s="53"/>
      <c r="BT140" s="53"/>
      <c r="BU140" s="52"/>
      <c r="BV140" s="47"/>
      <c r="BW140" s="47"/>
      <c r="BX140" s="51"/>
      <c r="BY140" s="52"/>
      <c r="BZ140" s="53"/>
      <c r="CA140" s="53"/>
    </row>
    <row r="141" ht="11.25" customHeight="1">
      <c r="A141" s="55"/>
      <c r="B141" s="55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48"/>
      <c r="N141" s="56"/>
      <c r="O141" s="56"/>
      <c r="P141" s="56"/>
      <c r="Q141" s="56"/>
      <c r="R141" s="56"/>
      <c r="S141" s="56"/>
      <c r="T141" s="56"/>
      <c r="U141" s="56"/>
      <c r="V141" s="56"/>
      <c r="W141" s="49"/>
      <c r="X141" s="56"/>
      <c r="Y141" s="56"/>
      <c r="Z141" s="56"/>
      <c r="AA141" s="56"/>
      <c r="AB141" s="56"/>
      <c r="AC141" s="56"/>
      <c r="AD141" s="56"/>
      <c r="AE141" s="56"/>
      <c r="AF141" s="56"/>
      <c r="AG141" s="49"/>
      <c r="AH141" s="56"/>
      <c r="AI141" s="56"/>
      <c r="AJ141" s="56"/>
      <c r="AK141" s="56"/>
      <c r="AL141" s="56"/>
      <c r="AM141" s="56"/>
      <c r="AN141" s="56"/>
      <c r="AO141" s="56"/>
      <c r="AP141" s="56"/>
      <c r="AQ141" s="49"/>
      <c r="AR141" s="56"/>
      <c r="AS141" s="56"/>
      <c r="AT141" s="56"/>
      <c r="AU141" s="56"/>
      <c r="AV141" s="56"/>
      <c r="AW141" s="56"/>
      <c r="AX141" s="56"/>
      <c r="AY141" s="56"/>
      <c r="AZ141" s="56"/>
      <c r="BA141" s="50"/>
      <c r="BB141" s="57"/>
      <c r="BC141" s="57"/>
      <c r="BD141" s="57"/>
      <c r="BE141" s="57"/>
      <c r="BF141" s="57"/>
      <c r="BG141" s="57"/>
      <c r="BH141" s="57"/>
      <c r="BI141" s="57"/>
      <c r="BJ141" s="57"/>
      <c r="BK141" s="57"/>
      <c r="BL141" s="57"/>
      <c r="BM141" s="57"/>
      <c r="BN141" s="57"/>
      <c r="BO141" s="57"/>
      <c r="BP141" s="57"/>
      <c r="BQ141" s="57"/>
      <c r="BR141" s="58"/>
      <c r="BS141" s="59"/>
      <c r="BT141" s="59"/>
      <c r="BU141" s="58"/>
      <c r="BV141" s="47"/>
      <c r="BW141" s="47"/>
      <c r="BX141" s="57"/>
      <c r="BY141" s="58"/>
      <c r="BZ141" s="59"/>
      <c r="CA141" s="53"/>
    </row>
    <row r="142" ht="11.25" customHeight="1">
      <c r="A142" s="46"/>
      <c r="B142" s="46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8"/>
      <c r="N142" s="47"/>
      <c r="O142" s="47"/>
      <c r="P142" s="47"/>
      <c r="Q142" s="47"/>
      <c r="R142" s="47"/>
      <c r="S142" s="47"/>
      <c r="T142" s="47"/>
      <c r="U142" s="47"/>
      <c r="V142" s="47"/>
      <c r="W142" s="49"/>
      <c r="X142" s="47"/>
      <c r="Y142" s="47"/>
      <c r="Z142" s="47"/>
      <c r="AA142" s="47"/>
      <c r="AB142" s="47"/>
      <c r="AC142" s="47"/>
      <c r="AD142" s="47"/>
      <c r="AE142" s="47"/>
      <c r="AF142" s="47"/>
      <c r="AG142" s="49"/>
      <c r="AH142" s="47"/>
      <c r="AI142" s="47"/>
      <c r="AJ142" s="47"/>
      <c r="AK142" s="47"/>
      <c r="AL142" s="47"/>
      <c r="AM142" s="47"/>
      <c r="AN142" s="47"/>
      <c r="AO142" s="47"/>
      <c r="AP142" s="47"/>
      <c r="AQ142" s="49"/>
      <c r="AR142" s="47"/>
      <c r="AS142" s="47"/>
      <c r="AT142" s="47"/>
      <c r="AU142" s="47"/>
      <c r="AV142" s="47"/>
      <c r="AW142" s="47"/>
      <c r="AX142" s="47"/>
      <c r="AY142" s="47"/>
      <c r="AZ142" s="47"/>
      <c r="BA142" s="50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1"/>
      <c r="BP142" s="51"/>
      <c r="BQ142" s="51"/>
      <c r="BR142" s="52"/>
      <c r="BS142" s="53"/>
      <c r="BT142" s="53"/>
      <c r="BU142" s="52"/>
      <c r="BV142" s="47"/>
      <c r="BW142" s="47"/>
      <c r="BX142" s="51"/>
      <c r="BY142" s="52"/>
      <c r="BZ142" s="53"/>
      <c r="CA142" s="53"/>
    </row>
    <row r="143" ht="11.25" customHeight="1">
      <c r="A143" s="55"/>
      <c r="B143" s="55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48"/>
      <c r="N143" s="56"/>
      <c r="O143" s="56"/>
      <c r="P143" s="56"/>
      <c r="Q143" s="56"/>
      <c r="R143" s="56"/>
      <c r="S143" s="56"/>
      <c r="T143" s="56"/>
      <c r="U143" s="56"/>
      <c r="V143" s="56"/>
      <c r="W143" s="49"/>
      <c r="X143" s="56"/>
      <c r="Y143" s="56"/>
      <c r="Z143" s="56"/>
      <c r="AA143" s="56"/>
      <c r="AB143" s="56"/>
      <c r="AC143" s="56"/>
      <c r="AD143" s="56"/>
      <c r="AE143" s="56"/>
      <c r="AF143" s="56"/>
      <c r="AG143" s="49"/>
      <c r="AH143" s="56"/>
      <c r="AI143" s="56"/>
      <c r="AJ143" s="56"/>
      <c r="AK143" s="56"/>
      <c r="AL143" s="56"/>
      <c r="AM143" s="56"/>
      <c r="AN143" s="56"/>
      <c r="AO143" s="56"/>
      <c r="AP143" s="56"/>
      <c r="AQ143" s="49"/>
      <c r="AR143" s="56"/>
      <c r="AS143" s="56"/>
      <c r="AT143" s="56"/>
      <c r="AU143" s="56"/>
      <c r="AV143" s="56"/>
      <c r="AW143" s="56"/>
      <c r="AX143" s="56"/>
      <c r="AY143" s="56"/>
      <c r="AZ143" s="56"/>
      <c r="BA143" s="50"/>
      <c r="BB143" s="57"/>
      <c r="BC143" s="57"/>
      <c r="BD143" s="57"/>
      <c r="BE143" s="57"/>
      <c r="BF143" s="57"/>
      <c r="BG143" s="57"/>
      <c r="BH143" s="57"/>
      <c r="BI143" s="57"/>
      <c r="BJ143" s="57"/>
      <c r="BK143" s="57"/>
      <c r="BL143" s="57"/>
      <c r="BM143" s="57"/>
      <c r="BN143" s="57"/>
      <c r="BO143" s="57"/>
      <c r="BP143" s="57"/>
      <c r="BQ143" s="57"/>
      <c r="BR143" s="58"/>
      <c r="BS143" s="59"/>
      <c r="BT143" s="59"/>
      <c r="BU143" s="58"/>
      <c r="BV143" s="47"/>
      <c r="BW143" s="47"/>
      <c r="BX143" s="57"/>
      <c r="BY143" s="58"/>
      <c r="BZ143" s="59"/>
      <c r="CA143" s="53"/>
    </row>
    <row r="144" ht="11.25" customHeight="1">
      <c r="A144" s="46"/>
      <c r="B144" s="46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8"/>
      <c r="N144" s="47"/>
      <c r="O144" s="47"/>
      <c r="P144" s="47"/>
      <c r="Q144" s="47"/>
      <c r="R144" s="47"/>
      <c r="S144" s="47"/>
      <c r="T144" s="47"/>
      <c r="U144" s="47"/>
      <c r="V144" s="47"/>
      <c r="W144" s="49"/>
      <c r="X144" s="47"/>
      <c r="Y144" s="47"/>
      <c r="Z144" s="47"/>
      <c r="AA144" s="47"/>
      <c r="AB144" s="47"/>
      <c r="AC144" s="47"/>
      <c r="AD144" s="47"/>
      <c r="AE144" s="47"/>
      <c r="AF144" s="47"/>
      <c r="AG144" s="49"/>
      <c r="AH144" s="47"/>
      <c r="AI144" s="47"/>
      <c r="AJ144" s="47"/>
      <c r="AK144" s="47"/>
      <c r="AL144" s="47"/>
      <c r="AM144" s="47"/>
      <c r="AN144" s="47"/>
      <c r="AO144" s="47"/>
      <c r="AP144" s="47"/>
      <c r="AQ144" s="49"/>
      <c r="AR144" s="47"/>
      <c r="AS144" s="47"/>
      <c r="AT144" s="47"/>
      <c r="AU144" s="47"/>
      <c r="AV144" s="47"/>
      <c r="AW144" s="47"/>
      <c r="AX144" s="47"/>
      <c r="AY144" s="47"/>
      <c r="AZ144" s="47"/>
      <c r="BA144" s="50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1"/>
      <c r="BP144" s="51"/>
      <c r="BQ144" s="51"/>
      <c r="BR144" s="52"/>
      <c r="BS144" s="53"/>
      <c r="BT144" s="53"/>
      <c r="BU144" s="52"/>
      <c r="BV144" s="47"/>
      <c r="BW144" s="47"/>
      <c r="BX144" s="51"/>
      <c r="BY144" s="52"/>
      <c r="BZ144" s="53"/>
      <c r="CA144" s="53"/>
    </row>
    <row r="145" ht="11.25" customHeight="1">
      <c r="A145" s="55"/>
      <c r="B145" s="55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48"/>
      <c r="N145" s="56"/>
      <c r="O145" s="56"/>
      <c r="P145" s="56"/>
      <c r="Q145" s="56"/>
      <c r="R145" s="56"/>
      <c r="S145" s="56"/>
      <c r="T145" s="56"/>
      <c r="U145" s="56"/>
      <c r="V145" s="56"/>
      <c r="W145" s="49"/>
      <c r="X145" s="56"/>
      <c r="Y145" s="56"/>
      <c r="Z145" s="56"/>
      <c r="AA145" s="56"/>
      <c r="AB145" s="56"/>
      <c r="AC145" s="56"/>
      <c r="AD145" s="56"/>
      <c r="AE145" s="56"/>
      <c r="AF145" s="56"/>
      <c r="AG145" s="49"/>
      <c r="AH145" s="56"/>
      <c r="AI145" s="56"/>
      <c r="AJ145" s="56"/>
      <c r="AK145" s="56"/>
      <c r="AL145" s="56"/>
      <c r="AM145" s="56"/>
      <c r="AN145" s="56"/>
      <c r="AO145" s="56"/>
      <c r="AP145" s="56"/>
      <c r="AQ145" s="49"/>
      <c r="AR145" s="56"/>
      <c r="AS145" s="56"/>
      <c r="AT145" s="56"/>
      <c r="AU145" s="56"/>
      <c r="AV145" s="56"/>
      <c r="AW145" s="56"/>
      <c r="AX145" s="56"/>
      <c r="AY145" s="56"/>
      <c r="AZ145" s="56"/>
      <c r="BA145" s="50"/>
      <c r="BB145" s="57"/>
      <c r="BC145" s="57"/>
      <c r="BD145" s="57"/>
      <c r="BE145" s="57"/>
      <c r="BF145" s="57"/>
      <c r="BG145" s="57"/>
      <c r="BH145" s="57"/>
      <c r="BI145" s="57"/>
      <c r="BJ145" s="57"/>
      <c r="BK145" s="57"/>
      <c r="BL145" s="57"/>
      <c r="BM145" s="57"/>
      <c r="BN145" s="57"/>
      <c r="BO145" s="57"/>
      <c r="BP145" s="57"/>
      <c r="BQ145" s="57"/>
      <c r="BR145" s="59"/>
      <c r="BS145" s="59"/>
      <c r="BT145" s="59"/>
      <c r="BU145" s="59"/>
      <c r="BV145" s="47"/>
      <c r="BW145" s="47"/>
      <c r="BX145" s="57"/>
      <c r="BY145" s="59"/>
      <c r="BZ145" s="59"/>
      <c r="CA145" s="53"/>
    </row>
    <row r="146" ht="11.25" customHeight="1">
      <c r="A146" s="46"/>
      <c r="B146" s="46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8"/>
      <c r="N146" s="47"/>
      <c r="O146" s="47"/>
      <c r="P146" s="47"/>
      <c r="Q146" s="47"/>
      <c r="R146" s="47"/>
      <c r="S146" s="47"/>
      <c r="T146" s="47"/>
      <c r="U146" s="47"/>
      <c r="V146" s="47"/>
      <c r="W146" s="49"/>
      <c r="X146" s="47"/>
      <c r="Y146" s="47"/>
      <c r="Z146" s="47"/>
      <c r="AA146" s="47"/>
      <c r="AB146" s="47"/>
      <c r="AC146" s="47"/>
      <c r="AD146" s="47"/>
      <c r="AE146" s="47"/>
      <c r="AF146" s="47"/>
      <c r="AG146" s="49"/>
      <c r="AH146" s="47"/>
      <c r="AI146" s="47"/>
      <c r="AJ146" s="47"/>
      <c r="AK146" s="47"/>
      <c r="AL146" s="47"/>
      <c r="AM146" s="47"/>
      <c r="AN146" s="47"/>
      <c r="AO146" s="47"/>
      <c r="AP146" s="47"/>
      <c r="AQ146" s="49"/>
      <c r="AR146" s="47"/>
      <c r="AS146" s="47"/>
      <c r="AT146" s="47"/>
      <c r="AU146" s="47"/>
      <c r="AV146" s="47"/>
      <c r="AW146" s="47"/>
      <c r="AX146" s="47"/>
      <c r="AY146" s="47"/>
      <c r="AZ146" s="47"/>
      <c r="BA146" s="50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1"/>
      <c r="BP146" s="51"/>
      <c r="BQ146" s="51"/>
      <c r="BR146" s="52"/>
      <c r="BS146" s="53"/>
      <c r="BT146" s="53"/>
      <c r="BU146" s="52"/>
      <c r="BV146" s="47"/>
      <c r="BW146" s="47"/>
      <c r="BX146" s="51"/>
      <c r="BY146" s="52"/>
      <c r="BZ146" s="53"/>
      <c r="CA146" s="53"/>
    </row>
    <row r="147" ht="11.25" customHeight="1">
      <c r="A147" s="61"/>
      <c r="B147" s="61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48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  <c r="BA147" s="63"/>
      <c r="BB147" s="64"/>
      <c r="BC147" s="64"/>
      <c r="BD147" s="64"/>
      <c r="BE147" s="64"/>
      <c r="BF147" s="64"/>
      <c r="BG147" s="64"/>
      <c r="BH147" s="64"/>
      <c r="BI147" s="64"/>
      <c r="BJ147" s="64"/>
      <c r="BK147" s="64"/>
      <c r="BL147" s="64"/>
      <c r="BM147" s="64"/>
      <c r="BN147" s="64"/>
      <c r="BO147" s="64"/>
      <c r="BP147" s="64"/>
      <c r="BQ147" s="64"/>
      <c r="BR147" s="65"/>
      <c r="BS147" s="63"/>
      <c r="BT147" s="63"/>
      <c r="BU147" s="65"/>
      <c r="BV147" s="47"/>
      <c r="BW147" s="47"/>
      <c r="BX147" s="64"/>
      <c r="BY147" s="65"/>
      <c r="BZ147" s="63"/>
      <c r="CA147" s="53"/>
    </row>
    <row r="148" ht="11.25" customHeight="1">
      <c r="A148" s="61"/>
      <c r="B148" s="61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48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  <c r="BA148" s="63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65"/>
      <c r="BS148" s="63"/>
      <c r="BT148" s="63"/>
      <c r="BU148" s="65"/>
      <c r="BV148" s="47"/>
      <c r="BW148" s="47"/>
      <c r="BX148" s="64"/>
      <c r="BY148" s="65"/>
      <c r="BZ148" s="63"/>
      <c r="CA148" s="53"/>
    </row>
    <row r="149" ht="11.25" customHeight="1">
      <c r="A149" s="61"/>
      <c r="B149" s="61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48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  <c r="BA149" s="63"/>
      <c r="BB149" s="64"/>
      <c r="BC149" s="64"/>
      <c r="BD149" s="64"/>
      <c r="BE149" s="64"/>
      <c r="BF149" s="64"/>
      <c r="BG149" s="64"/>
      <c r="BH149" s="64"/>
      <c r="BI149" s="64"/>
      <c r="BJ149" s="64"/>
      <c r="BK149" s="64"/>
      <c r="BL149" s="64"/>
      <c r="BM149" s="64"/>
      <c r="BN149" s="64"/>
      <c r="BO149" s="64"/>
      <c r="BP149" s="64"/>
      <c r="BQ149" s="64"/>
      <c r="BR149" s="65"/>
      <c r="BS149" s="63"/>
      <c r="BT149" s="63"/>
      <c r="BU149" s="65"/>
      <c r="BV149" s="47"/>
      <c r="BW149" s="47"/>
      <c r="BX149" s="64"/>
      <c r="BY149" s="65"/>
      <c r="BZ149" s="63"/>
      <c r="CA149" s="53"/>
    </row>
    <row r="150" ht="11.25" customHeight="1">
      <c r="A150" s="61"/>
      <c r="B150" s="61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48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  <c r="BA150" s="63"/>
      <c r="BB150" s="64"/>
      <c r="BC150" s="64"/>
      <c r="BD150" s="64"/>
      <c r="BE150" s="64"/>
      <c r="BF150" s="64"/>
      <c r="BG150" s="64"/>
      <c r="BH150" s="64"/>
      <c r="BI150" s="64"/>
      <c r="BJ150" s="64"/>
      <c r="BK150" s="64"/>
      <c r="BL150" s="64"/>
      <c r="BM150" s="64"/>
      <c r="BN150" s="64"/>
      <c r="BO150" s="64"/>
      <c r="BP150" s="64"/>
      <c r="BQ150" s="64"/>
      <c r="BR150" s="65"/>
      <c r="BS150" s="63"/>
      <c r="BT150" s="63"/>
      <c r="BU150" s="65"/>
      <c r="BV150" s="47"/>
      <c r="BW150" s="47"/>
      <c r="BX150" s="64"/>
      <c r="BY150" s="65"/>
      <c r="BZ150" s="63"/>
      <c r="CA150" s="53"/>
    </row>
    <row r="151" ht="11.25" customHeight="1">
      <c r="A151" s="61"/>
      <c r="B151" s="61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48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  <c r="BA151" s="63"/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64"/>
      <c r="BP151" s="64"/>
      <c r="BQ151" s="64"/>
      <c r="BR151" s="65"/>
      <c r="BS151" s="63"/>
      <c r="BT151" s="63"/>
      <c r="BU151" s="65"/>
      <c r="BV151" s="47"/>
      <c r="BW151" s="47"/>
      <c r="BX151" s="64"/>
      <c r="BY151" s="65"/>
      <c r="BZ151" s="63"/>
      <c r="CA151" s="53"/>
    </row>
    <row r="152" ht="11.25" customHeight="1">
      <c r="A152" s="46"/>
      <c r="B152" s="46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8"/>
      <c r="N152" s="47"/>
      <c r="O152" s="47"/>
      <c r="P152" s="47"/>
      <c r="Q152" s="47"/>
      <c r="R152" s="47"/>
      <c r="S152" s="47"/>
      <c r="T152" s="47"/>
      <c r="U152" s="47"/>
      <c r="V152" s="47"/>
      <c r="W152" s="49"/>
      <c r="X152" s="47"/>
      <c r="Y152" s="47"/>
      <c r="Z152" s="47"/>
      <c r="AA152" s="47"/>
      <c r="AB152" s="47"/>
      <c r="AC152" s="47"/>
      <c r="AD152" s="47"/>
      <c r="AE152" s="47"/>
      <c r="AF152" s="47"/>
      <c r="AG152" s="49"/>
      <c r="AH152" s="47"/>
      <c r="AI152" s="47"/>
      <c r="AJ152" s="47"/>
      <c r="AK152" s="47"/>
      <c r="AL152" s="47"/>
      <c r="AM152" s="47"/>
      <c r="AN152" s="47"/>
      <c r="AO152" s="47"/>
      <c r="AP152" s="47"/>
      <c r="AQ152" s="49"/>
      <c r="AR152" s="47"/>
      <c r="AS152" s="47"/>
      <c r="AT152" s="47"/>
      <c r="AU152" s="47"/>
      <c r="AV152" s="47"/>
      <c r="AW152" s="47"/>
      <c r="AX152" s="47"/>
      <c r="AY152" s="47"/>
      <c r="AZ152" s="47"/>
      <c r="BA152" s="50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1"/>
      <c r="BP152" s="51"/>
      <c r="BQ152" s="51"/>
      <c r="BR152" s="52"/>
      <c r="BS152" s="53"/>
      <c r="BT152" s="53"/>
      <c r="BU152" s="52"/>
      <c r="BV152" s="47"/>
      <c r="BW152" s="47"/>
      <c r="BX152" s="51"/>
      <c r="BY152" s="52"/>
      <c r="BZ152" s="53"/>
      <c r="CA152" s="53"/>
    </row>
    <row r="153" ht="11.25" customHeight="1">
      <c r="A153" s="61"/>
      <c r="B153" s="61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48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  <c r="BA153" s="63"/>
      <c r="BB153" s="64"/>
      <c r="BC153" s="64"/>
      <c r="BD153" s="64"/>
      <c r="BE153" s="64"/>
      <c r="BF153" s="64"/>
      <c r="BG153" s="64"/>
      <c r="BH153" s="64"/>
      <c r="BI153" s="64"/>
      <c r="BJ153" s="64"/>
      <c r="BK153" s="64"/>
      <c r="BL153" s="64"/>
      <c r="BM153" s="64"/>
      <c r="BN153" s="64"/>
      <c r="BO153" s="64"/>
      <c r="BP153" s="64"/>
      <c r="BQ153" s="64"/>
      <c r="BR153" s="65"/>
      <c r="BS153" s="63"/>
      <c r="BT153" s="63"/>
      <c r="BU153" s="65"/>
      <c r="BV153" s="47"/>
      <c r="BW153" s="47"/>
      <c r="BX153" s="64"/>
      <c r="BY153" s="65"/>
      <c r="BZ153" s="63"/>
      <c r="CA153" s="53"/>
    </row>
    <row r="154" ht="11.25" customHeight="1">
      <c r="A154" s="46"/>
      <c r="B154" s="46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8"/>
      <c r="N154" s="47"/>
      <c r="O154" s="47"/>
      <c r="P154" s="47"/>
      <c r="Q154" s="47"/>
      <c r="R154" s="47"/>
      <c r="S154" s="47"/>
      <c r="T154" s="47"/>
      <c r="U154" s="47"/>
      <c r="V154" s="47"/>
      <c r="W154" s="49"/>
      <c r="X154" s="47"/>
      <c r="Y154" s="47"/>
      <c r="Z154" s="47"/>
      <c r="AA154" s="47"/>
      <c r="AB154" s="47"/>
      <c r="AC154" s="47"/>
      <c r="AD154" s="47"/>
      <c r="AE154" s="47"/>
      <c r="AF154" s="47"/>
      <c r="AG154" s="49"/>
      <c r="AH154" s="47"/>
      <c r="AI154" s="47"/>
      <c r="AJ154" s="47"/>
      <c r="AK154" s="47"/>
      <c r="AL154" s="47"/>
      <c r="AM154" s="47"/>
      <c r="AN154" s="47"/>
      <c r="AO154" s="47"/>
      <c r="AP154" s="47"/>
      <c r="AQ154" s="49"/>
      <c r="AR154" s="47"/>
      <c r="AS154" s="47"/>
      <c r="AT154" s="47"/>
      <c r="AU154" s="47"/>
      <c r="AV154" s="47"/>
      <c r="AW154" s="47"/>
      <c r="AX154" s="47"/>
      <c r="AY154" s="47"/>
      <c r="AZ154" s="47"/>
      <c r="BA154" s="50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1"/>
      <c r="BP154" s="51"/>
      <c r="BQ154" s="51"/>
      <c r="BR154" s="52"/>
      <c r="BS154" s="53"/>
      <c r="BT154" s="53"/>
      <c r="BU154" s="52"/>
      <c r="BV154" s="47"/>
      <c r="BW154" s="47"/>
      <c r="BX154" s="51"/>
      <c r="BY154" s="52"/>
      <c r="BZ154" s="53"/>
      <c r="CA154" s="53"/>
    </row>
    <row r="155" ht="11.25" customHeight="1">
      <c r="A155" s="61"/>
      <c r="B155" s="61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48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  <c r="BA155" s="63"/>
      <c r="BB155" s="64"/>
      <c r="BC155" s="64"/>
      <c r="BD155" s="64"/>
      <c r="BE155" s="64"/>
      <c r="BF155" s="64"/>
      <c r="BG155" s="64"/>
      <c r="BH155" s="64"/>
      <c r="BI155" s="64"/>
      <c r="BJ155" s="64"/>
      <c r="BK155" s="64"/>
      <c r="BL155" s="64"/>
      <c r="BM155" s="64"/>
      <c r="BN155" s="64"/>
      <c r="BO155" s="64"/>
      <c r="BP155" s="64"/>
      <c r="BQ155" s="64"/>
      <c r="BR155" s="65"/>
      <c r="BS155" s="63"/>
      <c r="BT155" s="63"/>
      <c r="BU155" s="65"/>
      <c r="BV155" s="47"/>
      <c r="BW155" s="47"/>
      <c r="BX155" s="64"/>
      <c r="BY155" s="65"/>
      <c r="BZ155" s="63"/>
      <c r="CA155" s="53"/>
    </row>
    <row r="156" ht="11.25" customHeight="1">
      <c r="A156" s="46"/>
      <c r="B156" s="46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8"/>
      <c r="N156" s="47"/>
      <c r="O156" s="47"/>
      <c r="P156" s="47"/>
      <c r="Q156" s="47"/>
      <c r="R156" s="47"/>
      <c r="S156" s="47"/>
      <c r="T156" s="47"/>
      <c r="U156" s="47"/>
      <c r="V156" s="47"/>
      <c r="W156" s="49"/>
      <c r="X156" s="47"/>
      <c r="Y156" s="47"/>
      <c r="Z156" s="47"/>
      <c r="AA156" s="47"/>
      <c r="AB156" s="47"/>
      <c r="AC156" s="47"/>
      <c r="AD156" s="47"/>
      <c r="AE156" s="47"/>
      <c r="AF156" s="47"/>
      <c r="AG156" s="49"/>
      <c r="AH156" s="47"/>
      <c r="AI156" s="47"/>
      <c r="AJ156" s="47"/>
      <c r="AK156" s="47"/>
      <c r="AL156" s="47"/>
      <c r="AM156" s="47"/>
      <c r="AN156" s="47"/>
      <c r="AO156" s="47"/>
      <c r="AP156" s="47"/>
      <c r="AQ156" s="49"/>
      <c r="AR156" s="47"/>
      <c r="AS156" s="47"/>
      <c r="AT156" s="47"/>
      <c r="AU156" s="47"/>
      <c r="AV156" s="47"/>
      <c r="AW156" s="47"/>
      <c r="AX156" s="47"/>
      <c r="AY156" s="47"/>
      <c r="AZ156" s="47"/>
      <c r="BA156" s="50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1"/>
      <c r="BP156" s="51"/>
      <c r="BQ156" s="51"/>
      <c r="BR156" s="52"/>
      <c r="BS156" s="53"/>
      <c r="BT156" s="53"/>
      <c r="BU156" s="52"/>
      <c r="BV156" s="47"/>
      <c r="BW156" s="47"/>
      <c r="BX156" s="51"/>
      <c r="BY156" s="52"/>
      <c r="BZ156" s="53"/>
      <c r="CA156" s="53"/>
    </row>
    <row r="157" ht="11.25" customHeight="1">
      <c r="A157" s="55"/>
      <c r="B157" s="55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48"/>
      <c r="N157" s="56"/>
      <c r="O157" s="56"/>
      <c r="P157" s="56"/>
      <c r="Q157" s="56"/>
      <c r="R157" s="56"/>
      <c r="S157" s="56"/>
      <c r="T157" s="56"/>
      <c r="U157" s="56"/>
      <c r="V157" s="56"/>
      <c r="W157" s="49"/>
      <c r="X157" s="56"/>
      <c r="Y157" s="56"/>
      <c r="Z157" s="56"/>
      <c r="AA157" s="56"/>
      <c r="AB157" s="56"/>
      <c r="AC157" s="56"/>
      <c r="AD157" s="56"/>
      <c r="AE157" s="56"/>
      <c r="AF157" s="56"/>
      <c r="AG157" s="49"/>
      <c r="AH157" s="56"/>
      <c r="AI157" s="56"/>
      <c r="AJ157" s="56"/>
      <c r="AK157" s="56"/>
      <c r="AL157" s="56"/>
      <c r="AM157" s="56"/>
      <c r="AN157" s="56"/>
      <c r="AO157" s="56"/>
      <c r="AP157" s="56"/>
      <c r="AQ157" s="49"/>
      <c r="AR157" s="56"/>
      <c r="AS157" s="56"/>
      <c r="AT157" s="56"/>
      <c r="AU157" s="56"/>
      <c r="AV157" s="56"/>
      <c r="AW157" s="56"/>
      <c r="AX157" s="56"/>
      <c r="AY157" s="56"/>
      <c r="AZ157" s="56"/>
      <c r="BA157" s="50"/>
      <c r="BB157" s="57"/>
      <c r="BC157" s="57"/>
      <c r="BD157" s="57"/>
      <c r="BE157" s="57"/>
      <c r="BF157" s="57"/>
      <c r="BG157" s="57"/>
      <c r="BH157" s="57"/>
      <c r="BI157" s="57"/>
      <c r="BJ157" s="57"/>
      <c r="BK157" s="57"/>
      <c r="BL157" s="57"/>
      <c r="BM157" s="57"/>
      <c r="BN157" s="57"/>
      <c r="BO157" s="57"/>
      <c r="BP157" s="57"/>
      <c r="BQ157" s="57"/>
      <c r="BR157" s="58"/>
      <c r="BS157" s="59"/>
      <c r="BT157" s="59"/>
      <c r="BU157" s="58"/>
      <c r="BV157" s="47"/>
      <c r="BW157" s="47"/>
      <c r="BX157" s="57"/>
      <c r="BY157" s="58"/>
      <c r="BZ157" s="59"/>
      <c r="CA157" s="53"/>
    </row>
    <row r="158" ht="11.25" customHeight="1">
      <c r="A158" s="46"/>
      <c r="B158" s="46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8"/>
      <c r="N158" s="47"/>
      <c r="O158" s="47"/>
      <c r="P158" s="47"/>
      <c r="Q158" s="47"/>
      <c r="R158" s="47"/>
      <c r="S158" s="47"/>
      <c r="T158" s="47"/>
      <c r="U158" s="47"/>
      <c r="V158" s="47"/>
      <c r="W158" s="49"/>
      <c r="X158" s="47"/>
      <c r="Y158" s="47"/>
      <c r="Z158" s="47"/>
      <c r="AA158" s="47"/>
      <c r="AB158" s="47"/>
      <c r="AC158" s="47"/>
      <c r="AD158" s="47"/>
      <c r="AE158" s="47"/>
      <c r="AF158" s="47"/>
      <c r="AG158" s="49"/>
      <c r="AH158" s="47"/>
      <c r="AI158" s="47"/>
      <c r="AJ158" s="47"/>
      <c r="AK158" s="47"/>
      <c r="AL158" s="47"/>
      <c r="AM158" s="47"/>
      <c r="AN158" s="47"/>
      <c r="AO158" s="47"/>
      <c r="AP158" s="47"/>
      <c r="AQ158" s="49"/>
      <c r="AR158" s="47"/>
      <c r="AS158" s="47"/>
      <c r="AT158" s="47"/>
      <c r="AU158" s="47"/>
      <c r="AV158" s="47"/>
      <c r="AW158" s="47"/>
      <c r="AX158" s="47"/>
      <c r="AY158" s="47"/>
      <c r="AZ158" s="47"/>
      <c r="BA158" s="50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O158" s="51"/>
      <c r="BP158" s="51"/>
      <c r="BQ158" s="51"/>
      <c r="BR158" s="52"/>
      <c r="BS158" s="53"/>
      <c r="BT158" s="53"/>
      <c r="BU158" s="52"/>
      <c r="BV158" s="47"/>
      <c r="BW158" s="47"/>
      <c r="BX158" s="51"/>
      <c r="BY158" s="52"/>
      <c r="BZ158" s="53"/>
      <c r="CA158" s="53"/>
    </row>
    <row r="159" ht="11.25" customHeight="1">
      <c r="A159" s="55"/>
      <c r="B159" s="55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48"/>
      <c r="N159" s="56"/>
      <c r="O159" s="56"/>
      <c r="P159" s="56"/>
      <c r="Q159" s="56"/>
      <c r="R159" s="56"/>
      <c r="S159" s="56"/>
      <c r="T159" s="56"/>
      <c r="U159" s="56"/>
      <c r="V159" s="56"/>
      <c r="W159" s="49"/>
      <c r="X159" s="56"/>
      <c r="Y159" s="56"/>
      <c r="Z159" s="56"/>
      <c r="AA159" s="56"/>
      <c r="AB159" s="56"/>
      <c r="AC159" s="56"/>
      <c r="AD159" s="56"/>
      <c r="AE159" s="56"/>
      <c r="AF159" s="56"/>
      <c r="AG159" s="49"/>
      <c r="AH159" s="56"/>
      <c r="AI159" s="56"/>
      <c r="AJ159" s="56"/>
      <c r="AK159" s="56"/>
      <c r="AL159" s="56"/>
      <c r="AM159" s="56"/>
      <c r="AN159" s="56"/>
      <c r="AO159" s="56"/>
      <c r="AP159" s="56"/>
      <c r="AQ159" s="49"/>
      <c r="AR159" s="56"/>
      <c r="AS159" s="56"/>
      <c r="AT159" s="56"/>
      <c r="AU159" s="56"/>
      <c r="AV159" s="56"/>
      <c r="AW159" s="56"/>
      <c r="AX159" s="56"/>
      <c r="AY159" s="56"/>
      <c r="AZ159" s="56"/>
      <c r="BA159" s="50"/>
      <c r="BB159" s="57"/>
      <c r="BC159" s="57"/>
      <c r="BD159" s="57"/>
      <c r="BE159" s="57"/>
      <c r="BF159" s="57"/>
      <c r="BG159" s="57"/>
      <c r="BH159" s="57"/>
      <c r="BI159" s="57"/>
      <c r="BJ159" s="57"/>
      <c r="BK159" s="57"/>
      <c r="BL159" s="57"/>
      <c r="BM159" s="57"/>
      <c r="BN159" s="57"/>
      <c r="BO159" s="57"/>
      <c r="BP159" s="57"/>
      <c r="BQ159" s="57"/>
      <c r="BR159" s="58"/>
      <c r="BS159" s="59"/>
      <c r="BT159" s="59"/>
      <c r="BU159" s="58"/>
      <c r="BV159" s="47"/>
      <c r="BW159" s="47"/>
      <c r="BX159" s="57"/>
      <c r="BY159" s="58"/>
      <c r="BZ159" s="59"/>
      <c r="CA159" s="53"/>
    </row>
    <row r="160" ht="11.25" customHeight="1">
      <c r="A160" s="46"/>
      <c r="B160" s="46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8"/>
      <c r="N160" s="47"/>
      <c r="O160" s="47"/>
      <c r="P160" s="47"/>
      <c r="Q160" s="47"/>
      <c r="R160" s="47"/>
      <c r="S160" s="47"/>
      <c r="T160" s="47"/>
      <c r="U160" s="47"/>
      <c r="V160" s="47"/>
      <c r="W160" s="49"/>
      <c r="X160" s="47"/>
      <c r="Y160" s="47"/>
      <c r="Z160" s="47"/>
      <c r="AA160" s="47"/>
      <c r="AB160" s="47"/>
      <c r="AC160" s="47"/>
      <c r="AD160" s="47"/>
      <c r="AE160" s="47"/>
      <c r="AF160" s="47"/>
      <c r="AG160" s="49"/>
      <c r="AH160" s="47"/>
      <c r="AI160" s="47"/>
      <c r="AJ160" s="47"/>
      <c r="AK160" s="47"/>
      <c r="AL160" s="47"/>
      <c r="AM160" s="47"/>
      <c r="AN160" s="47"/>
      <c r="AO160" s="47"/>
      <c r="AP160" s="47"/>
      <c r="AQ160" s="49"/>
      <c r="AR160" s="47"/>
      <c r="AS160" s="47"/>
      <c r="AT160" s="47"/>
      <c r="AU160" s="47"/>
      <c r="AV160" s="47"/>
      <c r="AW160" s="47"/>
      <c r="AX160" s="47"/>
      <c r="AY160" s="47"/>
      <c r="AZ160" s="47"/>
      <c r="BA160" s="50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1"/>
      <c r="BP160" s="51"/>
      <c r="BQ160" s="51"/>
      <c r="BR160" s="52"/>
      <c r="BS160" s="53"/>
      <c r="BT160" s="53"/>
      <c r="BU160" s="52"/>
      <c r="BV160" s="47"/>
      <c r="BW160" s="47"/>
      <c r="BX160" s="51"/>
      <c r="BY160" s="52"/>
      <c r="BZ160" s="53"/>
      <c r="CA160" s="53"/>
    </row>
    <row r="161" ht="11.25" customHeight="1">
      <c r="A161" s="55"/>
      <c r="B161" s="55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48"/>
      <c r="N161" s="56"/>
      <c r="O161" s="56"/>
      <c r="P161" s="56"/>
      <c r="Q161" s="56"/>
      <c r="R161" s="56"/>
      <c r="S161" s="56"/>
      <c r="T161" s="56"/>
      <c r="U161" s="56"/>
      <c r="V161" s="56"/>
      <c r="W161" s="49"/>
      <c r="X161" s="56"/>
      <c r="Y161" s="56"/>
      <c r="Z161" s="56"/>
      <c r="AA161" s="56"/>
      <c r="AB161" s="56"/>
      <c r="AC161" s="56"/>
      <c r="AD161" s="56"/>
      <c r="AE161" s="56"/>
      <c r="AF161" s="56"/>
      <c r="AG161" s="49"/>
      <c r="AH161" s="56"/>
      <c r="AI161" s="56"/>
      <c r="AJ161" s="56"/>
      <c r="AK161" s="56"/>
      <c r="AL161" s="56"/>
      <c r="AM161" s="56"/>
      <c r="AN161" s="56"/>
      <c r="AO161" s="56"/>
      <c r="AP161" s="56"/>
      <c r="AQ161" s="49"/>
      <c r="AR161" s="56"/>
      <c r="AS161" s="56"/>
      <c r="AT161" s="56"/>
      <c r="AU161" s="56"/>
      <c r="AV161" s="56"/>
      <c r="AW161" s="56"/>
      <c r="AX161" s="56"/>
      <c r="AY161" s="56"/>
      <c r="AZ161" s="56"/>
      <c r="BA161" s="50"/>
      <c r="BB161" s="57"/>
      <c r="BC161" s="57"/>
      <c r="BD161" s="57"/>
      <c r="BE161" s="57"/>
      <c r="BF161" s="57"/>
      <c r="BG161" s="57"/>
      <c r="BH161" s="57"/>
      <c r="BI161" s="57"/>
      <c r="BJ161" s="57"/>
      <c r="BK161" s="57"/>
      <c r="BL161" s="57"/>
      <c r="BM161" s="57"/>
      <c r="BN161" s="57"/>
      <c r="BO161" s="57"/>
      <c r="BP161" s="57"/>
      <c r="BQ161" s="57"/>
      <c r="BR161" s="58"/>
      <c r="BS161" s="59"/>
      <c r="BT161" s="59"/>
      <c r="BU161" s="58"/>
      <c r="BV161" s="47"/>
      <c r="BW161" s="47"/>
      <c r="BX161" s="57"/>
      <c r="BY161" s="58"/>
      <c r="BZ161" s="59"/>
      <c r="CA161" s="53"/>
    </row>
    <row r="162" ht="11.25" customHeight="1">
      <c r="A162" s="46"/>
      <c r="B162" s="46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8"/>
      <c r="N162" s="47"/>
      <c r="O162" s="47"/>
      <c r="P162" s="47"/>
      <c r="Q162" s="47"/>
      <c r="R162" s="47"/>
      <c r="S162" s="47"/>
      <c r="T162" s="47"/>
      <c r="U162" s="47"/>
      <c r="V162" s="47"/>
      <c r="W162" s="49"/>
      <c r="X162" s="47"/>
      <c r="Y162" s="47"/>
      <c r="Z162" s="47"/>
      <c r="AA162" s="47"/>
      <c r="AB162" s="47"/>
      <c r="AC162" s="47"/>
      <c r="AD162" s="47"/>
      <c r="AE162" s="47"/>
      <c r="AF162" s="47"/>
      <c r="AG162" s="49"/>
      <c r="AH162" s="47"/>
      <c r="AI162" s="47"/>
      <c r="AJ162" s="47"/>
      <c r="AK162" s="47"/>
      <c r="AL162" s="47"/>
      <c r="AM162" s="47"/>
      <c r="AN162" s="47"/>
      <c r="AO162" s="47"/>
      <c r="AP162" s="47"/>
      <c r="AQ162" s="49"/>
      <c r="AR162" s="47"/>
      <c r="AS162" s="47"/>
      <c r="AT162" s="47"/>
      <c r="AU162" s="47"/>
      <c r="AV162" s="47"/>
      <c r="AW162" s="47"/>
      <c r="AX162" s="47"/>
      <c r="AY162" s="47"/>
      <c r="AZ162" s="47"/>
      <c r="BA162" s="50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1"/>
      <c r="BP162" s="51"/>
      <c r="BQ162" s="51"/>
      <c r="BR162" s="52"/>
      <c r="BS162" s="53"/>
      <c r="BT162" s="53"/>
      <c r="BU162" s="52"/>
      <c r="BV162" s="47"/>
      <c r="BW162" s="47"/>
      <c r="BX162" s="51"/>
      <c r="BY162" s="52"/>
      <c r="BZ162" s="53"/>
      <c r="CA162" s="53"/>
    </row>
    <row r="163" ht="11.25" customHeight="1">
      <c r="A163" s="55"/>
      <c r="B163" s="55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48"/>
      <c r="N163" s="56"/>
      <c r="O163" s="56"/>
      <c r="P163" s="56"/>
      <c r="Q163" s="56"/>
      <c r="R163" s="56"/>
      <c r="S163" s="56"/>
      <c r="T163" s="56"/>
      <c r="U163" s="56"/>
      <c r="V163" s="56"/>
      <c r="W163" s="49"/>
      <c r="X163" s="56"/>
      <c r="Y163" s="56"/>
      <c r="Z163" s="56"/>
      <c r="AA163" s="56"/>
      <c r="AB163" s="56"/>
      <c r="AC163" s="56"/>
      <c r="AD163" s="56"/>
      <c r="AE163" s="56"/>
      <c r="AF163" s="56"/>
      <c r="AG163" s="49"/>
      <c r="AH163" s="56"/>
      <c r="AI163" s="56"/>
      <c r="AJ163" s="56"/>
      <c r="AK163" s="56"/>
      <c r="AL163" s="56"/>
      <c r="AM163" s="56"/>
      <c r="AN163" s="56"/>
      <c r="AO163" s="56"/>
      <c r="AP163" s="56"/>
      <c r="AQ163" s="49"/>
      <c r="AR163" s="56"/>
      <c r="AS163" s="56"/>
      <c r="AT163" s="56"/>
      <c r="AU163" s="56"/>
      <c r="AV163" s="56"/>
      <c r="AW163" s="56"/>
      <c r="AX163" s="56"/>
      <c r="AY163" s="56"/>
      <c r="AZ163" s="56"/>
      <c r="BA163" s="50"/>
      <c r="BB163" s="57"/>
      <c r="BC163" s="57"/>
      <c r="BD163" s="57"/>
      <c r="BE163" s="57"/>
      <c r="BF163" s="57"/>
      <c r="BG163" s="57"/>
      <c r="BH163" s="57"/>
      <c r="BI163" s="57"/>
      <c r="BJ163" s="57"/>
      <c r="BK163" s="57"/>
      <c r="BL163" s="57"/>
      <c r="BM163" s="57"/>
      <c r="BN163" s="57"/>
      <c r="BO163" s="57"/>
      <c r="BP163" s="57"/>
      <c r="BQ163" s="57"/>
      <c r="BR163" s="58"/>
      <c r="BS163" s="59"/>
      <c r="BT163" s="59"/>
      <c r="BU163" s="58"/>
      <c r="BV163" s="47"/>
      <c r="BW163" s="47"/>
      <c r="BX163" s="57"/>
      <c r="BY163" s="58"/>
      <c r="BZ163" s="59"/>
      <c r="CA163" s="53"/>
    </row>
    <row r="164" ht="11.25" customHeight="1">
      <c r="A164" s="46"/>
      <c r="B164" s="46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8"/>
      <c r="N164" s="47"/>
      <c r="O164" s="47"/>
      <c r="P164" s="47"/>
      <c r="Q164" s="47"/>
      <c r="R164" s="47"/>
      <c r="S164" s="47"/>
      <c r="T164" s="47"/>
      <c r="U164" s="47"/>
      <c r="V164" s="47"/>
      <c r="W164" s="49"/>
      <c r="X164" s="47"/>
      <c r="Y164" s="47"/>
      <c r="Z164" s="47"/>
      <c r="AA164" s="47"/>
      <c r="AB164" s="47"/>
      <c r="AC164" s="47"/>
      <c r="AD164" s="47"/>
      <c r="AE164" s="47"/>
      <c r="AF164" s="47"/>
      <c r="AG164" s="49"/>
      <c r="AH164" s="47"/>
      <c r="AI164" s="47"/>
      <c r="AJ164" s="47"/>
      <c r="AK164" s="47"/>
      <c r="AL164" s="47"/>
      <c r="AM164" s="47"/>
      <c r="AN164" s="47"/>
      <c r="AO164" s="47"/>
      <c r="AP164" s="47"/>
      <c r="AQ164" s="49"/>
      <c r="AR164" s="47"/>
      <c r="AS164" s="47"/>
      <c r="AT164" s="47"/>
      <c r="AU164" s="47"/>
      <c r="AV164" s="47"/>
      <c r="AW164" s="47"/>
      <c r="AX164" s="47"/>
      <c r="AY164" s="47"/>
      <c r="AZ164" s="47"/>
      <c r="BA164" s="50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  <c r="BL164" s="51"/>
      <c r="BM164" s="51"/>
      <c r="BN164" s="51"/>
      <c r="BO164" s="51"/>
      <c r="BP164" s="51"/>
      <c r="BQ164" s="51"/>
      <c r="BR164" s="52"/>
      <c r="BS164" s="53"/>
      <c r="BT164" s="53"/>
      <c r="BU164" s="52"/>
      <c r="BV164" s="47"/>
      <c r="BW164" s="47"/>
      <c r="BX164" s="51"/>
      <c r="BY164" s="52"/>
      <c r="BZ164" s="53"/>
      <c r="CA164" s="53"/>
    </row>
    <row r="165" ht="11.25" customHeight="1">
      <c r="A165" s="55"/>
      <c r="B165" s="55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48"/>
      <c r="N165" s="56"/>
      <c r="O165" s="56"/>
      <c r="P165" s="56"/>
      <c r="Q165" s="56"/>
      <c r="R165" s="56"/>
      <c r="S165" s="56"/>
      <c r="T165" s="56"/>
      <c r="U165" s="56"/>
      <c r="V165" s="56"/>
      <c r="W165" s="49"/>
      <c r="X165" s="56"/>
      <c r="Y165" s="56"/>
      <c r="Z165" s="56"/>
      <c r="AA165" s="56"/>
      <c r="AB165" s="56"/>
      <c r="AC165" s="56"/>
      <c r="AD165" s="56"/>
      <c r="AE165" s="56"/>
      <c r="AF165" s="56"/>
      <c r="AG165" s="49"/>
      <c r="AH165" s="56"/>
      <c r="AI165" s="56"/>
      <c r="AJ165" s="56"/>
      <c r="AK165" s="56"/>
      <c r="AL165" s="56"/>
      <c r="AM165" s="56"/>
      <c r="AN165" s="56"/>
      <c r="AO165" s="56"/>
      <c r="AP165" s="56"/>
      <c r="AQ165" s="49"/>
      <c r="AR165" s="56"/>
      <c r="AS165" s="56"/>
      <c r="AT165" s="56"/>
      <c r="AU165" s="56"/>
      <c r="AV165" s="56"/>
      <c r="AW165" s="56"/>
      <c r="AX165" s="56"/>
      <c r="AY165" s="56"/>
      <c r="AZ165" s="56"/>
      <c r="BA165" s="50"/>
      <c r="BB165" s="57"/>
      <c r="BC165" s="57"/>
      <c r="BD165" s="57"/>
      <c r="BE165" s="57"/>
      <c r="BF165" s="57"/>
      <c r="BG165" s="57"/>
      <c r="BH165" s="57"/>
      <c r="BI165" s="57"/>
      <c r="BJ165" s="57"/>
      <c r="BK165" s="57"/>
      <c r="BL165" s="57"/>
      <c r="BM165" s="57"/>
      <c r="BN165" s="57"/>
      <c r="BO165" s="57"/>
      <c r="BP165" s="57"/>
      <c r="BQ165" s="57"/>
      <c r="BR165" s="58"/>
      <c r="BS165" s="59"/>
      <c r="BT165" s="59"/>
      <c r="BU165" s="58"/>
      <c r="BV165" s="47"/>
      <c r="BW165" s="47"/>
      <c r="BX165" s="57"/>
      <c r="BY165" s="58"/>
      <c r="BZ165" s="59"/>
      <c r="CA165" s="53"/>
    </row>
    <row r="166" ht="11.25" customHeight="1">
      <c r="A166" s="46"/>
      <c r="B166" s="46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8"/>
      <c r="N166" s="47"/>
      <c r="O166" s="47"/>
      <c r="P166" s="47"/>
      <c r="Q166" s="47"/>
      <c r="R166" s="47"/>
      <c r="S166" s="47"/>
      <c r="T166" s="47"/>
      <c r="U166" s="47"/>
      <c r="V166" s="47"/>
      <c r="W166" s="49"/>
      <c r="X166" s="47"/>
      <c r="Y166" s="47"/>
      <c r="Z166" s="47"/>
      <c r="AA166" s="47"/>
      <c r="AB166" s="47"/>
      <c r="AC166" s="47"/>
      <c r="AD166" s="47"/>
      <c r="AE166" s="47"/>
      <c r="AF166" s="47"/>
      <c r="AG166" s="49"/>
      <c r="AH166" s="47"/>
      <c r="AI166" s="47"/>
      <c r="AJ166" s="47"/>
      <c r="AK166" s="47"/>
      <c r="AL166" s="47"/>
      <c r="AM166" s="47"/>
      <c r="AN166" s="47"/>
      <c r="AO166" s="47"/>
      <c r="AP166" s="47"/>
      <c r="AQ166" s="49"/>
      <c r="AR166" s="47"/>
      <c r="AS166" s="47"/>
      <c r="AT166" s="47"/>
      <c r="AU166" s="47"/>
      <c r="AV166" s="47"/>
      <c r="AW166" s="47"/>
      <c r="AX166" s="47"/>
      <c r="AY166" s="47"/>
      <c r="AZ166" s="47"/>
      <c r="BA166" s="50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  <c r="BL166" s="51"/>
      <c r="BM166" s="51"/>
      <c r="BN166" s="51"/>
      <c r="BO166" s="51"/>
      <c r="BP166" s="51"/>
      <c r="BQ166" s="51"/>
      <c r="BR166" s="52"/>
      <c r="BS166" s="53"/>
      <c r="BT166" s="53"/>
      <c r="BU166" s="52"/>
      <c r="BV166" s="47"/>
      <c r="BW166" s="47"/>
      <c r="BX166" s="51"/>
      <c r="BY166" s="52"/>
      <c r="BZ166" s="53"/>
      <c r="CA166" s="53"/>
    </row>
    <row r="167" ht="11.25" customHeight="1">
      <c r="A167" s="55"/>
      <c r="B167" s="55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48"/>
      <c r="N167" s="56"/>
      <c r="O167" s="56"/>
      <c r="P167" s="56"/>
      <c r="Q167" s="56"/>
      <c r="R167" s="56"/>
      <c r="S167" s="56"/>
      <c r="T167" s="56"/>
      <c r="U167" s="56"/>
      <c r="V167" s="56"/>
      <c r="W167" s="49"/>
      <c r="X167" s="56"/>
      <c r="Y167" s="56"/>
      <c r="Z167" s="56"/>
      <c r="AA167" s="56"/>
      <c r="AB167" s="56"/>
      <c r="AC167" s="56"/>
      <c r="AD167" s="56"/>
      <c r="AE167" s="56"/>
      <c r="AF167" s="56"/>
      <c r="AG167" s="49"/>
      <c r="AH167" s="56"/>
      <c r="AI167" s="56"/>
      <c r="AJ167" s="56"/>
      <c r="AK167" s="56"/>
      <c r="AL167" s="56"/>
      <c r="AM167" s="56"/>
      <c r="AN167" s="56"/>
      <c r="AO167" s="56"/>
      <c r="AP167" s="56"/>
      <c r="AQ167" s="49"/>
      <c r="AR167" s="56"/>
      <c r="AS167" s="56"/>
      <c r="AT167" s="56"/>
      <c r="AU167" s="56"/>
      <c r="AV167" s="56"/>
      <c r="AW167" s="56"/>
      <c r="AX167" s="56"/>
      <c r="AY167" s="56"/>
      <c r="AZ167" s="56"/>
      <c r="BA167" s="50"/>
      <c r="BB167" s="57"/>
      <c r="BC167" s="57"/>
      <c r="BD167" s="57"/>
      <c r="BE167" s="57"/>
      <c r="BF167" s="57"/>
      <c r="BG167" s="57"/>
      <c r="BH167" s="57"/>
      <c r="BI167" s="57"/>
      <c r="BJ167" s="57"/>
      <c r="BK167" s="57"/>
      <c r="BL167" s="57"/>
      <c r="BM167" s="57"/>
      <c r="BN167" s="57"/>
      <c r="BO167" s="57"/>
      <c r="BP167" s="57"/>
      <c r="BQ167" s="57"/>
      <c r="BR167" s="58"/>
      <c r="BS167" s="59"/>
      <c r="BT167" s="59"/>
      <c r="BU167" s="58"/>
      <c r="BV167" s="47"/>
      <c r="BW167" s="47"/>
      <c r="BX167" s="57"/>
      <c r="BY167" s="58"/>
      <c r="BZ167" s="59"/>
      <c r="CA167" s="53"/>
    </row>
    <row r="168" ht="11.25" customHeight="1">
      <c r="A168" s="46"/>
      <c r="B168" s="46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8"/>
      <c r="N168" s="47"/>
      <c r="O168" s="47"/>
      <c r="P168" s="47"/>
      <c r="Q168" s="47"/>
      <c r="R168" s="47"/>
      <c r="S168" s="47"/>
      <c r="T168" s="47"/>
      <c r="U168" s="47"/>
      <c r="V168" s="47"/>
      <c r="W168" s="49"/>
      <c r="X168" s="47"/>
      <c r="Y168" s="47"/>
      <c r="Z168" s="47"/>
      <c r="AA168" s="47"/>
      <c r="AB168" s="47"/>
      <c r="AC168" s="47"/>
      <c r="AD168" s="47"/>
      <c r="AE168" s="47"/>
      <c r="AF168" s="47"/>
      <c r="AG168" s="49"/>
      <c r="AH168" s="47"/>
      <c r="AI168" s="47"/>
      <c r="AJ168" s="47"/>
      <c r="AK168" s="47"/>
      <c r="AL168" s="47"/>
      <c r="AM168" s="47"/>
      <c r="AN168" s="47"/>
      <c r="AO168" s="47"/>
      <c r="AP168" s="47"/>
      <c r="AQ168" s="49"/>
      <c r="AR168" s="47"/>
      <c r="AS168" s="47"/>
      <c r="AT168" s="47"/>
      <c r="AU168" s="47"/>
      <c r="AV168" s="47"/>
      <c r="AW168" s="47"/>
      <c r="AX168" s="47"/>
      <c r="AY168" s="47"/>
      <c r="AZ168" s="47"/>
      <c r="BA168" s="50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  <c r="BN168" s="51"/>
      <c r="BO168" s="51"/>
      <c r="BP168" s="51"/>
      <c r="BQ168" s="51"/>
      <c r="BR168" s="52"/>
      <c r="BS168" s="53"/>
      <c r="BT168" s="53"/>
      <c r="BU168" s="52"/>
      <c r="BV168" s="47"/>
      <c r="BW168" s="47"/>
      <c r="BX168" s="51"/>
      <c r="BY168" s="52"/>
      <c r="BZ168" s="53"/>
      <c r="CA168" s="53"/>
    </row>
    <row r="169" ht="11.25" customHeight="1">
      <c r="A169" s="55"/>
      <c r="B169" s="55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48"/>
      <c r="N169" s="56"/>
      <c r="O169" s="56"/>
      <c r="P169" s="56"/>
      <c r="Q169" s="56"/>
      <c r="R169" s="56"/>
      <c r="S169" s="56"/>
      <c r="T169" s="56"/>
      <c r="U169" s="56"/>
      <c r="V169" s="56"/>
      <c r="W169" s="49"/>
      <c r="X169" s="56"/>
      <c r="Y169" s="56"/>
      <c r="Z169" s="56"/>
      <c r="AA169" s="56"/>
      <c r="AB169" s="56"/>
      <c r="AC169" s="56"/>
      <c r="AD169" s="56"/>
      <c r="AE169" s="56"/>
      <c r="AF169" s="56"/>
      <c r="AG169" s="49"/>
      <c r="AH169" s="56"/>
      <c r="AI169" s="56"/>
      <c r="AJ169" s="56"/>
      <c r="AK169" s="56"/>
      <c r="AL169" s="56"/>
      <c r="AM169" s="56"/>
      <c r="AN169" s="56"/>
      <c r="AO169" s="56"/>
      <c r="AP169" s="56"/>
      <c r="AQ169" s="49"/>
      <c r="AR169" s="56"/>
      <c r="AS169" s="56"/>
      <c r="AT169" s="56"/>
      <c r="AU169" s="56"/>
      <c r="AV169" s="56"/>
      <c r="AW169" s="56"/>
      <c r="AX169" s="56"/>
      <c r="AY169" s="56"/>
      <c r="AZ169" s="56"/>
      <c r="BA169" s="50"/>
      <c r="BB169" s="57"/>
      <c r="BC169" s="57"/>
      <c r="BD169" s="57"/>
      <c r="BE169" s="57"/>
      <c r="BF169" s="57"/>
      <c r="BG169" s="57"/>
      <c r="BH169" s="57"/>
      <c r="BI169" s="57"/>
      <c r="BJ169" s="57"/>
      <c r="BK169" s="57"/>
      <c r="BL169" s="57"/>
      <c r="BM169" s="57"/>
      <c r="BN169" s="57"/>
      <c r="BO169" s="57"/>
      <c r="BP169" s="57"/>
      <c r="BQ169" s="57"/>
      <c r="BR169" s="58"/>
      <c r="BS169" s="59"/>
      <c r="BT169" s="59"/>
      <c r="BU169" s="58"/>
      <c r="BV169" s="47"/>
      <c r="BW169" s="47"/>
      <c r="BX169" s="57"/>
      <c r="BY169" s="58"/>
      <c r="BZ169" s="59"/>
      <c r="CA169" s="53"/>
    </row>
    <row r="170" ht="11.25" customHeight="1">
      <c r="A170" s="46"/>
      <c r="B170" s="46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8"/>
      <c r="N170" s="47"/>
      <c r="O170" s="47"/>
      <c r="P170" s="47"/>
      <c r="Q170" s="47"/>
      <c r="R170" s="47"/>
      <c r="S170" s="47"/>
      <c r="T170" s="47"/>
      <c r="U170" s="47"/>
      <c r="V170" s="47"/>
      <c r="W170" s="49"/>
      <c r="X170" s="47"/>
      <c r="Y170" s="47"/>
      <c r="Z170" s="47"/>
      <c r="AA170" s="47"/>
      <c r="AB170" s="47"/>
      <c r="AC170" s="47"/>
      <c r="AD170" s="47"/>
      <c r="AE170" s="47"/>
      <c r="AF170" s="47"/>
      <c r="AG170" s="49"/>
      <c r="AH170" s="47"/>
      <c r="AI170" s="47"/>
      <c r="AJ170" s="47"/>
      <c r="AK170" s="47"/>
      <c r="AL170" s="47"/>
      <c r="AM170" s="47"/>
      <c r="AN170" s="47"/>
      <c r="AO170" s="47"/>
      <c r="AP170" s="47"/>
      <c r="AQ170" s="49"/>
      <c r="AR170" s="47"/>
      <c r="AS170" s="47"/>
      <c r="AT170" s="47"/>
      <c r="AU170" s="47"/>
      <c r="AV170" s="47"/>
      <c r="AW170" s="47"/>
      <c r="AX170" s="47"/>
      <c r="AY170" s="47"/>
      <c r="AZ170" s="47"/>
      <c r="BA170" s="50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1"/>
      <c r="BP170" s="51"/>
      <c r="BQ170" s="51"/>
      <c r="BR170" s="52"/>
      <c r="BS170" s="53"/>
      <c r="BT170" s="53"/>
      <c r="BU170" s="52"/>
      <c r="BV170" s="47"/>
      <c r="BW170" s="47"/>
      <c r="BX170" s="51"/>
      <c r="BY170" s="52"/>
      <c r="BZ170" s="53"/>
      <c r="CA170" s="53"/>
    </row>
    <row r="171" ht="11.25" customHeight="1">
      <c r="A171" s="55"/>
      <c r="B171" s="55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48"/>
      <c r="N171" s="56"/>
      <c r="O171" s="56"/>
      <c r="P171" s="56"/>
      <c r="Q171" s="56"/>
      <c r="R171" s="56"/>
      <c r="S171" s="56"/>
      <c r="T171" s="56"/>
      <c r="U171" s="56"/>
      <c r="V171" s="56"/>
      <c r="W171" s="49"/>
      <c r="X171" s="56"/>
      <c r="Y171" s="56"/>
      <c r="Z171" s="56"/>
      <c r="AA171" s="56"/>
      <c r="AB171" s="56"/>
      <c r="AC171" s="56"/>
      <c r="AD171" s="56"/>
      <c r="AE171" s="56"/>
      <c r="AF171" s="56"/>
      <c r="AG171" s="49"/>
      <c r="AH171" s="56"/>
      <c r="AI171" s="56"/>
      <c r="AJ171" s="56"/>
      <c r="AK171" s="56"/>
      <c r="AL171" s="56"/>
      <c r="AM171" s="56"/>
      <c r="AN171" s="56"/>
      <c r="AO171" s="56"/>
      <c r="AP171" s="56"/>
      <c r="AQ171" s="49"/>
      <c r="AR171" s="56"/>
      <c r="AS171" s="56"/>
      <c r="AT171" s="56"/>
      <c r="AU171" s="56"/>
      <c r="AV171" s="56"/>
      <c r="AW171" s="56"/>
      <c r="AX171" s="56"/>
      <c r="AY171" s="56"/>
      <c r="AZ171" s="56"/>
      <c r="BA171" s="50"/>
      <c r="BB171" s="57"/>
      <c r="BC171" s="57"/>
      <c r="BD171" s="57"/>
      <c r="BE171" s="57"/>
      <c r="BF171" s="57"/>
      <c r="BG171" s="57"/>
      <c r="BH171" s="57"/>
      <c r="BI171" s="57"/>
      <c r="BJ171" s="57"/>
      <c r="BK171" s="57"/>
      <c r="BL171" s="57"/>
      <c r="BM171" s="57"/>
      <c r="BN171" s="57"/>
      <c r="BO171" s="57"/>
      <c r="BP171" s="57"/>
      <c r="BQ171" s="57"/>
      <c r="BR171" s="59"/>
      <c r="BS171" s="59"/>
      <c r="BT171" s="59"/>
      <c r="BU171" s="59"/>
      <c r="BV171" s="47"/>
      <c r="BW171" s="47"/>
      <c r="BX171" s="57"/>
      <c r="BY171" s="59"/>
      <c r="BZ171" s="59"/>
      <c r="CA171" s="53"/>
    </row>
    <row r="172" ht="11.25" customHeight="1">
      <c r="A172" s="46"/>
      <c r="B172" s="46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8"/>
      <c r="N172" s="47"/>
      <c r="O172" s="47"/>
      <c r="P172" s="47"/>
      <c r="Q172" s="47"/>
      <c r="R172" s="47"/>
      <c r="S172" s="47"/>
      <c r="T172" s="47"/>
      <c r="U172" s="47"/>
      <c r="V172" s="47"/>
      <c r="W172" s="49"/>
      <c r="X172" s="47"/>
      <c r="Y172" s="47"/>
      <c r="Z172" s="47"/>
      <c r="AA172" s="47"/>
      <c r="AB172" s="47"/>
      <c r="AC172" s="47"/>
      <c r="AD172" s="47"/>
      <c r="AE172" s="47"/>
      <c r="AF172" s="47"/>
      <c r="AG172" s="49"/>
      <c r="AH172" s="47"/>
      <c r="AI172" s="47"/>
      <c r="AJ172" s="47"/>
      <c r="AK172" s="47"/>
      <c r="AL172" s="47"/>
      <c r="AM172" s="47"/>
      <c r="AN172" s="47"/>
      <c r="AO172" s="47"/>
      <c r="AP172" s="47"/>
      <c r="AQ172" s="49"/>
      <c r="AR172" s="47"/>
      <c r="AS172" s="47"/>
      <c r="AT172" s="47"/>
      <c r="AU172" s="47"/>
      <c r="AV172" s="47"/>
      <c r="AW172" s="47"/>
      <c r="AX172" s="47"/>
      <c r="AY172" s="47"/>
      <c r="AZ172" s="47"/>
      <c r="BA172" s="50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  <c r="BL172" s="51"/>
      <c r="BM172" s="51"/>
      <c r="BN172" s="51"/>
      <c r="BO172" s="51"/>
      <c r="BP172" s="51"/>
      <c r="BQ172" s="51"/>
      <c r="BR172" s="52"/>
      <c r="BS172" s="53"/>
      <c r="BT172" s="53"/>
      <c r="BU172" s="52"/>
      <c r="BV172" s="47"/>
      <c r="BW172" s="47"/>
      <c r="BX172" s="51"/>
      <c r="BY172" s="52"/>
      <c r="BZ172" s="53"/>
      <c r="CA172" s="53"/>
    </row>
    <row r="173" ht="11.25" customHeight="1">
      <c r="A173" s="61"/>
      <c r="B173" s="61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48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  <c r="AL173" s="62"/>
      <c r="AM173" s="62"/>
      <c r="AN173" s="62"/>
      <c r="AO173" s="62"/>
      <c r="AP173" s="62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  <c r="BA173" s="63"/>
      <c r="BB173" s="64"/>
      <c r="BC173" s="64"/>
      <c r="BD173" s="64"/>
      <c r="BE173" s="64"/>
      <c r="BF173" s="64"/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5"/>
      <c r="BS173" s="63"/>
      <c r="BT173" s="63"/>
      <c r="BU173" s="65"/>
      <c r="BV173" s="47"/>
      <c r="BW173" s="47"/>
      <c r="BX173" s="64"/>
      <c r="BY173" s="65"/>
      <c r="BZ173" s="63"/>
      <c r="CA173" s="53"/>
    </row>
    <row r="174" ht="11.25" customHeight="1">
      <c r="A174" s="61"/>
      <c r="B174" s="61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48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2"/>
      <c r="AN174" s="62"/>
      <c r="AO174" s="62"/>
      <c r="AP174" s="62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  <c r="BA174" s="63"/>
      <c r="BB174" s="64"/>
      <c r="BC174" s="64"/>
      <c r="BD174" s="64"/>
      <c r="BE174" s="64"/>
      <c r="BF174" s="64"/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5"/>
      <c r="BS174" s="63"/>
      <c r="BT174" s="63"/>
      <c r="BU174" s="65"/>
      <c r="BV174" s="47"/>
      <c r="BW174" s="47"/>
      <c r="BX174" s="64"/>
      <c r="BY174" s="65"/>
      <c r="BZ174" s="63"/>
      <c r="CA174" s="53"/>
    </row>
    <row r="175" ht="11.25" customHeight="1">
      <c r="A175" s="55"/>
      <c r="B175" s="55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48"/>
      <c r="N175" s="56"/>
      <c r="O175" s="56"/>
      <c r="P175" s="56"/>
      <c r="Q175" s="56"/>
      <c r="R175" s="56"/>
      <c r="S175" s="56"/>
      <c r="T175" s="56"/>
      <c r="U175" s="56"/>
      <c r="V175" s="56"/>
      <c r="W175" s="49"/>
      <c r="X175" s="56"/>
      <c r="Y175" s="56"/>
      <c r="Z175" s="56"/>
      <c r="AA175" s="56"/>
      <c r="AB175" s="56"/>
      <c r="AC175" s="56"/>
      <c r="AD175" s="56"/>
      <c r="AE175" s="56"/>
      <c r="AF175" s="56"/>
      <c r="AG175" s="49"/>
      <c r="AH175" s="56"/>
      <c r="AI175" s="56"/>
      <c r="AJ175" s="56"/>
      <c r="AK175" s="56"/>
      <c r="AL175" s="56"/>
      <c r="AM175" s="56"/>
      <c r="AN175" s="56"/>
      <c r="AO175" s="56"/>
      <c r="AP175" s="56"/>
      <c r="AQ175" s="49"/>
      <c r="AR175" s="56"/>
      <c r="AS175" s="56"/>
      <c r="AT175" s="56"/>
      <c r="AU175" s="56"/>
      <c r="AV175" s="56"/>
      <c r="AW175" s="56"/>
      <c r="AX175" s="56"/>
      <c r="AY175" s="56"/>
      <c r="AZ175" s="56"/>
      <c r="BA175" s="50"/>
      <c r="BB175" s="57"/>
      <c r="BC175" s="57"/>
      <c r="BD175" s="57"/>
      <c r="BE175" s="57"/>
      <c r="BF175" s="57"/>
      <c r="BG175" s="57"/>
      <c r="BH175" s="57"/>
      <c r="BI175" s="57"/>
      <c r="BJ175" s="57"/>
      <c r="BK175" s="57"/>
      <c r="BL175" s="57"/>
      <c r="BM175" s="57"/>
      <c r="BN175" s="57"/>
      <c r="BO175" s="57"/>
      <c r="BP175" s="57"/>
      <c r="BQ175" s="57"/>
      <c r="BR175" s="58"/>
      <c r="BS175" s="59"/>
      <c r="BT175" s="59"/>
      <c r="BU175" s="58"/>
      <c r="BV175" s="47"/>
      <c r="BW175" s="47"/>
      <c r="BX175" s="57"/>
      <c r="BY175" s="58"/>
      <c r="BZ175" s="59"/>
      <c r="CA175" s="53"/>
    </row>
    <row r="176" ht="11.25" customHeight="1">
      <c r="A176" s="61"/>
      <c r="B176" s="61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48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  <c r="AL176" s="62"/>
      <c r="AM176" s="62"/>
      <c r="AN176" s="62"/>
      <c r="AO176" s="62"/>
      <c r="AP176" s="62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  <c r="BA176" s="63"/>
      <c r="BB176" s="64"/>
      <c r="BC176" s="64"/>
      <c r="BD176" s="64"/>
      <c r="BE176" s="64"/>
      <c r="BF176" s="64"/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5"/>
      <c r="BS176" s="63"/>
      <c r="BT176" s="63"/>
      <c r="BU176" s="65"/>
      <c r="BV176" s="47"/>
      <c r="BW176" s="47"/>
      <c r="BX176" s="64"/>
      <c r="BY176" s="65"/>
      <c r="BZ176" s="63"/>
      <c r="CA176" s="53"/>
    </row>
    <row r="177" ht="11.25" customHeight="1">
      <c r="A177" s="55"/>
      <c r="B177" s="55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48"/>
      <c r="N177" s="56"/>
      <c r="O177" s="56"/>
      <c r="P177" s="56"/>
      <c r="Q177" s="56"/>
      <c r="R177" s="56"/>
      <c r="S177" s="56"/>
      <c r="T177" s="56"/>
      <c r="U177" s="56"/>
      <c r="V177" s="56"/>
      <c r="W177" s="49"/>
      <c r="X177" s="56"/>
      <c r="Y177" s="56"/>
      <c r="Z177" s="56"/>
      <c r="AA177" s="56"/>
      <c r="AB177" s="56"/>
      <c r="AC177" s="56"/>
      <c r="AD177" s="56"/>
      <c r="AE177" s="56"/>
      <c r="AF177" s="56"/>
      <c r="AG177" s="49"/>
      <c r="AH177" s="56"/>
      <c r="AI177" s="56"/>
      <c r="AJ177" s="56"/>
      <c r="AK177" s="56"/>
      <c r="AL177" s="56"/>
      <c r="AM177" s="56"/>
      <c r="AN177" s="56"/>
      <c r="AO177" s="56"/>
      <c r="AP177" s="56"/>
      <c r="AQ177" s="49"/>
      <c r="AR177" s="56"/>
      <c r="AS177" s="56"/>
      <c r="AT177" s="56"/>
      <c r="AU177" s="56"/>
      <c r="AV177" s="56"/>
      <c r="AW177" s="56"/>
      <c r="AX177" s="56"/>
      <c r="AY177" s="56"/>
      <c r="AZ177" s="56"/>
      <c r="BA177" s="50"/>
      <c r="BB177" s="57"/>
      <c r="BC177" s="57"/>
      <c r="BD177" s="57"/>
      <c r="BE177" s="57"/>
      <c r="BF177" s="57"/>
      <c r="BG177" s="57"/>
      <c r="BH177" s="57"/>
      <c r="BI177" s="57"/>
      <c r="BJ177" s="57"/>
      <c r="BK177" s="57"/>
      <c r="BL177" s="57"/>
      <c r="BM177" s="57"/>
      <c r="BN177" s="57"/>
      <c r="BO177" s="57"/>
      <c r="BP177" s="57"/>
      <c r="BQ177" s="57"/>
      <c r="BR177" s="58"/>
      <c r="BS177" s="59"/>
      <c r="BT177" s="59"/>
      <c r="BU177" s="58"/>
      <c r="BV177" s="47"/>
      <c r="BW177" s="47"/>
      <c r="BX177" s="57"/>
      <c r="BY177" s="58"/>
      <c r="BZ177" s="59"/>
      <c r="CA177" s="53"/>
    </row>
    <row r="178" ht="11.25" customHeight="1">
      <c r="A178" s="46"/>
      <c r="B178" s="46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8"/>
      <c r="N178" s="47"/>
      <c r="O178" s="47"/>
      <c r="P178" s="47"/>
      <c r="Q178" s="47"/>
      <c r="R178" s="47"/>
      <c r="S178" s="47"/>
      <c r="T178" s="47"/>
      <c r="U178" s="47"/>
      <c r="V178" s="47"/>
      <c r="W178" s="49"/>
      <c r="X178" s="47"/>
      <c r="Y178" s="47"/>
      <c r="Z178" s="47"/>
      <c r="AA178" s="47"/>
      <c r="AB178" s="47"/>
      <c r="AC178" s="47"/>
      <c r="AD178" s="47"/>
      <c r="AE178" s="47"/>
      <c r="AF178" s="47"/>
      <c r="AG178" s="49"/>
      <c r="AH178" s="47"/>
      <c r="AI178" s="47"/>
      <c r="AJ178" s="47"/>
      <c r="AK178" s="47"/>
      <c r="AL178" s="47"/>
      <c r="AM178" s="47"/>
      <c r="AN178" s="47"/>
      <c r="AO178" s="47"/>
      <c r="AP178" s="47"/>
      <c r="AQ178" s="49"/>
      <c r="AR178" s="47"/>
      <c r="AS178" s="47"/>
      <c r="AT178" s="47"/>
      <c r="AU178" s="47"/>
      <c r="AV178" s="47"/>
      <c r="AW178" s="47"/>
      <c r="AX178" s="47"/>
      <c r="AY178" s="47"/>
      <c r="AZ178" s="47"/>
      <c r="BA178" s="50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1"/>
      <c r="BP178" s="51"/>
      <c r="BQ178" s="51"/>
      <c r="BR178" s="52"/>
      <c r="BS178" s="53"/>
      <c r="BT178" s="53"/>
      <c r="BU178" s="52"/>
      <c r="BV178" s="47"/>
      <c r="BW178" s="47"/>
      <c r="BX178" s="51"/>
      <c r="BY178" s="52"/>
      <c r="BZ178" s="53"/>
      <c r="CA178" s="53"/>
    </row>
    <row r="179" ht="11.25" customHeight="1">
      <c r="A179" s="61"/>
      <c r="B179" s="61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48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  <c r="AL179" s="62"/>
      <c r="AM179" s="62"/>
      <c r="AN179" s="62"/>
      <c r="AO179" s="62"/>
      <c r="AP179" s="62"/>
      <c r="AQ179" s="62"/>
      <c r="AR179" s="62"/>
      <c r="AS179" s="62"/>
      <c r="AT179" s="62"/>
      <c r="AU179" s="62"/>
      <c r="AV179" s="62"/>
      <c r="AW179" s="62"/>
      <c r="AX179" s="62"/>
      <c r="AY179" s="62"/>
      <c r="AZ179" s="62"/>
      <c r="BA179" s="63"/>
      <c r="BB179" s="64"/>
      <c r="BC179" s="64"/>
      <c r="BD179" s="64"/>
      <c r="BE179" s="64"/>
      <c r="BF179" s="64"/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5"/>
      <c r="BS179" s="63"/>
      <c r="BT179" s="63"/>
      <c r="BU179" s="65"/>
      <c r="BV179" s="47"/>
      <c r="BW179" s="47"/>
      <c r="BX179" s="64"/>
      <c r="BY179" s="65"/>
      <c r="BZ179" s="63"/>
      <c r="CA179" s="53"/>
    </row>
    <row r="180" ht="11.25" customHeight="1">
      <c r="A180" s="61"/>
      <c r="B180" s="61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48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  <c r="AL180" s="62"/>
      <c r="AM180" s="62"/>
      <c r="AN180" s="62"/>
      <c r="AO180" s="62"/>
      <c r="AP180" s="62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  <c r="BA180" s="63"/>
      <c r="BB180" s="64"/>
      <c r="BC180" s="64"/>
      <c r="BD180" s="64"/>
      <c r="BE180" s="64"/>
      <c r="BF180" s="64"/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5"/>
      <c r="BS180" s="63"/>
      <c r="BT180" s="63"/>
      <c r="BU180" s="65"/>
      <c r="BV180" s="47"/>
      <c r="BW180" s="47"/>
      <c r="BX180" s="64"/>
      <c r="BY180" s="65"/>
      <c r="BZ180" s="63"/>
      <c r="CA180" s="53"/>
    </row>
    <row r="181" ht="11.25" customHeight="1">
      <c r="A181" s="55"/>
      <c r="B181" s="55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48"/>
      <c r="N181" s="56"/>
      <c r="O181" s="56"/>
      <c r="P181" s="56"/>
      <c r="Q181" s="56"/>
      <c r="R181" s="56"/>
      <c r="S181" s="56"/>
      <c r="T181" s="56"/>
      <c r="U181" s="56"/>
      <c r="V181" s="56"/>
      <c r="W181" s="49"/>
      <c r="X181" s="56"/>
      <c r="Y181" s="56"/>
      <c r="Z181" s="56"/>
      <c r="AA181" s="56"/>
      <c r="AB181" s="56"/>
      <c r="AC181" s="56"/>
      <c r="AD181" s="56"/>
      <c r="AE181" s="56"/>
      <c r="AF181" s="56"/>
      <c r="AG181" s="49"/>
      <c r="AH181" s="56"/>
      <c r="AI181" s="56"/>
      <c r="AJ181" s="56"/>
      <c r="AK181" s="56"/>
      <c r="AL181" s="56"/>
      <c r="AM181" s="56"/>
      <c r="AN181" s="56"/>
      <c r="AO181" s="56"/>
      <c r="AP181" s="56"/>
      <c r="AQ181" s="49"/>
      <c r="AR181" s="56"/>
      <c r="AS181" s="56"/>
      <c r="AT181" s="56"/>
      <c r="AU181" s="56"/>
      <c r="AV181" s="56"/>
      <c r="AW181" s="56"/>
      <c r="AX181" s="56"/>
      <c r="AY181" s="56"/>
      <c r="AZ181" s="56"/>
      <c r="BA181" s="50"/>
      <c r="BB181" s="57"/>
      <c r="BC181" s="57"/>
      <c r="BD181" s="57"/>
      <c r="BE181" s="57"/>
      <c r="BF181" s="57"/>
      <c r="BG181" s="57"/>
      <c r="BH181" s="57"/>
      <c r="BI181" s="57"/>
      <c r="BJ181" s="57"/>
      <c r="BK181" s="57"/>
      <c r="BL181" s="57"/>
      <c r="BM181" s="57"/>
      <c r="BN181" s="57"/>
      <c r="BO181" s="57"/>
      <c r="BP181" s="57"/>
      <c r="BQ181" s="57"/>
      <c r="BR181" s="58"/>
      <c r="BS181" s="59"/>
      <c r="BT181" s="59"/>
      <c r="BU181" s="58"/>
      <c r="BV181" s="47"/>
      <c r="BW181" s="47"/>
      <c r="BX181" s="57"/>
      <c r="BY181" s="58"/>
      <c r="BZ181" s="59"/>
      <c r="CA181" s="53"/>
    </row>
    <row r="182" ht="11.25" customHeight="1">
      <c r="A182" s="61"/>
      <c r="B182" s="61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48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  <c r="AL182" s="62"/>
      <c r="AM182" s="62"/>
      <c r="AN182" s="62"/>
      <c r="AO182" s="62"/>
      <c r="AP182" s="62"/>
      <c r="AQ182" s="62"/>
      <c r="AR182" s="62"/>
      <c r="AS182" s="62"/>
      <c r="AT182" s="62"/>
      <c r="AU182" s="62"/>
      <c r="AV182" s="62"/>
      <c r="AW182" s="62"/>
      <c r="AX182" s="62"/>
      <c r="AY182" s="62"/>
      <c r="AZ182" s="62"/>
      <c r="BA182" s="63"/>
      <c r="BB182" s="64"/>
      <c r="BC182" s="64"/>
      <c r="BD182" s="64"/>
      <c r="BE182" s="64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5"/>
      <c r="BS182" s="63"/>
      <c r="BT182" s="63"/>
      <c r="BU182" s="65"/>
      <c r="BV182" s="47"/>
      <c r="BW182" s="47"/>
      <c r="BX182" s="64"/>
      <c r="BY182" s="65"/>
      <c r="BZ182" s="63"/>
      <c r="CA182" s="53"/>
    </row>
    <row r="183" ht="11.25" customHeight="1">
      <c r="A183" s="55"/>
      <c r="B183" s="55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48"/>
      <c r="N183" s="56"/>
      <c r="O183" s="56"/>
      <c r="P183" s="56"/>
      <c r="Q183" s="56"/>
      <c r="R183" s="56"/>
      <c r="S183" s="56"/>
      <c r="T183" s="56"/>
      <c r="U183" s="56"/>
      <c r="V183" s="56"/>
      <c r="W183" s="49"/>
      <c r="X183" s="56"/>
      <c r="Y183" s="56"/>
      <c r="Z183" s="56"/>
      <c r="AA183" s="56"/>
      <c r="AB183" s="56"/>
      <c r="AC183" s="56"/>
      <c r="AD183" s="56"/>
      <c r="AE183" s="56"/>
      <c r="AF183" s="56"/>
      <c r="AG183" s="49"/>
      <c r="AH183" s="56"/>
      <c r="AI183" s="56"/>
      <c r="AJ183" s="56"/>
      <c r="AK183" s="56"/>
      <c r="AL183" s="56"/>
      <c r="AM183" s="56"/>
      <c r="AN183" s="56"/>
      <c r="AO183" s="56"/>
      <c r="AP183" s="56"/>
      <c r="AQ183" s="49"/>
      <c r="AR183" s="56"/>
      <c r="AS183" s="56"/>
      <c r="AT183" s="56"/>
      <c r="AU183" s="56"/>
      <c r="AV183" s="56"/>
      <c r="AW183" s="56"/>
      <c r="AX183" s="56"/>
      <c r="AY183" s="56"/>
      <c r="AZ183" s="56"/>
      <c r="BA183" s="50"/>
      <c r="BB183" s="57"/>
      <c r="BC183" s="57"/>
      <c r="BD183" s="57"/>
      <c r="BE183" s="57"/>
      <c r="BF183" s="57"/>
      <c r="BG183" s="57"/>
      <c r="BH183" s="57"/>
      <c r="BI183" s="57"/>
      <c r="BJ183" s="57"/>
      <c r="BK183" s="57"/>
      <c r="BL183" s="57"/>
      <c r="BM183" s="57"/>
      <c r="BN183" s="57"/>
      <c r="BO183" s="57"/>
      <c r="BP183" s="57"/>
      <c r="BQ183" s="57"/>
      <c r="BR183" s="58"/>
      <c r="BS183" s="59"/>
      <c r="BT183" s="59"/>
      <c r="BU183" s="58"/>
      <c r="BV183" s="47"/>
      <c r="BW183" s="47"/>
      <c r="BX183" s="57"/>
      <c r="BY183" s="58"/>
      <c r="BZ183" s="59"/>
      <c r="CA183" s="53"/>
    </row>
    <row r="184" ht="11.25" customHeight="1">
      <c r="A184" s="61"/>
      <c r="B184" s="61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48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3"/>
      <c r="BB184" s="64"/>
      <c r="BC184" s="64"/>
      <c r="BD184" s="64"/>
      <c r="BE184" s="64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5"/>
      <c r="BS184" s="63"/>
      <c r="BT184" s="63"/>
      <c r="BU184" s="65"/>
      <c r="BV184" s="47"/>
      <c r="BW184" s="47"/>
      <c r="BX184" s="64"/>
      <c r="BY184" s="65"/>
      <c r="BZ184" s="63"/>
      <c r="CA184" s="53"/>
    </row>
    <row r="185" ht="11.25" customHeight="1">
      <c r="A185" s="55"/>
      <c r="B185" s="55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48"/>
      <c r="N185" s="56"/>
      <c r="O185" s="56"/>
      <c r="P185" s="56"/>
      <c r="Q185" s="56"/>
      <c r="R185" s="56"/>
      <c r="S185" s="56"/>
      <c r="T185" s="56"/>
      <c r="U185" s="56"/>
      <c r="V185" s="56"/>
      <c r="W185" s="49"/>
      <c r="X185" s="56"/>
      <c r="Y185" s="56"/>
      <c r="Z185" s="56"/>
      <c r="AA185" s="56"/>
      <c r="AB185" s="56"/>
      <c r="AC185" s="56"/>
      <c r="AD185" s="56"/>
      <c r="AE185" s="56"/>
      <c r="AF185" s="56"/>
      <c r="AG185" s="49"/>
      <c r="AH185" s="56"/>
      <c r="AI185" s="56"/>
      <c r="AJ185" s="56"/>
      <c r="AK185" s="56"/>
      <c r="AL185" s="56"/>
      <c r="AM185" s="56"/>
      <c r="AN185" s="56"/>
      <c r="AO185" s="56"/>
      <c r="AP185" s="56"/>
      <c r="AQ185" s="49"/>
      <c r="AR185" s="56"/>
      <c r="AS185" s="56"/>
      <c r="AT185" s="56"/>
      <c r="AU185" s="56"/>
      <c r="AV185" s="56"/>
      <c r="AW185" s="56"/>
      <c r="AX185" s="56"/>
      <c r="AY185" s="56"/>
      <c r="AZ185" s="56"/>
      <c r="BA185" s="50"/>
      <c r="BB185" s="57"/>
      <c r="BC185" s="57"/>
      <c r="BD185" s="57"/>
      <c r="BE185" s="57"/>
      <c r="BF185" s="57"/>
      <c r="BG185" s="57"/>
      <c r="BH185" s="57"/>
      <c r="BI185" s="57"/>
      <c r="BJ185" s="57"/>
      <c r="BK185" s="57"/>
      <c r="BL185" s="57"/>
      <c r="BM185" s="57"/>
      <c r="BN185" s="57"/>
      <c r="BO185" s="57"/>
      <c r="BP185" s="57"/>
      <c r="BQ185" s="57"/>
      <c r="BR185" s="58"/>
      <c r="BS185" s="59"/>
      <c r="BT185" s="59"/>
      <c r="BU185" s="58"/>
      <c r="BV185" s="47"/>
      <c r="BW185" s="47"/>
      <c r="BX185" s="57"/>
      <c r="BY185" s="58"/>
      <c r="BZ185" s="59"/>
      <c r="CA185" s="53"/>
    </row>
    <row r="186" ht="11.25" customHeight="1">
      <c r="A186" s="46"/>
      <c r="B186" s="46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8"/>
      <c r="N186" s="47"/>
      <c r="O186" s="47"/>
      <c r="P186" s="47"/>
      <c r="Q186" s="47"/>
      <c r="R186" s="47"/>
      <c r="S186" s="47"/>
      <c r="T186" s="47"/>
      <c r="U186" s="47"/>
      <c r="V186" s="47"/>
      <c r="W186" s="49"/>
      <c r="X186" s="47"/>
      <c r="Y186" s="47"/>
      <c r="Z186" s="47"/>
      <c r="AA186" s="47"/>
      <c r="AB186" s="47"/>
      <c r="AC186" s="47"/>
      <c r="AD186" s="47"/>
      <c r="AE186" s="47"/>
      <c r="AF186" s="47"/>
      <c r="AG186" s="49"/>
      <c r="AH186" s="47"/>
      <c r="AI186" s="47"/>
      <c r="AJ186" s="47"/>
      <c r="AK186" s="47"/>
      <c r="AL186" s="47"/>
      <c r="AM186" s="47"/>
      <c r="AN186" s="47"/>
      <c r="AO186" s="47"/>
      <c r="AP186" s="47"/>
      <c r="AQ186" s="49"/>
      <c r="AR186" s="47"/>
      <c r="AS186" s="47"/>
      <c r="AT186" s="47"/>
      <c r="AU186" s="47"/>
      <c r="AV186" s="47"/>
      <c r="AW186" s="47"/>
      <c r="AX186" s="47"/>
      <c r="AY186" s="47"/>
      <c r="AZ186" s="47"/>
      <c r="BA186" s="50"/>
      <c r="BB186" s="51"/>
      <c r="BC186" s="51"/>
      <c r="BD186" s="51"/>
      <c r="BE186" s="51"/>
      <c r="BF186" s="51"/>
      <c r="BG186" s="51"/>
      <c r="BH186" s="51"/>
      <c r="BI186" s="51"/>
      <c r="BJ186" s="51"/>
      <c r="BK186" s="51"/>
      <c r="BL186" s="51"/>
      <c r="BM186" s="51"/>
      <c r="BN186" s="51"/>
      <c r="BO186" s="51"/>
      <c r="BP186" s="51"/>
      <c r="BQ186" s="51"/>
      <c r="BR186" s="52"/>
      <c r="BS186" s="53"/>
      <c r="BT186" s="53"/>
      <c r="BU186" s="52"/>
      <c r="BV186" s="47"/>
      <c r="BW186" s="47"/>
      <c r="BX186" s="51"/>
      <c r="BY186" s="52"/>
      <c r="BZ186" s="53"/>
      <c r="CA186" s="53"/>
    </row>
    <row r="187" ht="11.25" customHeight="1">
      <c r="A187" s="55"/>
      <c r="B187" s="55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48"/>
      <c r="N187" s="56"/>
      <c r="O187" s="56"/>
      <c r="P187" s="56"/>
      <c r="Q187" s="56"/>
      <c r="R187" s="56"/>
      <c r="S187" s="56"/>
      <c r="T187" s="56"/>
      <c r="U187" s="56"/>
      <c r="V187" s="56"/>
      <c r="W187" s="49"/>
      <c r="X187" s="56"/>
      <c r="Y187" s="56"/>
      <c r="Z187" s="56"/>
      <c r="AA187" s="56"/>
      <c r="AB187" s="56"/>
      <c r="AC187" s="56"/>
      <c r="AD187" s="56"/>
      <c r="AE187" s="56"/>
      <c r="AF187" s="56"/>
      <c r="AG187" s="49"/>
      <c r="AH187" s="56"/>
      <c r="AI187" s="56"/>
      <c r="AJ187" s="56"/>
      <c r="AK187" s="56"/>
      <c r="AL187" s="56"/>
      <c r="AM187" s="56"/>
      <c r="AN187" s="56"/>
      <c r="AO187" s="56"/>
      <c r="AP187" s="56"/>
      <c r="AQ187" s="49"/>
      <c r="AR187" s="56"/>
      <c r="AS187" s="56"/>
      <c r="AT187" s="56"/>
      <c r="AU187" s="56"/>
      <c r="AV187" s="56"/>
      <c r="AW187" s="56"/>
      <c r="AX187" s="56"/>
      <c r="AY187" s="56"/>
      <c r="AZ187" s="56"/>
      <c r="BA187" s="50"/>
      <c r="BB187" s="57"/>
      <c r="BC187" s="57"/>
      <c r="BD187" s="57"/>
      <c r="BE187" s="57"/>
      <c r="BF187" s="57"/>
      <c r="BG187" s="57"/>
      <c r="BH187" s="57"/>
      <c r="BI187" s="57"/>
      <c r="BJ187" s="57"/>
      <c r="BK187" s="57"/>
      <c r="BL187" s="57"/>
      <c r="BM187" s="57"/>
      <c r="BN187" s="57"/>
      <c r="BO187" s="57"/>
      <c r="BP187" s="57"/>
      <c r="BQ187" s="57"/>
      <c r="BR187" s="58"/>
      <c r="BS187" s="59"/>
      <c r="BT187" s="59"/>
      <c r="BU187" s="58"/>
      <c r="BV187" s="47"/>
      <c r="BW187" s="47"/>
      <c r="BX187" s="57"/>
      <c r="BY187" s="58"/>
      <c r="BZ187" s="59"/>
      <c r="CA187" s="53"/>
    </row>
    <row r="188" ht="11.25" customHeight="1">
      <c r="A188" s="46"/>
      <c r="B188" s="46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8"/>
      <c r="N188" s="47"/>
      <c r="O188" s="47"/>
      <c r="P188" s="47"/>
      <c r="Q188" s="47"/>
      <c r="R188" s="47"/>
      <c r="S188" s="47"/>
      <c r="T188" s="47"/>
      <c r="U188" s="47"/>
      <c r="V188" s="47"/>
      <c r="W188" s="49"/>
      <c r="X188" s="47"/>
      <c r="Y188" s="47"/>
      <c r="Z188" s="47"/>
      <c r="AA188" s="47"/>
      <c r="AB188" s="47"/>
      <c r="AC188" s="47"/>
      <c r="AD188" s="47"/>
      <c r="AE188" s="47"/>
      <c r="AF188" s="47"/>
      <c r="AG188" s="49"/>
      <c r="AH188" s="47"/>
      <c r="AI188" s="47"/>
      <c r="AJ188" s="47"/>
      <c r="AK188" s="47"/>
      <c r="AL188" s="47"/>
      <c r="AM188" s="47"/>
      <c r="AN188" s="47"/>
      <c r="AO188" s="47"/>
      <c r="AP188" s="47"/>
      <c r="AQ188" s="49"/>
      <c r="AR188" s="47"/>
      <c r="AS188" s="47"/>
      <c r="AT188" s="47"/>
      <c r="AU188" s="47"/>
      <c r="AV188" s="47"/>
      <c r="AW188" s="47"/>
      <c r="AX188" s="47"/>
      <c r="AY188" s="47"/>
      <c r="AZ188" s="47"/>
      <c r="BA188" s="50"/>
      <c r="BB188" s="51"/>
      <c r="BC188" s="51"/>
      <c r="BD188" s="51"/>
      <c r="BE188" s="51"/>
      <c r="BF188" s="51"/>
      <c r="BG188" s="51"/>
      <c r="BH188" s="51"/>
      <c r="BI188" s="51"/>
      <c r="BJ188" s="51"/>
      <c r="BK188" s="51"/>
      <c r="BL188" s="51"/>
      <c r="BM188" s="51"/>
      <c r="BN188" s="51"/>
      <c r="BO188" s="51"/>
      <c r="BP188" s="51"/>
      <c r="BQ188" s="51"/>
      <c r="BR188" s="52"/>
      <c r="BS188" s="53"/>
      <c r="BT188" s="53"/>
      <c r="BU188" s="52"/>
      <c r="BV188" s="47"/>
      <c r="BW188" s="47"/>
      <c r="BX188" s="51"/>
      <c r="BY188" s="52"/>
      <c r="BZ188" s="53"/>
      <c r="CA188" s="53"/>
    </row>
    <row r="189" ht="11.25" customHeight="1">
      <c r="A189" s="55"/>
      <c r="B189" s="55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48"/>
      <c r="N189" s="56"/>
      <c r="O189" s="56"/>
      <c r="P189" s="56"/>
      <c r="Q189" s="56"/>
      <c r="R189" s="56"/>
      <c r="S189" s="56"/>
      <c r="T189" s="56"/>
      <c r="U189" s="56"/>
      <c r="V189" s="56"/>
      <c r="W189" s="49"/>
      <c r="X189" s="56"/>
      <c r="Y189" s="56"/>
      <c r="Z189" s="56"/>
      <c r="AA189" s="56"/>
      <c r="AB189" s="56"/>
      <c r="AC189" s="56"/>
      <c r="AD189" s="56"/>
      <c r="AE189" s="56"/>
      <c r="AF189" s="56"/>
      <c r="AG189" s="49"/>
      <c r="AH189" s="56"/>
      <c r="AI189" s="56"/>
      <c r="AJ189" s="56"/>
      <c r="AK189" s="56"/>
      <c r="AL189" s="56"/>
      <c r="AM189" s="56"/>
      <c r="AN189" s="56"/>
      <c r="AO189" s="56"/>
      <c r="AP189" s="56"/>
      <c r="AQ189" s="49"/>
      <c r="AR189" s="56"/>
      <c r="AS189" s="56"/>
      <c r="AT189" s="56"/>
      <c r="AU189" s="56"/>
      <c r="AV189" s="56"/>
      <c r="AW189" s="56"/>
      <c r="AX189" s="56"/>
      <c r="AY189" s="56"/>
      <c r="AZ189" s="56"/>
      <c r="BA189" s="50"/>
      <c r="BB189" s="57"/>
      <c r="BC189" s="57"/>
      <c r="BD189" s="57"/>
      <c r="BE189" s="57"/>
      <c r="BF189" s="57"/>
      <c r="BG189" s="57"/>
      <c r="BH189" s="57"/>
      <c r="BI189" s="57"/>
      <c r="BJ189" s="57"/>
      <c r="BK189" s="57"/>
      <c r="BL189" s="57"/>
      <c r="BM189" s="57"/>
      <c r="BN189" s="57"/>
      <c r="BO189" s="57"/>
      <c r="BP189" s="57"/>
      <c r="BQ189" s="57"/>
      <c r="BR189" s="58"/>
      <c r="BS189" s="59"/>
      <c r="BT189" s="59"/>
      <c r="BU189" s="58"/>
      <c r="BV189" s="47"/>
      <c r="BW189" s="47"/>
      <c r="BX189" s="57"/>
      <c r="BY189" s="58"/>
      <c r="BZ189" s="59"/>
      <c r="CA189" s="53"/>
    </row>
    <row r="190" ht="11.25" customHeight="1">
      <c r="A190" s="46"/>
      <c r="B190" s="46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8"/>
      <c r="N190" s="47"/>
      <c r="O190" s="47"/>
      <c r="P190" s="47"/>
      <c r="Q190" s="47"/>
      <c r="R190" s="47"/>
      <c r="S190" s="47"/>
      <c r="T190" s="47"/>
      <c r="U190" s="47"/>
      <c r="V190" s="47"/>
      <c r="W190" s="49"/>
      <c r="X190" s="47"/>
      <c r="Y190" s="47"/>
      <c r="Z190" s="47"/>
      <c r="AA190" s="47"/>
      <c r="AB190" s="47"/>
      <c r="AC190" s="47"/>
      <c r="AD190" s="47"/>
      <c r="AE190" s="47"/>
      <c r="AF190" s="47"/>
      <c r="AG190" s="49"/>
      <c r="AH190" s="47"/>
      <c r="AI190" s="47"/>
      <c r="AJ190" s="47"/>
      <c r="AK190" s="47"/>
      <c r="AL190" s="47"/>
      <c r="AM190" s="47"/>
      <c r="AN190" s="47"/>
      <c r="AO190" s="47"/>
      <c r="AP190" s="47"/>
      <c r="AQ190" s="49"/>
      <c r="AR190" s="47"/>
      <c r="AS190" s="47"/>
      <c r="AT190" s="47"/>
      <c r="AU190" s="47"/>
      <c r="AV190" s="47"/>
      <c r="AW190" s="47"/>
      <c r="AX190" s="47"/>
      <c r="AY190" s="47"/>
      <c r="AZ190" s="47"/>
      <c r="BA190" s="50"/>
      <c r="BB190" s="51"/>
      <c r="BC190" s="51"/>
      <c r="BD190" s="51"/>
      <c r="BE190" s="51"/>
      <c r="BF190" s="51"/>
      <c r="BG190" s="51"/>
      <c r="BH190" s="51"/>
      <c r="BI190" s="51"/>
      <c r="BJ190" s="51"/>
      <c r="BK190" s="51"/>
      <c r="BL190" s="51"/>
      <c r="BM190" s="51"/>
      <c r="BN190" s="51"/>
      <c r="BO190" s="51"/>
      <c r="BP190" s="51"/>
      <c r="BQ190" s="51"/>
      <c r="BR190" s="52"/>
      <c r="BS190" s="53"/>
      <c r="BT190" s="53"/>
      <c r="BU190" s="52"/>
      <c r="BV190" s="47"/>
      <c r="BW190" s="47"/>
      <c r="BX190" s="51"/>
      <c r="BY190" s="52"/>
      <c r="BZ190" s="53"/>
      <c r="CA190" s="53"/>
    </row>
    <row r="191" ht="11.25" customHeight="1">
      <c r="A191" s="55"/>
      <c r="B191" s="55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48"/>
      <c r="N191" s="56"/>
      <c r="O191" s="56"/>
      <c r="P191" s="56"/>
      <c r="Q191" s="56"/>
      <c r="R191" s="56"/>
      <c r="S191" s="56"/>
      <c r="T191" s="56"/>
      <c r="U191" s="56"/>
      <c r="V191" s="56"/>
      <c r="W191" s="49"/>
      <c r="X191" s="56"/>
      <c r="Y191" s="56"/>
      <c r="Z191" s="56"/>
      <c r="AA191" s="56"/>
      <c r="AB191" s="56"/>
      <c r="AC191" s="56"/>
      <c r="AD191" s="56"/>
      <c r="AE191" s="56"/>
      <c r="AF191" s="56"/>
      <c r="AG191" s="49"/>
      <c r="AH191" s="56"/>
      <c r="AI191" s="56"/>
      <c r="AJ191" s="56"/>
      <c r="AK191" s="56"/>
      <c r="AL191" s="56"/>
      <c r="AM191" s="56"/>
      <c r="AN191" s="56"/>
      <c r="AO191" s="56"/>
      <c r="AP191" s="56"/>
      <c r="AQ191" s="49"/>
      <c r="AR191" s="56"/>
      <c r="AS191" s="56"/>
      <c r="AT191" s="56"/>
      <c r="AU191" s="56"/>
      <c r="AV191" s="56"/>
      <c r="AW191" s="56"/>
      <c r="AX191" s="56"/>
      <c r="AY191" s="56"/>
      <c r="AZ191" s="56"/>
      <c r="BA191" s="50"/>
      <c r="BB191" s="57"/>
      <c r="BC191" s="57"/>
      <c r="BD191" s="57"/>
      <c r="BE191" s="57"/>
      <c r="BF191" s="57"/>
      <c r="BG191" s="57"/>
      <c r="BH191" s="57"/>
      <c r="BI191" s="57"/>
      <c r="BJ191" s="57"/>
      <c r="BK191" s="57"/>
      <c r="BL191" s="57"/>
      <c r="BM191" s="57"/>
      <c r="BN191" s="57"/>
      <c r="BO191" s="57"/>
      <c r="BP191" s="57"/>
      <c r="BQ191" s="57"/>
      <c r="BR191" s="58"/>
      <c r="BS191" s="59"/>
      <c r="BT191" s="59"/>
      <c r="BU191" s="58"/>
      <c r="BV191" s="47"/>
      <c r="BW191" s="47"/>
      <c r="BX191" s="57"/>
      <c r="BY191" s="58"/>
      <c r="BZ191" s="59"/>
      <c r="CA191" s="53"/>
    </row>
    <row r="192" ht="11.25" customHeight="1">
      <c r="A192" s="46"/>
      <c r="B192" s="46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8"/>
      <c r="N192" s="47"/>
      <c r="O192" s="47"/>
      <c r="P192" s="47"/>
      <c r="Q192" s="47"/>
      <c r="R192" s="47"/>
      <c r="S192" s="47"/>
      <c r="T192" s="47"/>
      <c r="U192" s="47"/>
      <c r="V192" s="47"/>
      <c r="W192" s="49"/>
      <c r="X192" s="47"/>
      <c r="Y192" s="47"/>
      <c r="Z192" s="47"/>
      <c r="AA192" s="47"/>
      <c r="AB192" s="47"/>
      <c r="AC192" s="47"/>
      <c r="AD192" s="47"/>
      <c r="AE192" s="47"/>
      <c r="AF192" s="47"/>
      <c r="AG192" s="49"/>
      <c r="AH192" s="47"/>
      <c r="AI192" s="47"/>
      <c r="AJ192" s="47"/>
      <c r="AK192" s="47"/>
      <c r="AL192" s="47"/>
      <c r="AM192" s="47"/>
      <c r="AN192" s="47"/>
      <c r="AO192" s="47"/>
      <c r="AP192" s="47"/>
      <c r="AQ192" s="49"/>
      <c r="AR192" s="47"/>
      <c r="AS192" s="47"/>
      <c r="AT192" s="47"/>
      <c r="AU192" s="47"/>
      <c r="AV192" s="47"/>
      <c r="AW192" s="47"/>
      <c r="AX192" s="47"/>
      <c r="AY192" s="47"/>
      <c r="AZ192" s="47"/>
      <c r="BA192" s="50"/>
      <c r="BB192" s="51"/>
      <c r="BC192" s="51"/>
      <c r="BD192" s="51"/>
      <c r="BE192" s="51"/>
      <c r="BF192" s="51"/>
      <c r="BG192" s="51"/>
      <c r="BH192" s="51"/>
      <c r="BI192" s="51"/>
      <c r="BJ192" s="51"/>
      <c r="BK192" s="51"/>
      <c r="BL192" s="51"/>
      <c r="BM192" s="51"/>
      <c r="BN192" s="51"/>
      <c r="BO192" s="51"/>
      <c r="BP192" s="51"/>
      <c r="BQ192" s="51"/>
      <c r="BR192" s="52"/>
      <c r="BS192" s="53"/>
      <c r="BT192" s="53"/>
      <c r="BU192" s="52"/>
      <c r="BV192" s="47"/>
      <c r="BW192" s="47"/>
      <c r="BX192" s="51"/>
      <c r="BY192" s="52"/>
      <c r="BZ192" s="53"/>
      <c r="CA192" s="53"/>
    </row>
    <row r="193" ht="11.25" customHeight="1">
      <c r="A193" s="55"/>
      <c r="B193" s="55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48"/>
      <c r="N193" s="56"/>
      <c r="O193" s="56"/>
      <c r="P193" s="56"/>
      <c r="Q193" s="56"/>
      <c r="R193" s="56"/>
      <c r="S193" s="56"/>
      <c r="T193" s="56"/>
      <c r="U193" s="56"/>
      <c r="V193" s="56"/>
      <c r="W193" s="49"/>
      <c r="X193" s="56"/>
      <c r="Y193" s="56"/>
      <c r="Z193" s="56"/>
      <c r="AA193" s="56"/>
      <c r="AB193" s="56"/>
      <c r="AC193" s="56"/>
      <c r="AD193" s="56"/>
      <c r="AE193" s="56"/>
      <c r="AF193" s="56"/>
      <c r="AG193" s="49"/>
      <c r="AH193" s="56"/>
      <c r="AI193" s="56"/>
      <c r="AJ193" s="56"/>
      <c r="AK193" s="56"/>
      <c r="AL193" s="56"/>
      <c r="AM193" s="56"/>
      <c r="AN193" s="56"/>
      <c r="AO193" s="56"/>
      <c r="AP193" s="56"/>
      <c r="AQ193" s="49"/>
      <c r="AR193" s="56"/>
      <c r="AS193" s="56"/>
      <c r="AT193" s="56"/>
      <c r="AU193" s="56"/>
      <c r="AV193" s="56"/>
      <c r="AW193" s="56"/>
      <c r="AX193" s="56"/>
      <c r="AY193" s="56"/>
      <c r="AZ193" s="56"/>
      <c r="BA193" s="50"/>
      <c r="BB193" s="57"/>
      <c r="BC193" s="57"/>
      <c r="BD193" s="57"/>
      <c r="BE193" s="57"/>
      <c r="BF193" s="57"/>
      <c r="BG193" s="57"/>
      <c r="BH193" s="57"/>
      <c r="BI193" s="57"/>
      <c r="BJ193" s="57"/>
      <c r="BK193" s="57"/>
      <c r="BL193" s="57"/>
      <c r="BM193" s="57"/>
      <c r="BN193" s="57"/>
      <c r="BO193" s="57"/>
      <c r="BP193" s="57"/>
      <c r="BQ193" s="57"/>
      <c r="BR193" s="58"/>
      <c r="BS193" s="59"/>
      <c r="BT193" s="59"/>
      <c r="BU193" s="58"/>
      <c r="BV193" s="47"/>
      <c r="BW193" s="47"/>
      <c r="BX193" s="57"/>
      <c r="BY193" s="58"/>
      <c r="BZ193" s="59"/>
      <c r="CA193" s="53"/>
    </row>
    <row r="194" ht="11.25" customHeight="1">
      <c r="A194" s="46"/>
      <c r="B194" s="46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8"/>
      <c r="N194" s="47"/>
      <c r="O194" s="47"/>
      <c r="P194" s="47"/>
      <c r="Q194" s="47"/>
      <c r="R194" s="47"/>
      <c r="S194" s="47"/>
      <c r="T194" s="47"/>
      <c r="U194" s="47"/>
      <c r="V194" s="47"/>
      <c r="W194" s="49"/>
      <c r="X194" s="47"/>
      <c r="Y194" s="47"/>
      <c r="Z194" s="47"/>
      <c r="AA194" s="47"/>
      <c r="AB194" s="47"/>
      <c r="AC194" s="47"/>
      <c r="AD194" s="47"/>
      <c r="AE194" s="47"/>
      <c r="AF194" s="47"/>
      <c r="AG194" s="49"/>
      <c r="AH194" s="47"/>
      <c r="AI194" s="47"/>
      <c r="AJ194" s="47"/>
      <c r="AK194" s="47"/>
      <c r="AL194" s="47"/>
      <c r="AM194" s="47"/>
      <c r="AN194" s="47"/>
      <c r="AO194" s="47"/>
      <c r="AP194" s="47"/>
      <c r="AQ194" s="49"/>
      <c r="AR194" s="47"/>
      <c r="AS194" s="47"/>
      <c r="AT194" s="47"/>
      <c r="AU194" s="47"/>
      <c r="AV194" s="47"/>
      <c r="AW194" s="47"/>
      <c r="AX194" s="47"/>
      <c r="AY194" s="47"/>
      <c r="AZ194" s="47"/>
      <c r="BA194" s="50"/>
      <c r="BB194" s="51"/>
      <c r="BC194" s="51"/>
      <c r="BD194" s="51"/>
      <c r="BE194" s="51"/>
      <c r="BF194" s="51"/>
      <c r="BG194" s="51"/>
      <c r="BH194" s="51"/>
      <c r="BI194" s="51"/>
      <c r="BJ194" s="51"/>
      <c r="BK194" s="51"/>
      <c r="BL194" s="51"/>
      <c r="BM194" s="51"/>
      <c r="BN194" s="51"/>
      <c r="BO194" s="51"/>
      <c r="BP194" s="51"/>
      <c r="BQ194" s="51"/>
      <c r="BR194" s="53"/>
      <c r="BS194" s="53"/>
      <c r="BT194" s="53"/>
      <c r="BU194" s="53"/>
      <c r="BV194" s="47"/>
      <c r="BW194" s="47"/>
      <c r="BX194" s="51"/>
      <c r="BY194" s="53"/>
      <c r="BZ194" s="53"/>
      <c r="CA194" s="53"/>
    </row>
    <row r="195" ht="11.25" customHeight="1">
      <c r="A195" s="55"/>
      <c r="B195" s="55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48"/>
      <c r="N195" s="56"/>
      <c r="O195" s="56"/>
      <c r="P195" s="56"/>
      <c r="Q195" s="56"/>
      <c r="R195" s="56"/>
      <c r="S195" s="56"/>
      <c r="T195" s="56"/>
      <c r="U195" s="56"/>
      <c r="V195" s="56"/>
      <c r="W195" s="49"/>
      <c r="X195" s="56"/>
      <c r="Y195" s="56"/>
      <c r="Z195" s="56"/>
      <c r="AA195" s="56"/>
      <c r="AB195" s="56"/>
      <c r="AC195" s="56"/>
      <c r="AD195" s="56"/>
      <c r="AE195" s="56"/>
      <c r="AF195" s="56"/>
      <c r="AG195" s="49"/>
      <c r="AH195" s="56"/>
      <c r="AI195" s="56"/>
      <c r="AJ195" s="56"/>
      <c r="AK195" s="56"/>
      <c r="AL195" s="56"/>
      <c r="AM195" s="56"/>
      <c r="AN195" s="56"/>
      <c r="AO195" s="56"/>
      <c r="AP195" s="56"/>
      <c r="AQ195" s="49"/>
      <c r="AR195" s="56"/>
      <c r="AS195" s="56"/>
      <c r="AT195" s="56"/>
      <c r="AU195" s="56"/>
      <c r="AV195" s="56"/>
      <c r="AW195" s="56"/>
      <c r="AX195" s="56"/>
      <c r="AY195" s="56"/>
      <c r="AZ195" s="56"/>
      <c r="BA195" s="50"/>
      <c r="BB195" s="57"/>
      <c r="BC195" s="57"/>
      <c r="BD195" s="57"/>
      <c r="BE195" s="57"/>
      <c r="BF195" s="57"/>
      <c r="BG195" s="57"/>
      <c r="BH195" s="57"/>
      <c r="BI195" s="57"/>
      <c r="BJ195" s="57"/>
      <c r="BK195" s="57"/>
      <c r="BL195" s="57"/>
      <c r="BM195" s="57"/>
      <c r="BN195" s="57"/>
      <c r="BO195" s="57"/>
      <c r="BP195" s="57"/>
      <c r="BQ195" s="57"/>
      <c r="BR195" s="58"/>
      <c r="BS195" s="59"/>
      <c r="BT195" s="59"/>
      <c r="BU195" s="58"/>
      <c r="BV195" s="47"/>
      <c r="BW195" s="47"/>
      <c r="BX195" s="57"/>
      <c r="BY195" s="58"/>
      <c r="BZ195" s="59"/>
      <c r="CA195" s="53"/>
    </row>
    <row r="196" ht="11.25" customHeight="1">
      <c r="A196" s="46"/>
      <c r="B196" s="46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8"/>
      <c r="N196" s="47"/>
      <c r="O196" s="47"/>
      <c r="P196" s="47"/>
      <c r="Q196" s="47"/>
      <c r="R196" s="47"/>
      <c r="S196" s="47"/>
      <c r="T196" s="47"/>
      <c r="U196" s="47"/>
      <c r="V196" s="47"/>
      <c r="W196" s="49"/>
      <c r="X196" s="47"/>
      <c r="Y196" s="47"/>
      <c r="Z196" s="47"/>
      <c r="AA196" s="47"/>
      <c r="AB196" s="47"/>
      <c r="AC196" s="47"/>
      <c r="AD196" s="47"/>
      <c r="AE196" s="47"/>
      <c r="AF196" s="47"/>
      <c r="AG196" s="49"/>
      <c r="AH196" s="47"/>
      <c r="AI196" s="47"/>
      <c r="AJ196" s="47"/>
      <c r="AK196" s="47"/>
      <c r="AL196" s="47"/>
      <c r="AM196" s="47"/>
      <c r="AN196" s="47"/>
      <c r="AO196" s="47"/>
      <c r="AP196" s="47"/>
      <c r="AQ196" s="49"/>
      <c r="AR196" s="47"/>
      <c r="AS196" s="47"/>
      <c r="AT196" s="47"/>
      <c r="AU196" s="47"/>
      <c r="AV196" s="47"/>
      <c r="AW196" s="47"/>
      <c r="AX196" s="47"/>
      <c r="AY196" s="47"/>
      <c r="AZ196" s="47"/>
      <c r="BA196" s="50"/>
      <c r="BB196" s="51"/>
      <c r="BC196" s="51"/>
      <c r="BD196" s="51"/>
      <c r="BE196" s="51"/>
      <c r="BF196" s="51"/>
      <c r="BG196" s="51"/>
      <c r="BH196" s="51"/>
      <c r="BI196" s="51"/>
      <c r="BJ196" s="51"/>
      <c r="BK196" s="51"/>
      <c r="BL196" s="51"/>
      <c r="BM196" s="51"/>
      <c r="BN196" s="51"/>
      <c r="BO196" s="51"/>
      <c r="BP196" s="51"/>
      <c r="BQ196" s="51"/>
      <c r="BR196" s="52"/>
      <c r="BS196" s="53"/>
      <c r="BT196" s="53"/>
      <c r="BU196" s="52"/>
      <c r="BV196" s="47"/>
      <c r="BW196" s="47"/>
      <c r="BX196" s="51"/>
      <c r="BY196" s="52"/>
      <c r="BZ196" s="53"/>
      <c r="CA196" s="53"/>
    </row>
    <row r="197" ht="11.25" customHeight="1">
      <c r="A197" s="55"/>
      <c r="B197" s="55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48"/>
      <c r="N197" s="56"/>
      <c r="O197" s="56"/>
      <c r="P197" s="56"/>
      <c r="Q197" s="56"/>
      <c r="R197" s="56"/>
      <c r="S197" s="56"/>
      <c r="T197" s="56"/>
      <c r="U197" s="56"/>
      <c r="V197" s="56"/>
      <c r="W197" s="49"/>
      <c r="X197" s="56"/>
      <c r="Y197" s="56"/>
      <c r="Z197" s="56"/>
      <c r="AA197" s="56"/>
      <c r="AB197" s="56"/>
      <c r="AC197" s="56"/>
      <c r="AD197" s="56"/>
      <c r="AE197" s="56"/>
      <c r="AF197" s="56"/>
      <c r="AG197" s="49"/>
      <c r="AH197" s="56"/>
      <c r="AI197" s="56"/>
      <c r="AJ197" s="56"/>
      <c r="AK197" s="56"/>
      <c r="AL197" s="56"/>
      <c r="AM197" s="56"/>
      <c r="AN197" s="56"/>
      <c r="AO197" s="56"/>
      <c r="AP197" s="56"/>
      <c r="AQ197" s="49"/>
      <c r="AR197" s="56"/>
      <c r="AS197" s="56"/>
      <c r="AT197" s="56"/>
      <c r="AU197" s="56"/>
      <c r="AV197" s="56"/>
      <c r="AW197" s="56"/>
      <c r="AX197" s="56"/>
      <c r="AY197" s="56"/>
      <c r="AZ197" s="56"/>
      <c r="BA197" s="50"/>
      <c r="BB197" s="57"/>
      <c r="BC197" s="57"/>
      <c r="BD197" s="57"/>
      <c r="BE197" s="57"/>
      <c r="BF197" s="57"/>
      <c r="BG197" s="57"/>
      <c r="BH197" s="57"/>
      <c r="BI197" s="57"/>
      <c r="BJ197" s="57"/>
      <c r="BK197" s="57"/>
      <c r="BL197" s="57"/>
      <c r="BM197" s="57"/>
      <c r="BN197" s="57"/>
      <c r="BO197" s="57"/>
      <c r="BP197" s="57"/>
      <c r="BQ197" s="57"/>
      <c r="BR197" s="58"/>
      <c r="BS197" s="59"/>
      <c r="BT197" s="59"/>
      <c r="BU197" s="58"/>
      <c r="BV197" s="47"/>
      <c r="BW197" s="47"/>
      <c r="BX197" s="57"/>
      <c r="BY197" s="58"/>
      <c r="BZ197" s="59"/>
      <c r="CA197" s="53"/>
    </row>
    <row r="198" ht="11.25" customHeight="1">
      <c r="A198" s="46"/>
      <c r="B198" s="46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8"/>
      <c r="N198" s="47"/>
      <c r="O198" s="47"/>
      <c r="P198" s="47"/>
      <c r="Q198" s="47"/>
      <c r="R198" s="47"/>
      <c r="S198" s="47"/>
      <c r="T198" s="47"/>
      <c r="U198" s="47"/>
      <c r="V198" s="47"/>
      <c r="W198" s="49"/>
      <c r="X198" s="47"/>
      <c r="Y198" s="47"/>
      <c r="Z198" s="47"/>
      <c r="AA198" s="47"/>
      <c r="AB198" s="47"/>
      <c r="AC198" s="47"/>
      <c r="AD198" s="47"/>
      <c r="AE198" s="47"/>
      <c r="AF198" s="47"/>
      <c r="AG198" s="49"/>
      <c r="AH198" s="47"/>
      <c r="AI198" s="47"/>
      <c r="AJ198" s="47"/>
      <c r="AK198" s="47"/>
      <c r="AL198" s="47"/>
      <c r="AM198" s="47"/>
      <c r="AN198" s="47"/>
      <c r="AO198" s="47"/>
      <c r="AP198" s="47"/>
      <c r="AQ198" s="49"/>
      <c r="AR198" s="47"/>
      <c r="AS198" s="47"/>
      <c r="AT198" s="47"/>
      <c r="AU198" s="47"/>
      <c r="AV198" s="47"/>
      <c r="AW198" s="47"/>
      <c r="AX198" s="47"/>
      <c r="AY198" s="47"/>
      <c r="AZ198" s="47"/>
      <c r="BA198" s="50"/>
      <c r="BB198" s="51"/>
      <c r="BC198" s="51"/>
      <c r="BD198" s="51"/>
      <c r="BE198" s="51"/>
      <c r="BF198" s="51"/>
      <c r="BG198" s="51"/>
      <c r="BH198" s="51"/>
      <c r="BI198" s="51"/>
      <c r="BJ198" s="51"/>
      <c r="BK198" s="51"/>
      <c r="BL198" s="51"/>
      <c r="BM198" s="51"/>
      <c r="BN198" s="51"/>
      <c r="BO198" s="51"/>
      <c r="BP198" s="51"/>
      <c r="BQ198" s="51"/>
      <c r="BR198" s="52"/>
      <c r="BS198" s="53"/>
      <c r="BT198" s="53"/>
      <c r="BU198" s="52"/>
      <c r="BV198" s="47"/>
      <c r="BW198" s="47"/>
      <c r="BX198" s="51"/>
      <c r="BY198" s="52"/>
      <c r="BZ198" s="53"/>
      <c r="CA198" s="53"/>
    </row>
    <row r="199" ht="11.25" customHeight="1">
      <c r="A199" s="55"/>
      <c r="B199" s="55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48"/>
      <c r="N199" s="56"/>
      <c r="O199" s="56"/>
      <c r="P199" s="56"/>
      <c r="Q199" s="56"/>
      <c r="R199" s="56"/>
      <c r="S199" s="56"/>
      <c r="T199" s="56"/>
      <c r="U199" s="56"/>
      <c r="V199" s="56"/>
      <c r="W199" s="49"/>
      <c r="X199" s="56"/>
      <c r="Y199" s="56"/>
      <c r="Z199" s="56"/>
      <c r="AA199" s="56"/>
      <c r="AB199" s="56"/>
      <c r="AC199" s="56"/>
      <c r="AD199" s="56"/>
      <c r="AE199" s="56"/>
      <c r="AF199" s="56"/>
      <c r="AG199" s="49"/>
      <c r="AH199" s="56"/>
      <c r="AI199" s="56"/>
      <c r="AJ199" s="56"/>
      <c r="AK199" s="56"/>
      <c r="AL199" s="56"/>
      <c r="AM199" s="56"/>
      <c r="AN199" s="56"/>
      <c r="AO199" s="56"/>
      <c r="AP199" s="56"/>
      <c r="AQ199" s="49"/>
      <c r="AR199" s="56"/>
      <c r="AS199" s="56"/>
      <c r="AT199" s="56"/>
      <c r="AU199" s="56"/>
      <c r="AV199" s="56"/>
      <c r="AW199" s="56"/>
      <c r="AX199" s="56"/>
      <c r="AY199" s="56"/>
      <c r="AZ199" s="56"/>
      <c r="BA199" s="50"/>
      <c r="BB199" s="57"/>
      <c r="BC199" s="57"/>
      <c r="BD199" s="57"/>
      <c r="BE199" s="57"/>
      <c r="BF199" s="57"/>
      <c r="BG199" s="57"/>
      <c r="BH199" s="57"/>
      <c r="BI199" s="57"/>
      <c r="BJ199" s="57"/>
      <c r="BK199" s="57"/>
      <c r="BL199" s="57"/>
      <c r="BM199" s="57"/>
      <c r="BN199" s="57"/>
      <c r="BO199" s="57"/>
      <c r="BP199" s="57"/>
      <c r="BQ199" s="57"/>
      <c r="BR199" s="58"/>
      <c r="BS199" s="59"/>
      <c r="BT199" s="59"/>
      <c r="BU199" s="58"/>
      <c r="BV199" s="47"/>
      <c r="BW199" s="47"/>
      <c r="BX199" s="57"/>
      <c r="BY199" s="58"/>
      <c r="BZ199" s="59"/>
      <c r="CA199" s="53"/>
    </row>
    <row r="200" ht="11.25" customHeight="1">
      <c r="A200" s="46"/>
      <c r="B200" s="46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8"/>
      <c r="N200" s="47"/>
      <c r="O200" s="47"/>
      <c r="P200" s="47"/>
      <c r="Q200" s="47"/>
      <c r="R200" s="47"/>
      <c r="S200" s="47"/>
      <c r="T200" s="47"/>
      <c r="U200" s="47"/>
      <c r="V200" s="47"/>
      <c r="W200" s="49"/>
      <c r="X200" s="47"/>
      <c r="Y200" s="47"/>
      <c r="Z200" s="47"/>
      <c r="AA200" s="47"/>
      <c r="AB200" s="47"/>
      <c r="AC200" s="47"/>
      <c r="AD200" s="47"/>
      <c r="AE200" s="47"/>
      <c r="AF200" s="47"/>
      <c r="AG200" s="49"/>
      <c r="AH200" s="47"/>
      <c r="AI200" s="47"/>
      <c r="AJ200" s="47"/>
      <c r="AK200" s="47"/>
      <c r="AL200" s="47"/>
      <c r="AM200" s="47"/>
      <c r="AN200" s="47"/>
      <c r="AO200" s="47"/>
      <c r="AP200" s="47"/>
      <c r="AQ200" s="49"/>
      <c r="AR200" s="47"/>
      <c r="AS200" s="47"/>
      <c r="AT200" s="47"/>
      <c r="AU200" s="47"/>
      <c r="AV200" s="47"/>
      <c r="AW200" s="47"/>
      <c r="AX200" s="47"/>
      <c r="AY200" s="47"/>
      <c r="AZ200" s="47"/>
      <c r="BA200" s="50"/>
      <c r="BB200" s="51"/>
      <c r="BC200" s="51"/>
      <c r="BD200" s="51"/>
      <c r="BE200" s="51"/>
      <c r="BF200" s="51"/>
      <c r="BG200" s="51"/>
      <c r="BH200" s="51"/>
      <c r="BI200" s="51"/>
      <c r="BJ200" s="51"/>
      <c r="BK200" s="51"/>
      <c r="BL200" s="51"/>
      <c r="BM200" s="51"/>
      <c r="BN200" s="51"/>
      <c r="BO200" s="51"/>
      <c r="BP200" s="51"/>
      <c r="BQ200" s="51"/>
      <c r="BR200" s="52"/>
      <c r="BS200" s="53"/>
      <c r="BT200" s="53"/>
      <c r="BU200" s="52"/>
      <c r="BV200" s="47"/>
      <c r="BW200" s="47"/>
      <c r="BX200" s="51"/>
      <c r="BY200" s="52"/>
      <c r="BZ200" s="53"/>
      <c r="CA200" s="53"/>
    </row>
    <row r="201" ht="11.25" customHeight="1">
      <c r="A201" s="55"/>
      <c r="B201" s="55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48"/>
      <c r="N201" s="56"/>
      <c r="O201" s="56"/>
      <c r="P201" s="56"/>
      <c r="Q201" s="56"/>
      <c r="R201" s="56"/>
      <c r="S201" s="56"/>
      <c r="T201" s="56"/>
      <c r="U201" s="56"/>
      <c r="V201" s="56"/>
      <c r="W201" s="49"/>
      <c r="X201" s="56"/>
      <c r="Y201" s="56"/>
      <c r="Z201" s="56"/>
      <c r="AA201" s="56"/>
      <c r="AB201" s="56"/>
      <c r="AC201" s="56"/>
      <c r="AD201" s="56"/>
      <c r="AE201" s="56"/>
      <c r="AF201" s="56"/>
      <c r="AG201" s="49"/>
      <c r="AH201" s="56"/>
      <c r="AI201" s="56"/>
      <c r="AJ201" s="56"/>
      <c r="AK201" s="56"/>
      <c r="AL201" s="56"/>
      <c r="AM201" s="56"/>
      <c r="AN201" s="56"/>
      <c r="AO201" s="56"/>
      <c r="AP201" s="56"/>
      <c r="AQ201" s="49"/>
      <c r="AR201" s="56"/>
      <c r="AS201" s="56"/>
      <c r="AT201" s="56"/>
      <c r="AU201" s="56"/>
      <c r="AV201" s="56"/>
      <c r="AW201" s="56"/>
      <c r="AX201" s="56"/>
      <c r="AY201" s="56"/>
      <c r="AZ201" s="56"/>
      <c r="BA201" s="50"/>
      <c r="BB201" s="57"/>
      <c r="BC201" s="57"/>
      <c r="BD201" s="57"/>
      <c r="BE201" s="57"/>
      <c r="BF201" s="57"/>
      <c r="BG201" s="57"/>
      <c r="BH201" s="57"/>
      <c r="BI201" s="57"/>
      <c r="BJ201" s="57"/>
      <c r="BK201" s="57"/>
      <c r="BL201" s="57"/>
      <c r="BM201" s="57"/>
      <c r="BN201" s="57"/>
      <c r="BO201" s="57"/>
      <c r="BP201" s="57"/>
      <c r="BQ201" s="57"/>
      <c r="BR201" s="58"/>
      <c r="BS201" s="59"/>
      <c r="BT201" s="59"/>
      <c r="BU201" s="58"/>
      <c r="BV201" s="47"/>
      <c r="BW201" s="47"/>
      <c r="BX201" s="57"/>
      <c r="BY201" s="58"/>
      <c r="BZ201" s="59"/>
      <c r="CA201" s="53"/>
    </row>
    <row r="202" ht="11.25" customHeight="1">
      <c r="A202" s="46"/>
      <c r="B202" s="46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8"/>
      <c r="N202" s="47"/>
      <c r="O202" s="47"/>
      <c r="P202" s="47"/>
      <c r="Q202" s="47"/>
      <c r="R202" s="47"/>
      <c r="S202" s="47"/>
      <c r="T202" s="47"/>
      <c r="U202" s="47"/>
      <c r="V202" s="47"/>
      <c r="W202" s="49"/>
      <c r="X202" s="47"/>
      <c r="Y202" s="47"/>
      <c r="Z202" s="47"/>
      <c r="AA202" s="47"/>
      <c r="AB202" s="47"/>
      <c r="AC202" s="47"/>
      <c r="AD202" s="47"/>
      <c r="AE202" s="47"/>
      <c r="AF202" s="47"/>
      <c r="AG202" s="49"/>
      <c r="AH202" s="47"/>
      <c r="AI202" s="47"/>
      <c r="AJ202" s="47"/>
      <c r="AK202" s="47"/>
      <c r="AL202" s="47"/>
      <c r="AM202" s="47"/>
      <c r="AN202" s="47"/>
      <c r="AO202" s="47"/>
      <c r="AP202" s="47"/>
      <c r="AQ202" s="49"/>
      <c r="AR202" s="47"/>
      <c r="AS202" s="47"/>
      <c r="AT202" s="47"/>
      <c r="AU202" s="47"/>
      <c r="AV202" s="47"/>
      <c r="AW202" s="47"/>
      <c r="AX202" s="47"/>
      <c r="AY202" s="47"/>
      <c r="AZ202" s="47"/>
      <c r="BA202" s="50"/>
      <c r="BB202" s="51"/>
      <c r="BC202" s="51"/>
      <c r="BD202" s="51"/>
      <c r="BE202" s="51"/>
      <c r="BF202" s="51"/>
      <c r="BG202" s="51"/>
      <c r="BH202" s="51"/>
      <c r="BI202" s="51"/>
      <c r="BJ202" s="51"/>
      <c r="BK202" s="51"/>
      <c r="BL202" s="51"/>
      <c r="BM202" s="51"/>
      <c r="BN202" s="51"/>
      <c r="BO202" s="51"/>
      <c r="BP202" s="51"/>
      <c r="BQ202" s="51"/>
      <c r="BR202" s="52"/>
      <c r="BS202" s="53"/>
      <c r="BT202" s="53"/>
      <c r="BU202" s="52"/>
      <c r="BV202" s="47"/>
      <c r="BW202" s="47"/>
      <c r="BX202" s="51"/>
      <c r="BY202" s="52"/>
      <c r="BZ202" s="53"/>
      <c r="CA202" s="53"/>
    </row>
    <row r="203" ht="11.25" customHeight="1">
      <c r="A203" s="55"/>
      <c r="B203" s="55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48"/>
      <c r="N203" s="56"/>
      <c r="O203" s="56"/>
      <c r="P203" s="56"/>
      <c r="Q203" s="56"/>
      <c r="R203" s="56"/>
      <c r="S203" s="56"/>
      <c r="T203" s="56"/>
      <c r="U203" s="56"/>
      <c r="V203" s="56"/>
      <c r="W203" s="49"/>
      <c r="X203" s="56"/>
      <c r="Y203" s="56"/>
      <c r="Z203" s="56"/>
      <c r="AA203" s="56"/>
      <c r="AB203" s="56"/>
      <c r="AC203" s="56"/>
      <c r="AD203" s="56"/>
      <c r="AE203" s="56"/>
      <c r="AF203" s="56"/>
      <c r="AG203" s="49"/>
      <c r="AH203" s="56"/>
      <c r="AI203" s="56"/>
      <c r="AJ203" s="56"/>
      <c r="AK203" s="56"/>
      <c r="AL203" s="56"/>
      <c r="AM203" s="56"/>
      <c r="AN203" s="56"/>
      <c r="AO203" s="56"/>
      <c r="AP203" s="56"/>
      <c r="AQ203" s="49"/>
      <c r="AR203" s="56"/>
      <c r="AS203" s="56"/>
      <c r="AT203" s="56"/>
      <c r="AU203" s="56"/>
      <c r="AV203" s="56"/>
      <c r="AW203" s="56"/>
      <c r="AX203" s="56"/>
      <c r="AY203" s="56"/>
      <c r="AZ203" s="56"/>
      <c r="BA203" s="50"/>
      <c r="BB203" s="57"/>
      <c r="BC203" s="57"/>
      <c r="BD203" s="57"/>
      <c r="BE203" s="57"/>
      <c r="BF203" s="57"/>
      <c r="BG203" s="57"/>
      <c r="BH203" s="57"/>
      <c r="BI203" s="57"/>
      <c r="BJ203" s="57"/>
      <c r="BK203" s="57"/>
      <c r="BL203" s="57"/>
      <c r="BM203" s="57"/>
      <c r="BN203" s="57"/>
      <c r="BO203" s="57"/>
      <c r="BP203" s="57"/>
      <c r="BQ203" s="57"/>
      <c r="BR203" s="58"/>
      <c r="BS203" s="59"/>
      <c r="BT203" s="59"/>
      <c r="BU203" s="58"/>
      <c r="BV203" s="47"/>
      <c r="BW203" s="47"/>
      <c r="BX203" s="57"/>
      <c r="BY203" s="58"/>
      <c r="BZ203" s="59"/>
      <c r="CA203" s="53"/>
    </row>
    <row r="204" ht="11.25" customHeight="1">
      <c r="A204" s="46"/>
      <c r="B204" s="46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8"/>
      <c r="N204" s="47"/>
      <c r="O204" s="47"/>
      <c r="P204" s="47"/>
      <c r="Q204" s="47"/>
      <c r="R204" s="47"/>
      <c r="S204" s="47"/>
      <c r="T204" s="47"/>
      <c r="U204" s="47"/>
      <c r="V204" s="47"/>
      <c r="W204" s="49"/>
      <c r="X204" s="47"/>
      <c r="Y204" s="47"/>
      <c r="Z204" s="47"/>
      <c r="AA204" s="47"/>
      <c r="AB204" s="47"/>
      <c r="AC204" s="47"/>
      <c r="AD204" s="47"/>
      <c r="AE204" s="47"/>
      <c r="AF204" s="47"/>
      <c r="AG204" s="49"/>
      <c r="AH204" s="47"/>
      <c r="AI204" s="47"/>
      <c r="AJ204" s="47"/>
      <c r="AK204" s="47"/>
      <c r="AL204" s="47"/>
      <c r="AM204" s="47"/>
      <c r="AN204" s="47"/>
      <c r="AO204" s="47"/>
      <c r="AP204" s="47"/>
      <c r="AQ204" s="49"/>
      <c r="AR204" s="47"/>
      <c r="AS204" s="47"/>
      <c r="AT204" s="47"/>
      <c r="AU204" s="47"/>
      <c r="AV204" s="47"/>
      <c r="AW204" s="47"/>
      <c r="AX204" s="47"/>
      <c r="AY204" s="47"/>
      <c r="AZ204" s="47"/>
      <c r="BA204" s="50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  <c r="BL204" s="51"/>
      <c r="BM204" s="51"/>
      <c r="BN204" s="51"/>
      <c r="BO204" s="51"/>
      <c r="BP204" s="51"/>
      <c r="BQ204" s="51"/>
      <c r="BR204" s="52"/>
      <c r="BS204" s="53"/>
      <c r="BT204" s="53"/>
      <c r="BU204" s="52"/>
      <c r="BV204" s="47"/>
      <c r="BW204" s="47"/>
      <c r="BX204" s="51"/>
      <c r="BY204" s="52"/>
      <c r="BZ204" s="53"/>
      <c r="CA204" s="53"/>
    </row>
    <row r="205" ht="11.25" customHeight="1">
      <c r="A205" s="55"/>
      <c r="B205" s="55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48"/>
      <c r="N205" s="56"/>
      <c r="O205" s="56"/>
      <c r="P205" s="56"/>
      <c r="Q205" s="56"/>
      <c r="R205" s="56"/>
      <c r="S205" s="56"/>
      <c r="T205" s="56"/>
      <c r="U205" s="56"/>
      <c r="V205" s="56"/>
      <c r="W205" s="49"/>
      <c r="X205" s="56"/>
      <c r="Y205" s="56"/>
      <c r="Z205" s="56"/>
      <c r="AA205" s="56"/>
      <c r="AB205" s="56"/>
      <c r="AC205" s="56"/>
      <c r="AD205" s="56"/>
      <c r="AE205" s="56"/>
      <c r="AF205" s="56"/>
      <c r="AG205" s="49"/>
      <c r="AH205" s="56"/>
      <c r="AI205" s="56"/>
      <c r="AJ205" s="56"/>
      <c r="AK205" s="56"/>
      <c r="AL205" s="56"/>
      <c r="AM205" s="56"/>
      <c r="AN205" s="56"/>
      <c r="AO205" s="56"/>
      <c r="AP205" s="56"/>
      <c r="AQ205" s="49"/>
      <c r="AR205" s="56"/>
      <c r="AS205" s="56"/>
      <c r="AT205" s="56"/>
      <c r="AU205" s="56"/>
      <c r="AV205" s="56"/>
      <c r="AW205" s="56"/>
      <c r="AX205" s="56"/>
      <c r="AY205" s="56"/>
      <c r="AZ205" s="56"/>
      <c r="BA205" s="50"/>
      <c r="BB205" s="57"/>
      <c r="BC205" s="57"/>
      <c r="BD205" s="57"/>
      <c r="BE205" s="57"/>
      <c r="BF205" s="57"/>
      <c r="BG205" s="57"/>
      <c r="BH205" s="57"/>
      <c r="BI205" s="57"/>
      <c r="BJ205" s="57"/>
      <c r="BK205" s="57"/>
      <c r="BL205" s="57"/>
      <c r="BM205" s="57"/>
      <c r="BN205" s="57"/>
      <c r="BO205" s="57"/>
      <c r="BP205" s="57"/>
      <c r="BQ205" s="57"/>
      <c r="BR205" s="58"/>
      <c r="BS205" s="59"/>
      <c r="BT205" s="59"/>
      <c r="BU205" s="58"/>
      <c r="BV205" s="47"/>
      <c r="BW205" s="47"/>
      <c r="BX205" s="57"/>
      <c r="BY205" s="58"/>
      <c r="BZ205" s="59"/>
      <c r="CA205" s="53"/>
    </row>
    <row r="206" ht="11.25" customHeight="1">
      <c r="A206" s="46"/>
      <c r="B206" s="46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8"/>
      <c r="N206" s="47"/>
      <c r="O206" s="47"/>
      <c r="P206" s="47"/>
      <c r="Q206" s="47"/>
      <c r="R206" s="47"/>
      <c r="S206" s="47"/>
      <c r="T206" s="47"/>
      <c r="U206" s="47"/>
      <c r="V206" s="47"/>
      <c r="W206" s="49"/>
      <c r="X206" s="47"/>
      <c r="Y206" s="47"/>
      <c r="Z206" s="47"/>
      <c r="AA206" s="47"/>
      <c r="AB206" s="47"/>
      <c r="AC206" s="47"/>
      <c r="AD206" s="47"/>
      <c r="AE206" s="47"/>
      <c r="AF206" s="47"/>
      <c r="AG206" s="49"/>
      <c r="AH206" s="47"/>
      <c r="AI206" s="47"/>
      <c r="AJ206" s="47"/>
      <c r="AK206" s="47"/>
      <c r="AL206" s="47"/>
      <c r="AM206" s="47"/>
      <c r="AN206" s="47"/>
      <c r="AO206" s="47"/>
      <c r="AP206" s="47"/>
      <c r="AQ206" s="49"/>
      <c r="AR206" s="47"/>
      <c r="AS206" s="47"/>
      <c r="AT206" s="47"/>
      <c r="AU206" s="47"/>
      <c r="AV206" s="47"/>
      <c r="AW206" s="47"/>
      <c r="AX206" s="47"/>
      <c r="AY206" s="47"/>
      <c r="AZ206" s="47"/>
      <c r="BA206" s="50"/>
      <c r="BB206" s="51"/>
      <c r="BC206" s="51"/>
      <c r="BD206" s="51"/>
      <c r="BE206" s="51"/>
      <c r="BF206" s="51"/>
      <c r="BG206" s="51"/>
      <c r="BH206" s="51"/>
      <c r="BI206" s="51"/>
      <c r="BJ206" s="51"/>
      <c r="BK206" s="51"/>
      <c r="BL206" s="51"/>
      <c r="BM206" s="51"/>
      <c r="BN206" s="51"/>
      <c r="BO206" s="51"/>
      <c r="BP206" s="51"/>
      <c r="BQ206" s="51"/>
      <c r="BR206" s="52"/>
      <c r="BS206" s="53"/>
      <c r="BT206" s="53"/>
      <c r="BU206" s="52"/>
      <c r="BV206" s="47"/>
      <c r="BW206" s="47"/>
      <c r="BX206" s="51"/>
      <c r="BY206" s="52"/>
      <c r="BZ206" s="53"/>
      <c r="CA206" s="53"/>
    </row>
    <row r="207" ht="11.25" customHeight="1">
      <c r="A207" s="55"/>
      <c r="B207" s="55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48"/>
      <c r="N207" s="56"/>
      <c r="O207" s="56"/>
      <c r="P207" s="56"/>
      <c r="Q207" s="56"/>
      <c r="R207" s="56"/>
      <c r="S207" s="56"/>
      <c r="T207" s="56"/>
      <c r="U207" s="56"/>
      <c r="V207" s="56"/>
      <c r="W207" s="49"/>
      <c r="X207" s="56"/>
      <c r="Y207" s="56"/>
      <c r="Z207" s="56"/>
      <c r="AA207" s="56"/>
      <c r="AB207" s="56"/>
      <c r="AC207" s="56"/>
      <c r="AD207" s="56"/>
      <c r="AE207" s="56"/>
      <c r="AF207" s="56"/>
      <c r="AG207" s="49"/>
      <c r="AH207" s="56"/>
      <c r="AI207" s="56"/>
      <c r="AJ207" s="56"/>
      <c r="AK207" s="56"/>
      <c r="AL207" s="56"/>
      <c r="AM207" s="56"/>
      <c r="AN207" s="56"/>
      <c r="AO207" s="56"/>
      <c r="AP207" s="56"/>
      <c r="AQ207" s="49"/>
      <c r="AR207" s="56"/>
      <c r="AS207" s="56"/>
      <c r="AT207" s="56"/>
      <c r="AU207" s="56"/>
      <c r="AV207" s="56"/>
      <c r="AW207" s="56"/>
      <c r="AX207" s="56"/>
      <c r="AY207" s="56"/>
      <c r="AZ207" s="56"/>
      <c r="BA207" s="50"/>
      <c r="BB207" s="57"/>
      <c r="BC207" s="57"/>
      <c r="BD207" s="57"/>
      <c r="BE207" s="57"/>
      <c r="BF207" s="57"/>
      <c r="BG207" s="57"/>
      <c r="BH207" s="57"/>
      <c r="BI207" s="57"/>
      <c r="BJ207" s="57"/>
      <c r="BK207" s="57"/>
      <c r="BL207" s="57"/>
      <c r="BM207" s="57"/>
      <c r="BN207" s="57"/>
      <c r="BO207" s="57"/>
      <c r="BP207" s="57"/>
      <c r="BQ207" s="57"/>
      <c r="BR207" s="59"/>
      <c r="BS207" s="59"/>
      <c r="BT207" s="59"/>
      <c r="BU207" s="59"/>
      <c r="BV207" s="47"/>
      <c r="BW207" s="47"/>
      <c r="BX207" s="57"/>
      <c r="BY207" s="59"/>
      <c r="BZ207" s="59"/>
      <c r="CA207" s="53"/>
    </row>
    <row r="208" ht="11.25" customHeight="1">
      <c r="A208" s="46"/>
      <c r="B208" s="46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8"/>
      <c r="N208" s="47"/>
      <c r="O208" s="47"/>
      <c r="P208" s="47"/>
      <c r="Q208" s="47"/>
      <c r="R208" s="47"/>
      <c r="S208" s="47"/>
      <c r="T208" s="47"/>
      <c r="U208" s="47"/>
      <c r="V208" s="47"/>
      <c r="W208" s="49"/>
      <c r="X208" s="47"/>
      <c r="Y208" s="47"/>
      <c r="Z208" s="47"/>
      <c r="AA208" s="47"/>
      <c r="AB208" s="47"/>
      <c r="AC208" s="47"/>
      <c r="AD208" s="47"/>
      <c r="AE208" s="47"/>
      <c r="AF208" s="47"/>
      <c r="AG208" s="49"/>
      <c r="AH208" s="47"/>
      <c r="AI208" s="47"/>
      <c r="AJ208" s="47"/>
      <c r="AK208" s="47"/>
      <c r="AL208" s="47"/>
      <c r="AM208" s="47"/>
      <c r="AN208" s="47"/>
      <c r="AO208" s="47"/>
      <c r="AP208" s="47"/>
      <c r="AQ208" s="49"/>
      <c r="AR208" s="47"/>
      <c r="AS208" s="47"/>
      <c r="AT208" s="47"/>
      <c r="AU208" s="47"/>
      <c r="AV208" s="47"/>
      <c r="AW208" s="47"/>
      <c r="AX208" s="47"/>
      <c r="AY208" s="47"/>
      <c r="AZ208" s="47"/>
      <c r="BA208" s="50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  <c r="BL208" s="51"/>
      <c r="BM208" s="51"/>
      <c r="BN208" s="51"/>
      <c r="BO208" s="51"/>
      <c r="BP208" s="51"/>
      <c r="BQ208" s="51"/>
      <c r="BR208" s="52"/>
      <c r="BS208" s="53"/>
      <c r="BT208" s="53"/>
      <c r="BU208" s="52"/>
      <c r="BV208" s="47"/>
      <c r="BW208" s="47"/>
      <c r="BX208" s="51"/>
      <c r="BY208" s="52"/>
      <c r="BZ208" s="53"/>
      <c r="CA208" s="53"/>
    </row>
    <row r="209" ht="11.25" customHeight="1">
      <c r="A209" s="55"/>
      <c r="B209" s="55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48"/>
      <c r="N209" s="56"/>
      <c r="O209" s="56"/>
      <c r="P209" s="56"/>
      <c r="Q209" s="56"/>
      <c r="R209" s="56"/>
      <c r="S209" s="56"/>
      <c r="T209" s="56"/>
      <c r="U209" s="56"/>
      <c r="V209" s="56"/>
      <c r="W209" s="49"/>
      <c r="X209" s="56"/>
      <c r="Y209" s="56"/>
      <c r="Z209" s="56"/>
      <c r="AA209" s="56"/>
      <c r="AB209" s="56"/>
      <c r="AC209" s="56"/>
      <c r="AD209" s="56"/>
      <c r="AE209" s="56"/>
      <c r="AF209" s="56"/>
      <c r="AG209" s="49"/>
      <c r="AH209" s="56"/>
      <c r="AI209" s="56"/>
      <c r="AJ209" s="56"/>
      <c r="AK209" s="56"/>
      <c r="AL209" s="56"/>
      <c r="AM209" s="56"/>
      <c r="AN209" s="56"/>
      <c r="AO209" s="56"/>
      <c r="AP209" s="56"/>
      <c r="AQ209" s="49"/>
      <c r="AR209" s="56"/>
      <c r="AS209" s="56"/>
      <c r="AT209" s="56"/>
      <c r="AU209" s="56"/>
      <c r="AV209" s="56"/>
      <c r="AW209" s="56"/>
      <c r="AX209" s="56"/>
      <c r="AY209" s="56"/>
      <c r="AZ209" s="56"/>
      <c r="BA209" s="50"/>
      <c r="BB209" s="57"/>
      <c r="BC209" s="57"/>
      <c r="BD209" s="57"/>
      <c r="BE209" s="57"/>
      <c r="BF209" s="57"/>
      <c r="BG209" s="57"/>
      <c r="BH209" s="57"/>
      <c r="BI209" s="57"/>
      <c r="BJ209" s="57"/>
      <c r="BK209" s="57"/>
      <c r="BL209" s="57"/>
      <c r="BM209" s="57"/>
      <c r="BN209" s="57"/>
      <c r="BO209" s="57"/>
      <c r="BP209" s="57"/>
      <c r="BQ209" s="57"/>
      <c r="BR209" s="58"/>
      <c r="BS209" s="59"/>
      <c r="BT209" s="59"/>
      <c r="BU209" s="58"/>
      <c r="BV209" s="47"/>
      <c r="BW209" s="47"/>
      <c r="BX209" s="57"/>
      <c r="BY209" s="58"/>
      <c r="BZ209" s="59"/>
      <c r="CA209" s="53"/>
    </row>
    <row r="210" ht="11.25" customHeight="1">
      <c r="A210" s="46"/>
      <c r="B210" s="46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8"/>
      <c r="N210" s="47"/>
      <c r="O210" s="47"/>
      <c r="P210" s="47"/>
      <c r="Q210" s="47"/>
      <c r="R210" s="47"/>
      <c r="S210" s="47"/>
      <c r="T210" s="47"/>
      <c r="U210" s="47"/>
      <c r="V210" s="47"/>
      <c r="W210" s="49"/>
      <c r="X210" s="47"/>
      <c r="Y210" s="47"/>
      <c r="Z210" s="47"/>
      <c r="AA210" s="47"/>
      <c r="AB210" s="47"/>
      <c r="AC210" s="47"/>
      <c r="AD210" s="47"/>
      <c r="AE210" s="47"/>
      <c r="AF210" s="47"/>
      <c r="AG210" s="49"/>
      <c r="AH210" s="47"/>
      <c r="AI210" s="47"/>
      <c r="AJ210" s="47"/>
      <c r="AK210" s="47"/>
      <c r="AL210" s="47"/>
      <c r="AM210" s="47"/>
      <c r="AN210" s="47"/>
      <c r="AO210" s="47"/>
      <c r="AP210" s="47"/>
      <c r="AQ210" s="49"/>
      <c r="AR210" s="47"/>
      <c r="AS210" s="47"/>
      <c r="AT210" s="47"/>
      <c r="AU210" s="47"/>
      <c r="AV210" s="47"/>
      <c r="AW210" s="47"/>
      <c r="AX210" s="47"/>
      <c r="AY210" s="47"/>
      <c r="AZ210" s="47"/>
      <c r="BA210" s="50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1"/>
      <c r="BP210" s="51"/>
      <c r="BQ210" s="51"/>
      <c r="BR210" s="52"/>
      <c r="BS210" s="53"/>
      <c r="BT210" s="53"/>
      <c r="BU210" s="52"/>
      <c r="BV210" s="47"/>
      <c r="BW210" s="47"/>
      <c r="BX210" s="51"/>
      <c r="BY210" s="52"/>
      <c r="BZ210" s="53"/>
      <c r="CA210" s="53"/>
    </row>
    <row r="211" ht="11.25" customHeight="1">
      <c r="A211" s="55"/>
      <c r="B211" s="55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48"/>
      <c r="N211" s="56"/>
      <c r="O211" s="56"/>
      <c r="P211" s="56"/>
      <c r="Q211" s="56"/>
      <c r="R211" s="56"/>
      <c r="S211" s="56"/>
      <c r="T211" s="56"/>
      <c r="U211" s="56"/>
      <c r="V211" s="56"/>
      <c r="W211" s="49"/>
      <c r="X211" s="56"/>
      <c r="Y211" s="56"/>
      <c r="Z211" s="56"/>
      <c r="AA211" s="56"/>
      <c r="AB211" s="56"/>
      <c r="AC211" s="56"/>
      <c r="AD211" s="56"/>
      <c r="AE211" s="56"/>
      <c r="AF211" s="56"/>
      <c r="AG211" s="49"/>
      <c r="AH211" s="56"/>
      <c r="AI211" s="56"/>
      <c r="AJ211" s="56"/>
      <c r="AK211" s="56"/>
      <c r="AL211" s="56"/>
      <c r="AM211" s="56"/>
      <c r="AN211" s="56"/>
      <c r="AO211" s="56"/>
      <c r="AP211" s="56"/>
      <c r="AQ211" s="49"/>
      <c r="AR211" s="56"/>
      <c r="AS211" s="56"/>
      <c r="AT211" s="56"/>
      <c r="AU211" s="56"/>
      <c r="AV211" s="56"/>
      <c r="AW211" s="56"/>
      <c r="AX211" s="56"/>
      <c r="AY211" s="56"/>
      <c r="AZ211" s="56"/>
      <c r="BA211" s="50"/>
      <c r="BB211" s="57"/>
      <c r="BC211" s="57"/>
      <c r="BD211" s="57"/>
      <c r="BE211" s="57"/>
      <c r="BF211" s="57"/>
      <c r="BG211" s="57"/>
      <c r="BH211" s="57"/>
      <c r="BI211" s="57"/>
      <c r="BJ211" s="57"/>
      <c r="BK211" s="57"/>
      <c r="BL211" s="57"/>
      <c r="BM211" s="57"/>
      <c r="BN211" s="57"/>
      <c r="BO211" s="57"/>
      <c r="BP211" s="57"/>
      <c r="BQ211" s="57"/>
      <c r="BR211" s="58"/>
      <c r="BS211" s="59"/>
      <c r="BT211" s="59"/>
      <c r="BU211" s="58"/>
      <c r="BV211" s="47"/>
      <c r="BW211" s="47"/>
      <c r="BX211" s="57"/>
      <c r="BY211" s="58"/>
      <c r="BZ211" s="59"/>
      <c r="CA211" s="53"/>
    </row>
    <row r="212" ht="11.25" customHeight="1">
      <c r="A212" s="46"/>
      <c r="B212" s="46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8"/>
      <c r="N212" s="47"/>
      <c r="O212" s="47"/>
      <c r="P212" s="47"/>
      <c r="Q212" s="47"/>
      <c r="R212" s="47"/>
      <c r="S212" s="47"/>
      <c r="T212" s="47"/>
      <c r="U212" s="47"/>
      <c r="V212" s="47"/>
      <c r="W212" s="49"/>
      <c r="X212" s="47"/>
      <c r="Y212" s="47"/>
      <c r="Z212" s="47"/>
      <c r="AA212" s="47"/>
      <c r="AB212" s="47"/>
      <c r="AC212" s="47"/>
      <c r="AD212" s="47"/>
      <c r="AE212" s="47"/>
      <c r="AF212" s="47"/>
      <c r="AG212" s="49"/>
      <c r="AH212" s="47"/>
      <c r="AI212" s="47"/>
      <c r="AJ212" s="47"/>
      <c r="AK212" s="47"/>
      <c r="AL212" s="47"/>
      <c r="AM212" s="47"/>
      <c r="AN212" s="47"/>
      <c r="AO212" s="47"/>
      <c r="AP212" s="47"/>
      <c r="AQ212" s="49"/>
      <c r="AR212" s="47"/>
      <c r="AS212" s="47"/>
      <c r="AT212" s="47"/>
      <c r="AU212" s="47"/>
      <c r="AV212" s="47"/>
      <c r="AW212" s="47"/>
      <c r="AX212" s="47"/>
      <c r="AY212" s="47"/>
      <c r="AZ212" s="47"/>
      <c r="BA212" s="50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1"/>
      <c r="BP212" s="51"/>
      <c r="BQ212" s="51"/>
      <c r="BR212" s="52"/>
      <c r="BS212" s="53"/>
      <c r="BT212" s="53"/>
      <c r="BU212" s="52"/>
      <c r="BV212" s="47"/>
      <c r="BW212" s="47"/>
      <c r="BX212" s="51"/>
      <c r="BY212" s="52"/>
      <c r="BZ212" s="53"/>
      <c r="CA212" s="53"/>
    </row>
    <row r="213" ht="11.25" customHeight="1">
      <c r="A213" s="55"/>
      <c r="B213" s="55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48"/>
      <c r="N213" s="56"/>
      <c r="O213" s="56"/>
      <c r="P213" s="56"/>
      <c r="Q213" s="56"/>
      <c r="R213" s="56"/>
      <c r="S213" s="56"/>
      <c r="T213" s="56"/>
      <c r="U213" s="56"/>
      <c r="V213" s="56"/>
      <c r="W213" s="49"/>
      <c r="X213" s="56"/>
      <c r="Y213" s="56"/>
      <c r="Z213" s="56"/>
      <c r="AA213" s="56"/>
      <c r="AB213" s="56"/>
      <c r="AC213" s="56"/>
      <c r="AD213" s="56"/>
      <c r="AE213" s="56"/>
      <c r="AF213" s="56"/>
      <c r="AG213" s="49"/>
      <c r="AH213" s="56"/>
      <c r="AI213" s="56"/>
      <c r="AJ213" s="56"/>
      <c r="AK213" s="56"/>
      <c r="AL213" s="56"/>
      <c r="AM213" s="56"/>
      <c r="AN213" s="56"/>
      <c r="AO213" s="56"/>
      <c r="AP213" s="56"/>
      <c r="AQ213" s="49"/>
      <c r="AR213" s="56"/>
      <c r="AS213" s="56"/>
      <c r="AT213" s="56"/>
      <c r="AU213" s="56"/>
      <c r="AV213" s="56"/>
      <c r="AW213" s="56"/>
      <c r="AX213" s="56"/>
      <c r="AY213" s="56"/>
      <c r="AZ213" s="56"/>
      <c r="BA213" s="50"/>
      <c r="BB213" s="57"/>
      <c r="BC213" s="57"/>
      <c r="BD213" s="57"/>
      <c r="BE213" s="57"/>
      <c r="BF213" s="57"/>
      <c r="BG213" s="57"/>
      <c r="BH213" s="57"/>
      <c r="BI213" s="57"/>
      <c r="BJ213" s="57"/>
      <c r="BK213" s="57"/>
      <c r="BL213" s="57"/>
      <c r="BM213" s="57"/>
      <c r="BN213" s="57"/>
      <c r="BO213" s="57"/>
      <c r="BP213" s="57"/>
      <c r="BQ213" s="57"/>
      <c r="BR213" s="58"/>
      <c r="BS213" s="59"/>
      <c r="BT213" s="59"/>
      <c r="BU213" s="58"/>
      <c r="BV213" s="47"/>
      <c r="BW213" s="47"/>
      <c r="BX213" s="57"/>
      <c r="BY213" s="58"/>
      <c r="BZ213" s="59"/>
      <c r="CA213" s="53"/>
    </row>
    <row r="214" ht="11.25" customHeight="1">
      <c r="A214" s="46"/>
      <c r="B214" s="46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8"/>
      <c r="N214" s="47"/>
      <c r="O214" s="47"/>
      <c r="P214" s="47"/>
      <c r="Q214" s="47"/>
      <c r="R214" s="47"/>
      <c r="S214" s="47"/>
      <c r="T214" s="47"/>
      <c r="U214" s="47"/>
      <c r="V214" s="47"/>
      <c r="W214" s="49"/>
      <c r="X214" s="47"/>
      <c r="Y214" s="47"/>
      <c r="Z214" s="47"/>
      <c r="AA214" s="47"/>
      <c r="AB214" s="47"/>
      <c r="AC214" s="47"/>
      <c r="AD214" s="47"/>
      <c r="AE214" s="47"/>
      <c r="AF214" s="47"/>
      <c r="AG214" s="49"/>
      <c r="AH214" s="47"/>
      <c r="AI214" s="47"/>
      <c r="AJ214" s="47"/>
      <c r="AK214" s="47"/>
      <c r="AL214" s="47"/>
      <c r="AM214" s="47"/>
      <c r="AN214" s="47"/>
      <c r="AO214" s="47"/>
      <c r="AP214" s="47"/>
      <c r="AQ214" s="49"/>
      <c r="AR214" s="47"/>
      <c r="AS214" s="47"/>
      <c r="AT214" s="47"/>
      <c r="AU214" s="47"/>
      <c r="AV214" s="47"/>
      <c r="AW214" s="47"/>
      <c r="AX214" s="47"/>
      <c r="AY214" s="47"/>
      <c r="AZ214" s="47"/>
      <c r="BA214" s="50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  <c r="BL214" s="51"/>
      <c r="BM214" s="51"/>
      <c r="BN214" s="51"/>
      <c r="BO214" s="51"/>
      <c r="BP214" s="51"/>
      <c r="BQ214" s="51"/>
      <c r="BR214" s="52"/>
      <c r="BS214" s="53"/>
      <c r="BT214" s="53"/>
      <c r="BU214" s="52"/>
      <c r="BV214" s="47"/>
      <c r="BW214" s="47"/>
      <c r="BX214" s="51"/>
      <c r="BY214" s="52"/>
      <c r="BZ214" s="53"/>
      <c r="CA214" s="53"/>
    </row>
    <row r="215" ht="11.25" customHeight="1">
      <c r="A215" s="55"/>
      <c r="B215" s="55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48"/>
      <c r="N215" s="56"/>
      <c r="O215" s="56"/>
      <c r="P215" s="56"/>
      <c r="Q215" s="56"/>
      <c r="R215" s="56"/>
      <c r="S215" s="56"/>
      <c r="T215" s="56"/>
      <c r="U215" s="56"/>
      <c r="V215" s="56"/>
      <c r="W215" s="49"/>
      <c r="X215" s="56"/>
      <c r="Y215" s="56"/>
      <c r="Z215" s="56"/>
      <c r="AA215" s="56"/>
      <c r="AB215" s="56"/>
      <c r="AC215" s="56"/>
      <c r="AD215" s="56"/>
      <c r="AE215" s="56"/>
      <c r="AF215" s="56"/>
      <c r="AG215" s="49"/>
      <c r="AH215" s="56"/>
      <c r="AI215" s="56"/>
      <c r="AJ215" s="56"/>
      <c r="AK215" s="56"/>
      <c r="AL215" s="56"/>
      <c r="AM215" s="56"/>
      <c r="AN215" s="56"/>
      <c r="AO215" s="56"/>
      <c r="AP215" s="56"/>
      <c r="AQ215" s="49"/>
      <c r="AR215" s="56"/>
      <c r="AS215" s="56"/>
      <c r="AT215" s="56"/>
      <c r="AU215" s="56"/>
      <c r="AV215" s="56"/>
      <c r="AW215" s="56"/>
      <c r="AX215" s="56"/>
      <c r="AY215" s="56"/>
      <c r="AZ215" s="56"/>
      <c r="BA215" s="50"/>
      <c r="BB215" s="57"/>
      <c r="BC215" s="57"/>
      <c r="BD215" s="57"/>
      <c r="BE215" s="57"/>
      <c r="BF215" s="57"/>
      <c r="BG215" s="57"/>
      <c r="BH215" s="57"/>
      <c r="BI215" s="57"/>
      <c r="BJ215" s="57"/>
      <c r="BK215" s="57"/>
      <c r="BL215" s="57"/>
      <c r="BM215" s="57"/>
      <c r="BN215" s="57"/>
      <c r="BO215" s="57"/>
      <c r="BP215" s="57"/>
      <c r="BQ215" s="57"/>
      <c r="BR215" s="58"/>
      <c r="BS215" s="59"/>
      <c r="BT215" s="59"/>
      <c r="BU215" s="58"/>
      <c r="BV215" s="47"/>
      <c r="BW215" s="47"/>
      <c r="BX215" s="57"/>
      <c r="BY215" s="58"/>
      <c r="BZ215" s="59"/>
      <c r="CA215" s="53"/>
    </row>
    <row r="216" ht="11.25" customHeight="1">
      <c r="A216" s="46"/>
      <c r="B216" s="46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8"/>
      <c r="N216" s="47"/>
      <c r="O216" s="47"/>
      <c r="P216" s="47"/>
      <c r="Q216" s="47"/>
      <c r="R216" s="47"/>
      <c r="S216" s="47"/>
      <c r="T216" s="47"/>
      <c r="U216" s="47"/>
      <c r="V216" s="47"/>
      <c r="W216" s="49"/>
      <c r="X216" s="47"/>
      <c r="Y216" s="47"/>
      <c r="Z216" s="47"/>
      <c r="AA216" s="47"/>
      <c r="AB216" s="47"/>
      <c r="AC216" s="47"/>
      <c r="AD216" s="47"/>
      <c r="AE216" s="47"/>
      <c r="AF216" s="47"/>
      <c r="AG216" s="49"/>
      <c r="AH216" s="47"/>
      <c r="AI216" s="47"/>
      <c r="AJ216" s="47"/>
      <c r="AK216" s="47"/>
      <c r="AL216" s="47"/>
      <c r="AM216" s="47"/>
      <c r="AN216" s="47"/>
      <c r="AO216" s="47"/>
      <c r="AP216" s="47"/>
      <c r="AQ216" s="49"/>
      <c r="AR216" s="47"/>
      <c r="AS216" s="47"/>
      <c r="AT216" s="47"/>
      <c r="AU216" s="47"/>
      <c r="AV216" s="47"/>
      <c r="AW216" s="47"/>
      <c r="AX216" s="47"/>
      <c r="AY216" s="47"/>
      <c r="AZ216" s="47"/>
      <c r="BA216" s="50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  <c r="BL216" s="51"/>
      <c r="BM216" s="51"/>
      <c r="BN216" s="51"/>
      <c r="BO216" s="51"/>
      <c r="BP216" s="51"/>
      <c r="BQ216" s="51"/>
      <c r="BR216" s="52"/>
      <c r="BS216" s="53"/>
      <c r="BT216" s="53"/>
      <c r="BU216" s="52"/>
      <c r="BV216" s="47"/>
      <c r="BW216" s="47"/>
      <c r="BX216" s="51"/>
      <c r="BY216" s="52"/>
      <c r="BZ216" s="53"/>
      <c r="CA216" s="53"/>
    </row>
    <row r="217" ht="11.25" customHeight="1">
      <c r="A217" s="55"/>
      <c r="B217" s="55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48"/>
      <c r="N217" s="56"/>
      <c r="O217" s="56"/>
      <c r="P217" s="56"/>
      <c r="Q217" s="56"/>
      <c r="R217" s="56"/>
      <c r="S217" s="56"/>
      <c r="T217" s="56"/>
      <c r="U217" s="56"/>
      <c r="V217" s="56"/>
      <c r="W217" s="49"/>
      <c r="X217" s="56"/>
      <c r="Y217" s="56"/>
      <c r="Z217" s="56"/>
      <c r="AA217" s="56"/>
      <c r="AB217" s="56"/>
      <c r="AC217" s="56"/>
      <c r="AD217" s="56"/>
      <c r="AE217" s="56"/>
      <c r="AF217" s="56"/>
      <c r="AG217" s="49"/>
      <c r="AH217" s="56"/>
      <c r="AI217" s="56"/>
      <c r="AJ217" s="56"/>
      <c r="AK217" s="56"/>
      <c r="AL217" s="56"/>
      <c r="AM217" s="56"/>
      <c r="AN217" s="56"/>
      <c r="AO217" s="56"/>
      <c r="AP217" s="56"/>
      <c r="AQ217" s="49"/>
      <c r="AR217" s="56"/>
      <c r="AS217" s="56"/>
      <c r="AT217" s="56"/>
      <c r="AU217" s="56"/>
      <c r="AV217" s="56"/>
      <c r="AW217" s="56"/>
      <c r="AX217" s="56"/>
      <c r="AY217" s="56"/>
      <c r="AZ217" s="56"/>
      <c r="BA217" s="50"/>
      <c r="BB217" s="57"/>
      <c r="BC217" s="57"/>
      <c r="BD217" s="57"/>
      <c r="BE217" s="57"/>
      <c r="BF217" s="57"/>
      <c r="BG217" s="57"/>
      <c r="BH217" s="57"/>
      <c r="BI217" s="57"/>
      <c r="BJ217" s="57"/>
      <c r="BK217" s="57"/>
      <c r="BL217" s="57"/>
      <c r="BM217" s="57"/>
      <c r="BN217" s="57"/>
      <c r="BO217" s="57"/>
      <c r="BP217" s="57"/>
      <c r="BQ217" s="57"/>
      <c r="BR217" s="58"/>
      <c r="BS217" s="59"/>
      <c r="BT217" s="59"/>
      <c r="BU217" s="58"/>
      <c r="BV217" s="47"/>
      <c r="BW217" s="47"/>
      <c r="BX217" s="57"/>
      <c r="BY217" s="58"/>
      <c r="BZ217" s="59"/>
      <c r="CA217" s="53"/>
    </row>
    <row r="218" ht="11.25" customHeight="1">
      <c r="A218" s="46"/>
      <c r="B218" s="46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8"/>
      <c r="N218" s="47"/>
      <c r="O218" s="47"/>
      <c r="P218" s="47"/>
      <c r="Q218" s="47"/>
      <c r="R218" s="47"/>
      <c r="S218" s="47"/>
      <c r="T218" s="47"/>
      <c r="U218" s="47"/>
      <c r="V218" s="47"/>
      <c r="W218" s="49"/>
      <c r="X218" s="47"/>
      <c r="Y218" s="47"/>
      <c r="Z218" s="47"/>
      <c r="AA218" s="47"/>
      <c r="AB218" s="47"/>
      <c r="AC218" s="47"/>
      <c r="AD218" s="47"/>
      <c r="AE218" s="47"/>
      <c r="AF218" s="47"/>
      <c r="AG218" s="49"/>
      <c r="AH218" s="47"/>
      <c r="AI218" s="47"/>
      <c r="AJ218" s="47"/>
      <c r="AK218" s="47"/>
      <c r="AL218" s="47"/>
      <c r="AM218" s="47"/>
      <c r="AN218" s="47"/>
      <c r="AO218" s="47"/>
      <c r="AP218" s="47"/>
      <c r="AQ218" s="49"/>
      <c r="AR218" s="47"/>
      <c r="AS218" s="47"/>
      <c r="AT218" s="47"/>
      <c r="AU218" s="47"/>
      <c r="AV218" s="47"/>
      <c r="AW218" s="47"/>
      <c r="AX218" s="47"/>
      <c r="AY218" s="47"/>
      <c r="AZ218" s="47"/>
      <c r="BA218" s="50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O218" s="51"/>
      <c r="BP218" s="51"/>
      <c r="BQ218" s="51"/>
      <c r="BR218" s="52"/>
      <c r="BS218" s="53"/>
      <c r="BT218" s="53"/>
      <c r="BU218" s="52"/>
      <c r="BV218" s="47"/>
      <c r="BW218" s="47"/>
      <c r="BX218" s="51"/>
      <c r="BY218" s="52"/>
      <c r="BZ218" s="53"/>
      <c r="CA218" s="53"/>
    </row>
    <row r="219" ht="11.25" customHeight="1">
      <c r="A219" s="55"/>
      <c r="B219" s="55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48"/>
      <c r="N219" s="56"/>
      <c r="O219" s="56"/>
      <c r="P219" s="56"/>
      <c r="Q219" s="56"/>
      <c r="R219" s="56"/>
      <c r="S219" s="56"/>
      <c r="T219" s="56"/>
      <c r="U219" s="56"/>
      <c r="V219" s="56"/>
      <c r="W219" s="49"/>
      <c r="X219" s="56"/>
      <c r="Y219" s="56"/>
      <c r="Z219" s="56"/>
      <c r="AA219" s="56"/>
      <c r="AB219" s="56"/>
      <c r="AC219" s="56"/>
      <c r="AD219" s="56"/>
      <c r="AE219" s="56"/>
      <c r="AF219" s="56"/>
      <c r="AG219" s="49"/>
      <c r="AH219" s="56"/>
      <c r="AI219" s="56"/>
      <c r="AJ219" s="56"/>
      <c r="AK219" s="56"/>
      <c r="AL219" s="56"/>
      <c r="AM219" s="56"/>
      <c r="AN219" s="56"/>
      <c r="AO219" s="56"/>
      <c r="AP219" s="56"/>
      <c r="AQ219" s="49"/>
      <c r="AR219" s="56"/>
      <c r="AS219" s="56"/>
      <c r="AT219" s="56"/>
      <c r="AU219" s="56"/>
      <c r="AV219" s="56"/>
      <c r="AW219" s="56"/>
      <c r="AX219" s="56"/>
      <c r="AY219" s="56"/>
      <c r="AZ219" s="56"/>
      <c r="BA219" s="50"/>
      <c r="BB219" s="57"/>
      <c r="BC219" s="57"/>
      <c r="BD219" s="57"/>
      <c r="BE219" s="57"/>
      <c r="BF219" s="57"/>
      <c r="BG219" s="57"/>
      <c r="BH219" s="57"/>
      <c r="BI219" s="57"/>
      <c r="BJ219" s="57"/>
      <c r="BK219" s="57"/>
      <c r="BL219" s="57"/>
      <c r="BM219" s="57"/>
      <c r="BN219" s="57"/>
      <c r="BO219" s="57"/>
      <c r="BP219" s="57"/>
      <c r="BQ219" s="57"/>
      <c r="BR219" s="58"/>
      <c r="BS219" s="59"/>
      <c r="BT219" s="59"/>
      <c r="BU219" s="58"/>
      <c r="BV219" s="47"/>
      <c r="BW219" s="47"/>
      <c r="BX219" s="57"/>
      <c r="BY219" s="58"/>
      <c r="BZ219" s="59"/>
      <c r="CA219" s="53"/>
    </row>
    <row r="220" ht="11.25" customHeight="1">
      <c r="A220" s="46"/>
      <c r="B220" s="46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8"/>
      <c r="N220" s="47"/>
      <c r="O220" s="47"/>
      <c r="P220" s="47"/>
      <c r="Q220" s="47"/>
      <c r="R220" s="47"/>
      <c r="S220" s="47"/>
      <c r="T220" s="47"/>
      <c r="U220" s="47"/>
      <c r="V220" s="47"/>
      <c r="W220" s="49"/>
      <c r="X220" s="47"/>
      <c r="Y220" s="47"/>
      <c r="Z220" s="47"/>
      <c r="AA220" s="47"/>
      <c r="AB220" s="47"/>
      <c r="AC220" s="47"/>
      <c r="AD220" s="47"/>
      <c r="AE220" s="47"/>
      <c r="AF220" s="47"/>
      <c r="AG220" s="49"/>
      <c r="AH220" s="47"/>
      <c r="AI220" s="47"/>
      <c r="AJ220" s="47"/>
      <c r="AK220" s="47"/>
      <c r="AL220" s="47"/>
      <c r="AM220" s="47"/>
      <c r="AN220" s="47"/>
      <c r="AO220" s="47"/>
      <c r="AP220" s="47"/>
      <c r="AQ220" s="49"/>
      <c r="AR220" s="47"/>
      <c r="AS220" s="47"/>
      <c r="AT220" s="47"/>
      <c r="AU220" s="47"/>
      <c r="AV220" s="47"/>
      <c r="AW220" s="47"/>
      <c r="AX220" s="47"/>
      <c r="AY220" s="47"/>
      <c r="AZ220" s="47"/>
      <c r="BA220" s="50"/>
      <c r="BB220" s="51"/>
      <c r="BC220" s="51"/>
      <c r="BD220" s="51"/>
      <c r="BE220" s="51"/>
      <c r="BF220" s="51"/>
      <c r="BG220" s="51"/>
      <c r="BH220" s="51"/>
      <c r="BI220" s="51"/>
      <c r="BJ220" s="51"/>
      <c r="BK220" s="51"/>
      <c r="BL220" s="51"/>
      <c r="BM220" s="51"/>
      <c r="BN220" s="51"/>
      <c r="BO220" s="51"/>
      <c r="BP220" s="51"/>
      <c r="BQ220" s="51"/>
      <c r="BR220" s="52"/>
      <c r="BS220" s="53"/>
      <c r="BT220" s="53"/>
      <c r="BU220" s="52"/>
      <c r="BV220" s="47"/>
      <c r="BW220" s="47"/>
      <c r="BX220" s="51"/>
      <c r="BY220" s="52"/>
      <c r="BZ220" s="53"/>
      <c r="CA220" s="53"/>
    </row>
    <row r="221" ht="11.25" customHeight="1">
      <c r="A221" s="55"/>
      <c r="B221" s="55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48"/>
      <c r="N221" s="56"/>
      <c r="O221" s="56"/>
      <c r="P221" s="56"/>
      <c r="Q221" s="56"/>
      <c r="R221" s="56"/>
      <c r="S221" s="56"/>
      <c r="T221" s="56"/>
      <c r="U221" s="56"/>
      <c r="V221" s="56"/>
      <c r="W221" s="49"/>
      <c r="X221" s="56"/>
      <c r="Y221" s="56"/>
      <c r="Z221" s="56"/>
      <c r="AA221" s="56"/>
      <c r="AB221" s="56"/>
      <c r="AC221" s="56"/>
      <c r="AD221" s="56"/>
      <c r="AE221" s="56"/>
      <c r="AF221" s="56"/>
      <c r="AG221" s="49"/>
      <c r="AH221" s="56"/>
      <c r="AI221" s="56"/>
      <c r="AJ221" s="56"/>
      <c r="AK221" s="56"/>
      <c r="AL221" s="56"/>
      <c r="AM221" s="56"/>
      <c r="AN221" s="56"/>
      <c r="AO221" s="56"/>
      <c r="AP221" s="56"/>
      <c r="AQ221" s="49"/>
      <c r="AR221" s="56"/>
      <c r="AS221" s="56"/>
      <c r="AT221" s="56"/>
      <c r="AU221" s="56"/>
      <c r="AV221" s="56"/>
      <c r="AW221" s="56"/>
      <c r="AX221" s="56"/>
      <c r="AY221" s="56"/>
      <c r="AZ221" s="56"/>
      <c r="BA221" s="50"/>
      <c r="BB221" s="57"/>
      <c r="BC221" s="57"/>
      <c r="BD221" s="57"/>
      <c r="BE221" s="57"/>
      <c r="BF221" s="57"/>
      <c r="BG221" s="57"/>
      <c r="BH221" s="57"/>
      <c r="BI221" s="57"/>
      <c r="BJ221" s="57"/>
      <c r="BK221" s="57"/>
      <c r="BL221" s="57"/>
      <c r="BM221" s="57"/>
      <c r="BN221" s="57"/>
      <c r="BO221" s="57"/>
      <c r="BP221" s="57"/>
      <c r="BQ221" s="57"/>
      <c r="BR221" s="58"/>
      <c r="BS221" s="59"/>
      <c r="BT221" s="59"/>
      <c r="BU221" s="58"/>
      <c r="BV221" s="47"/>
      <c r="BW221" s="47"/>
      <c r="BX221" s="57"/>
      <c r="BY221" s="58"/>
      <c r="BZ221" s="59"/>
      <c r="CA221" s="53"/>
    </row>
    <row r="222" ht="11.25" customHeight="1">
      <c r="A222" s="46"/>
      <c r="B222" s="46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8"/>
      <c r="N222" s="47"/>
      <c r="O222" s="47"/>
      <c r="P222" s="47"/>
      <c r="Q222" s="47"/>
      <c r="R222" s="47"/>
      <c r="S222" s="47"/>
      <c r="T222" s="47"/>
      <c r="U222" s="47"/>
      <c r="V222" s="47"/>
      <c r="W222" s="49"/>
      <c r="X222" s="47"/>
      <c r="Y222" s="47"/>
      <c r="Z222" s="47"/>
      <c r="AA222" s="47"/>
      <c r="AB222" s="47"/>
      <c r="AC222" s="47"/>
      <c r="AD222" s="47"/>
      <c r="AE222" s="47"/>
      <c r="AF222" s="47"/>
      <c r="AG222" s="49"/>
      <c r="AH222" s="47"/>
      <c r="AI222" s="47"/>
      <c r="AJ222" s="47"/>
      <c r="AK222" s="47"/>
      <c r="AL222" s="47"/>
      <c r="AM222" s="47"/>
      <c r="AN222" s="47"/>
      <c r="AO222" s="47"/>
      <c r="AP222" s="47"/>
      <c r="AQ222" s="49"/>
      <c r="AR222" s="47"/>
      <c r="AS222" s="47"/>
      <c r="AT222" s="47"/>
      <c r="AU222" s="47"/>
      <c r="AV222" s="47"/>
      <c r="AW222" s="47"/>
      <c r="AX222" s="47"/>
      <c r="AY222" s="47"/>
      <c r="AZ222" s="47"/>
      <c r="BA222" s="50"/>
      <c r="BB222" s="51"/>
      <c r="BC222" s="51"/>
      <c r="BD222" s="51"/>
      <c r="BE222" s="51"/>
      <c r="BF222" s="51"/>
      <c r="BG222" s="51"/>
      <c r="BH222" s="51"/>
      <c r="BI222" s="51"/>
      <c r="BJ222" s="51"/>
      <c r="BK222" s="51"/>
      <c r="BL222" s="51"/>
      <c r="BM222" s="51"/>
      <c r="BN222" s="51"/>
      <c r="BO222" s="51"/>
      <c r="BP222" s="51"/>
      <c r="BQ222" s="51"/>
      <c r="BR222" s="52"/>
      <c r="BS222" s="53"/>
      <c r="BT222" s="53"/>
      <c r="BU222" s="52"/>
      <c r="BV222" s="47"/>
      <c r="BW222" s="47"/>
      <c r="BX222" s="51"/>
      <c r="BY222" s="52"/>
      <c r="BZ222" s="53"/>
      <c r="CA222" s="53"/>
    </row>
    <row r="223" ht="11.25" customHeight="1">
      <c r="A223" s="55"/>
      <c r="B223" s="55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48"/>
      <c r="N223" s="56"/>
      <c r="O223" s="56"/>
      <c r="P223" s="56"/>
      <c r="Q223" s="56"/>
      <c r="R223" s="56"/>
      <c r="S223" s="56"/>
      <c r="T223" s="56"/>
      <c r="U223" s="56"/>
      <c r="V223" s="56"/>
      <c r="W223" s="49"/>
      <c r="X223" s="56"/>
      <c r="Y223" s="56"/>
      <c r="Z223" s="56"/>
      <c r="AA223" s="56"/>
      <c r="AB223" s="56"/>
      <c r="AC223" s="56"/>
      <c r="AD223" s="56"/>
      <c r="AE223" s="56"/>
      <c r="AF223" s="56"/>
      <c r="AG223" s="49"/>
      <c r="AH223" s="56"/>
      <c r="AI223" s="56"/>
      <c r="AJ223" s="56"/>
      <c r="AK223" s="56"/>
      <c r="AL223" s="56"/>
      <c r="AM223" s="56"/>
      <c r="AN223" s="56"/>
      <c r="AO223" s="56"/>
      <c r="AP223" s="56"/>
      <c r="AQ223" s="49"/>
      <c r="AR223" s="56"/>
      <c r="AS223" s="56"/>
      <c r="AT223" s="56"/>
      <c r="AU223" s="56"/>
      <c r="AV223" s="56"/>
      <c r="AW223" s="56"/>
      <c r="AX223" s="56"/>
      <c r="AY223" s="56"/>
      <c r="AZ223" s="56"/>
      <c r="BA223" s="50"/>
      <c r="BB223" s="57"/>
      <c r="BC223" s="57"/>
      <c r="BD223" s="57"/>
      <c r="BE223" s="57"/>
      <c r="BF223" s="57"/>
      <c r="BG223" s="57"/>
      <c r="BH223" s="57"/>
      <c r="BI223" s="57"/>
      <c r="BJ223" s="57"/>
      <c r="BK223" s="57"/>
      <c r="BL223" s="57"/>
      <c r="BM223" s="57"/>
      <c r="BN223" s="57"/>
      <c r="BO223" s="57"/>
      <c r="BP223" s="57"/>
      <c r="BQ223" s="57"/>
      <c r="BR223" s="58"/>
      <c r="BS223" s="59"/>
      <c r="BT223" s="59"/>
      <c r="BU223" s="58"/>
      <c r="BV223" s="47"/>
      <c r="BW223" s="47"/>
      <c r="BX223" s="57"/>
      <c r="BY223" s="58"/>
      <c r="BZ223" s="59"/>
      <c r="CA223" s="53"/>
    </row>
    <row r="224" ht="11.25" customHeight="1">
      <c r="A224" s="46"/>
      <c r="B224" s="46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8"/>
      <c r="N224" s="47"/>
      <c r="O224" s="47"/>
      <c r="P224" s="47"/>
      <c r="Q224" s="47"/>
      <c r="R224" s="47"/>
      <c r="S224" s="47"/>
      <c r="T224" s="47"/>
      <c r="U224" s="47"/>
      <c r="V224" s="47"/>
      <c r="W224" s="49"/>
      <c r="X224" s="47"/>
      <c r="Y224" s="47"/>
      <c r="Z224" s="47"/>
      <c r="AA224" s="47"/>
      <c r="AB224" s="47"/>
      <c r="AC224" s="47"/>
      <c r="AD224" s="47"/>
      <c r="AE224" s="47"/>
      <c r="AF224" s="47"/>
      <c r="AG224" s="49"/>
      <c r="AH224" s="47"/>
      <c r="AI224" s="47"/>
      <c r="AJ224" s="47"/>
      <c r="AK224" s="47"/>
      <c r="AL224" s="47"/>
      <c r="AM224" s="47"/>
      <c r="AN224" s="47"/>
      <c r="AO224" s="47"/>
      <c r="AP224" s="47"/>
      <c r="AQ224" s="49"/>
      <c r="AR224" s="47"/>
      <c r="AS224" s="47"/>
      <c r="AT224" s="47"/>
      <c r="AU224" s="47"/>
      <c r="AV224" s="47"/>
      <c r="AW224" s="47"/>
      <c r="AX224" s="47"/>
      <c r="AY224" s="47"/>
      <c r="AZ224" s="47"/>
      <c r="BA224" s="50"/>
      <c r="BB224" s="51"/>
      <c r="BC224" s="51"/>
      <c r="BD224" s="51"/>
      <c r="BE224" s="51"/>
      <c r="BF224" s="51"/>
      <c r="BG224" s="51"/>
      <c r="BH224" s="51"/>
      <c r="BI224" s="51"/>
      <c r="BJ224" s="51"/>
      <c r="BK224" s="51"/>
      <c r="BL224" s="51"/>
      <c r="BM224" s="51"/>
      <c r="BN224" s="51"/>
      <c r="BO224" s="51"/>
      <c r="BP224" s="51"/>
      <c r="BQ224" s="51"/>
      <c r="BR224" s="52"/>
      <c r="BS224" s="53"/>
      <c r="BT224" s="53"/>
      <c r="BU224" s="52"/>
      <c r="BV224" s="47"/>
      <c r="BW224" s="47"/>
      <c r="BX224" s="51"/>
      <c r="BY224" s="52"/>
      <c r="BZ224" s="53"/>
      <c r="CA224" s="53"/>
    </row>
    <row r="225" ht="11.25" customHeight="1">
      <c r="A225" s="55"/>
      <c r="B225" s="55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48"/>
      <c r="N225" s="56"/>
      <c r="O225" s="56"/>
      <c r="P225" s="56"/>
      <c r="Q225" s="56"/>
      <c r="R225" s="56"/>
      <c r="S225" s="56"/>
      <c r="T225" s="56"/>
      <c r="U225" s="56"/>
      <c r="V225" s="56"/>
      <c r="W225" s="49"/>
      <c r="X225" s="56"/>
      <c r="Y225" s="56"/>
      <c r="Z225" s="56"/>
      <c r="AA225" s="56"/>
      <c r="AB225" s="56"/>
      <c r="AC225" s="56"/>
      <c r="AD225" s="56"/>
      <c r="AE225" s="56"/>
      <c r="AF225" s="56"/>
      <c r="AG225" s="49"/>
      <c r="AH225" s="56"/>
      <c r="AI225" s="56"/>
      <c r="AJ225" s="56"/>
      <c r="AK225" s="56"/>
      <c r="AL225" s="56"/>
      <c r="AM225" s="56"/>
      <c r="AN225" s="56"/>
      <c r="AO225" s="56"/>
      <c r="AP225" s="56"/>
      <c r="AQ225" s="49"/>
      <c r="AR225" s="56"/>
      <c r="AS225" s="56"/>
      <c r="AT225" s="56"/>
      <c r="AU225" s="56"/>
      <c r="AV225" s="56"/>
      <c r="AW225" s="56"/>
      <c r="AX225" s="56"/>
      <c r="AY225" s="56"/>
      <c r="AZ225" s="56"/>
      <c r="BA225" s="50"/>
      <c r="BB225" s="57"/>
      <c r="BC225" s="57"/>
      <c r="BD225" s="57"/>
      <c r="BE225" s="57"/>
      <c r="BF225" s="57"/>
      <c r="BG225" s="57"/>
      <c r="BH225" s="57"/>
      <c r="BI225" s="57"/>
      <c r="BJ225" s="57"/>
      <c r="BK225" s="57"/>
      <c r="BL225" s="57"/>
      <c r="BM225" s="57"/>
      <c r="BN225" s="57"/>
      <c r="BO225" s="57"/>
      <c r="BP225" s="57"/>
      <c r="BQ225" s="57"/>
      <c r="BR225" s="58"/>
      <c r="BS225" s="59"/>
      <c r="BT225" s="59"/>
      <c r="BU225" s="58"/>
      <c r="BV225" s="47"/>
      <c r="BW225" s="47"/>
      <c r="BX225" s="57"/>
      <c r="BY225" s="58"/>
      <c r="BZ225" s="59"/>
      <c r="CA225" s="53"/>
    </row>
    <row r="226" ht="11.25" customHeight="1">
      <c r="A226" s="46"/>
      <c r="B226" s="46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8"/>
      <c r="N226" s="47"/>
      <c r="O226" s="47"/>
      <c r="P226" s="47"/>
      <c r="Q226" s="47"/>
      <c r="R226" s="47"/>
      <c r="S226" s="47"/>
      <c r="T226" s="47"/>
      <c r="U226" s="47"/>
      <c r="V226" s="47"/>
      <c r="W226" s="49"/>
      <c r="X226" s="47"/>
      <c r="Y226" s="47"/>
      <c r="Z226" s="47"/>
      <c r="AA226" s="47"/>
      <c r="AB226" s="47"/>
      <c r="AC226" s="47"/>
      <c r="AD226" s="47"/>
      <c r="AE226" s="47"/>
      <c r="AF226" s="47"/>
      <c r="AG226" s="49"/>
      <c r="AH226" s="47"/>
      <c r="AI226" s="47"/>
      <c r="AJ226" s="47"/>
      <c r="AK226" s="47"/>
      <c r="AL226" s="47"/>
      <c r="AM226" s="47"/>
      <c r="AN226" s="47"/>
      <c r="AO226" s="47"/>
      <c r="AP226" s="47"/>
      <c r="AQ226" s="49"/>
      <c r="AR226" s="47"/>
      <c r="AS226" s="47"/>
      <c r="AT226" s="47"/>
      <c r="AU226" s="47"/>
      <c r="AV226" s="47"/>
      <c r="AW226" s="47"/>
      <c r="AX226" s="47"/>
      <c r="AY226" s="47"/>
      <c r="AZ226" s="47"/>
      <c r="BA226" s="50"/>
      <c r="BB226" s="51"/>
      <c r="BC226" s="51"/>
      <c r="BD226" s="51"/>
      <c r="BE226" s="51"/>
      <c r="BF226" s="51"/>
      <c r="BG226" s="51"/>
      <c r="BH226" s="51"/>
      <c r="BI226" s="51"/>
      <c r="BJ226" s="51"/>
      <c r="BK226" s="51"/>
      <c r="BL226" s="51"/>
      <c r="BM226" s="51"/>
      <c r="BN226" s="51"/>
      <c r="BO226" s="51"/>
      <c r="BP226" s="51"/>
      <c r="BQ226" s="51"/>
      <c r="BR226" s="52"/>
      <c r="BS226" s="53"/>
      <c r="BT226" s="53"/>
      <c r="BU226" s="52"/>
      <c r="BV226" s="47"/>
      <c r="BW226" s="47"/>
      <c r="BX226" s="51"/>
      <c r="BY226" s="52"/>
      <c r="BZ226" s="53"/>
      <c r="CA226" s="53"/>
    </row>
    <row r="227" ht="11.25" customHeight="1">
      <c r="A227" s="55"/>
      <c r="B227" s="55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48"/>
      <c r="N227" s="56"/>
      <c r="O227" s="56"/>
      <c r="P227" s="56"/>
      <c r="Q227" s="56"/>
      <c r="R227" s="56"/>
      <c r="S227" s="56"/>
      <c r="T227" s="56"/>
      <c r="U227" s="56"/>
      <c r="V227" s="56"/>
      <c r="W227" s="49"/>
      <c r="X227" s="56"/>
      <c r="Y227" s="56"/>
      <c r="Z227" s="56"/>
      <c r="AA227" s="56"/>
      <c r="AB227" s="56"/>
      <c r="AC227" s="56"/>
      <c r="AD227" s="56"/>
      <c r="AE227" s="56"/>
      <c r="AF227" s="56"/>
      <c r="AG227" s="49"/>
      <c r="AH227" s="56"/>
      <c r="AI227" s="56"/>
      <c r="AJ227" s="56"/>
      <c r="AK227" s="56"/>
      <c r="AL227" s="56"/>
      <c r="AM227" s="56"/>
      <c r="AN227" s="56"/>
      <c r="AO227" s="56"/>
      <c r="AP227" s="56"/>
      <c r="AQ227" s="49"/>
      <c r="AR227" s="56"/>
      <c r="AS227" s="56"/>
      <c r="AT227" s="56"/>
      <c r="AU227" s="56"/>
      <c r="AV227" s="56"/>
      <c r="AW227" s="56"/>
      <c r="AX227" s="56"/>
      <c r="AY227" s="56"/>
      <c r="AZ227" s="56"/>
      <c r="BA227" s="50"/>
      <c r="BB227" s="57"/>
      <c r="BC227" s="57"/>
      <c r="BD227" s="57"/>
      <c r="BE227" s="57"/>
      <c r="BF227" s="57"/>
      <c r="BG227" s="57"/>
      <c r="BH227" s="57"/>
      <c r="BI227" s="57"/>
      <c r="BJ227" s="57"/>
      <c r="BK227" s="57"/>
      <c r="BL227" s="57"/>
      <c r="BM227" s="57"/>
      <c r="BN227" s="57"/>
      <c r="BO227" s="57"/>
      <c r="BP227" s="57"/>
      <c r="BQ227" s="57"/>
      <c r="BR227" s="59"/>
      <c r="BS227" s="59"/>
      <c r="BT227" s="59"/>
      <c r="BU227" s="59"/>
      <c r="BV227" s="47"/>
      <c r="BW227" s="47"/>
      <c r="BX227" s="57"/>
      <c r="BY227" s="59"/>
      <c r="BZ227" s="59"/>
      <c r="CA227" s="53"/>
    </row>
    <row r="228" ht="11.25" customHeight="1">
      <c r="A228" s="46"/>
      <c r="B228" s="46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8"/>
      <c r="N228" s="47"/>
      <c r="O228" s="47"/>
      <c r="P228" s="47"/>
      <c r="Q228" s="47"/>
      <c r="R228" s="47"/>
      <c r="S228" s="47"/>
      <c r="T228" s="47"/>
      <c r="U228" s="47"/>
      <c r="V228" s="47"/>
      <c r="W228" s="49"/>
      <c r="X228" s="47"/>
      <c r="Y228" s="47"/>
      <c r="Z228" s="47"/>
      <c r="AA228" s="47"/>
      <c r="AB228" s="47"/>
      <c r="AC228" s="47"/>
      <c r="AD228" s="47"/>
      <c r="AE228" s="47"/>
      <c r="AF228" s="47"/>
      <c r="AG228" s="49"/>
      <c r="AH228" s="47"/>
      <c r="AI228" s="47"/>
      <c r="AJ228" s="47"/>
      <c r="AK228" s="47"/>
      <c r="AL228" s="47"/>
      <c r="AM228" s="47"/>
      <c r="AN228" s="47"/>
      <c r="AO228" s="47"/>
      <c r="AP228" s="47"/>
      <c r="AQ228" s="49"/>
      <c r="AR228" s="47"/>
      <c r="AS228" s="47"/>
      <c r="AT228" s="47"/>
      <c r="AU228" s="47"/>
      <c r="AV228" s="47"/>
      <c r="AW228" s="47"/>
      <c r="AX228" s="47"/>
      <c r="AY228" s="47"/>
      <c r="AZ228" s="47"/>
      <c r="BA228" s="50"/>
      <c r="BB228" s="51"/>
      <c r="BC228" s="51"/>
      <c r="BD228" s="51"/>
      <c r="BE228" s="51"/>
      <c r="BF228" s="51"/>
      <c r="BG228" s="51"/>
      <c r="BH228" s="51"/>
      <c r="BI228" s="51"/>
      <c r="BJ228" s="51"/>
      <c r="BK228" s="51"/>
      <c r="BL228" s="51"/>
      <c r="BM228" s="51"/>
      <c r="BN228" s="51"/>
      <c r="BO228" s="51"/>
      <c r="BP228" s="51"/>
      <c r="BQ228" s="51"/>
      <c r="BR228" s="52"/>
      <c r="BS228" s="53"/>
      <c r="BT228" s="53"/>
      <c r="BU228" s="52"/>
      <c r="BV228" s="47"/>
      <c r="BW228" s="47"/>
      <c r="BX228" s="51"/>
      <c r="BY228" s="52"/>
      <c r="BZ228" s="53"/>
      <c r="CA228" s="53"/>
    </row>
    <row r="229" ht="11.25" customHeight="1">
      <c r="A229" s="55"/>
      <c r="B229" s="55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48"/>
      <c r="N229" s="56"/>
      <c r="O229" s="56"/>
      <c r="P229" s="56"/>
      <c r="Q229" s="56"/>
      <c r="R229" s="56"/>
      <c r="S229" s="56"/>
      <c r="T229" s="56"/>
      <c r="U229" s="56"/>
      <c r="V229" s="56"/>
      <c r="W229" s="49"/>
      <c r="X229" s="56"/>
      <c r="Y229" s="56"/>
      <c r="Z229" s="56"/>
      <c r="AA229" s="56"/>
      <c r="AB229" s="56"/>
      <c r="AC229" s="56"/>
      <c r="AD229" s="56"/>
      <c r="AE229" s="56"/>
      <c r="AF229" s="56"/>
      <c r="AG229" s="49"/>
      <c r="AH229" s="56"/>
      <c r="AI229" s="56"/>
      <c r="AJ229" s="56"/>
      <c r="AK229" s="56"/>
      <c r="AL229" s="56"/>
      <c r="AM229" s="56"/>
      <c r="AN229" s="56"/>
      <c r="AO229" s="56"/>
      <c r="AP229" s="56"/>
      <c r="AQ229" s="49"/>
      <c r="AR229" s="56"/>
      <c r="AS229" s="56"/>
      <c r="AT229" s="56"/>
      <c r="AU229" s="56"/>
      <c r="AV229" s="56"/>
      <c r="AW229" s="56"/>
      <c r="AX229" s="56"/>
      <c r="AY229" s="56"/>
      <c r="AZ229" s="56"/>
      <c r="BA229" s="50"/>
      <c r="BB229" s="57"/>
      <c r="BC229" s="57"/>
      <c r="BD229" s="57"/>
      <c r="BE229" s="57"/>
      <c r="BF229" s="57"/>
      <c r="BG229" s="57"/>
      <c r="BH229" s="57"/>
      <c r="BI229" s="57"/>
      <c r="BJ229" s="57"/>
      <c r="BK229" s="57"/>
      <c r="BL229" s="57"/>
      <c r="BM229" s="57"/>
      <c r="BN229" s="57"/>
      <c r="BO229" s="57"/>
      <c r="BP229" s="57"/>
      <c r="BQ229" s="57"/>
      <c r="BR229" s="58"/>
      <c r="BS229" s="59"/>
      <c r="BT229" s="59"/>
      <c r="BU229" s="58"/>
      <c r="BV229" s="47"/>
      <c r="BW229" s="47"/>
      <c r="BX229" s="57"/>
      <c r="BY229" s="58"/>
      <c r="BZ229" s="59"/>
      <c r="CA229" s="53"/>
    </row>
    <row r="230" ht="11.25" customHeight="1">
      <c r="A230" s="46"/>
      <c r="B230" s="46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8"/>
      <c r="N230" s="47"/>
      <c r="O230" s="47"/>
      <c r="P230" s="47"/>
      <c r="Q230" s="47"/>
      <c r="R230" s="47"/>
      <c r="S230" s="47"/>
      <c r="T230" s="47"/>
      <c r="U230" s="47"/>
      <c r="V230" s="47"/>
      <c r="W230" s="49"/>
      <c r="X230" s="47"/>
      <c r="Y230" s="47"/>
      <c r="Z230" s="47"/>
      <c r="AA230" s="47"/>
      <c r="AB230" s="47"/>
      <c r="AC230" s="47"/>
      <c r="AD230" s="47"/>
      <c r="AE230" s="47"/>
      <c r="AF230" s="47"/>
      <c r="AG230" s="49"/>
      <c r="AH230" s="47"/>
      <c r="AI230" s="47"/>
      <c r="AJ230" s="47"/>
      <c r="AK230" s="47"/>
      <c r="AL230" s="47"/>
      <c r="AM230" s="47"/>
      <c r="AN230" s="47"/>
      <c r="AO230" s="47"/>
      <c r="AP230" s="47"/>
      <c r="AQ230" s="49"/>
      <c r="AR230" s="47"/>
      <c r="AS230" s="47"/>
      <c r="AT230" s="47"/>
      <c r="AU230" s="47"/>
      <c r="AV230" s="47"/>
      <c r="AW230" s="47"/>
      <c r="AX230" s="47"/>
      <c r="AY230" s="47"/>
      <c r="AZ230" s="47"/>
      <c r="BA230" s="50"/>
      <c r="BB230" s="51"/>
      <c r="BC230" s="51"/>
      <c r="BD230" s="51"/>
      <c r="BE230" s="51"/>
      <c r="BF230" s="51"/>
      <c r="BG230" s="51"/>
      <c r="BH230" s="51"/>
      <c r="BI230" s="51"/>
      <c r="BJ230" s="51"/>
      <c r="BK230" s="51"/>
      <c r="BL230" s="51"/>
      <c r="BM230" s="51"/>
      <c r="BN230" s="51"/>
      <c r="BO230" s="51"/>
      <c r="BP230" s="51"/>
      <c r="BQ230" s="51"/>
      <c r="BR230" s="52"/>
      <c r="BS230" s="53"/>
      <c r="BT230" s="53"/>
      <c r="BU230" s="52"/>
      <c r="BV230" s="47"/>
      <c r="BW230" s="47"/>
      <c r="BX230" s="51"/>
      <c r="BY230" s="52"/>
      <c r="BZ230" s="53"/>
      <c r="CA230" s="53"/>
    </row>
    <row r="231" ht="11.25" customHeight="1">
      <c r="A231" s="55"/>
      <c r="B231" s="55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48"/>
      <c r="N231" s="56"/>
      <c r="O231" s="56"/>
      <c r="P231" s="56"/>
      <c r="Q231" s="56"/>
      <c r="R231" s="56"/>
      <c r="S231" s="56"/>
      <c r="T231" s="56"/>
      <c r="U231" s="56"/>
      <c r="V231" s="56"/>
      <c r="W231" s="49"/>
      <c r="X231" s="56"/>
      <c r="Y231" s="56"/>
      <c r="Z231" s="56"/>
      <c r="AA231" s="56"/>
      <c r="AB231" s="56"/>
      <c r="AC231" s="56"/>
      <c r="AD231" s="56"/>
      <c r="AE231" s="56"/>
      <c r="AF231" s="56"/>
      <c r="AG231" s="49"/>
      <c r="AH231" s="56"/>
      <c r="AI231" s="56"/>
      <c r="AJ231" s="56"/>
      <c r="AK231" s="56"/>
      <c r="AL231" s="56"/>
      <c r="AM231" s="56"/>
      <c r="AN231" s="56"/>
      <c r="AO231" s="56"/>
      <c r="AP231" s="56"/>
      <c r="AQ231" s="49"/>
      <c r="AR231" s="56"/>
      <c r="AS231" s="56"/>
      <c r="AT231" s="56"/>
      <c r="AU231" s="56"/>
      <c r="AV231" s="56"/>
      <c r="AW231" s="56"/>
      <c r="AX231" s="56"/>
      <c r="AY231" s="56"/>
      <c r="AZ231" s="56"/>
      <c r="BA231" s="50"/>
      <c r="BB231" s="57"/>
      <c r="BC231" s="57"/>
      <c r="BD231" s="57"/>
      <c r="BE231" s="57"/>
      <c r="BF231" s="57"/>
      <c r="BG231" s="57"/>
      <c r="BH231" s="57"/>
      <c r="BI231" s="57"/>
      <c r="BJ231" s="57"/>
      <c r="BK231" s="57"/>
      <c r="BL231" s="57"/>
      <c r="BM231" s="57"/>
      <c r="BN231" s="57"/>
      <c r="BO231" s="57"/>
      <c r="BP231" s="57"/>
      <c r="BQ231" s="57"/>
      <c r="BR231" s="58"/>
      <c r="BS231" s="59"/>
      <c r="BT231" s="59"/>
      <c r="BU231" s="58"/>
      <c r="BV231" s="47"/>
      <c r="BW231" s="47"/>
      <c r="BX231" s="57"/>
      <c r="BY231" s="58"/>
      <c r="BZ231" s="59"/>
      <c r="CA231" s="53"/>
    </row>
    <row r="232" ht="11.25" customHeight="1">
      <c r="A232" s="46"/>
      <c r="B232" s="46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8"/>
      <c r="N232" s="47"/>
      <c r="O232" s="47"/>
      <c r="P232" s="47"/>
      <c r="Q232" s="47"/>
      <c r="R232" s="47"/>
      <c r="S232" s="47"/>
      <c r="T232" s="47"/>
      <c r="U232" s="47"/>
      <c r="V232" s="47"/>
      <c r="W232" s="49"/>
      <c r="X232" s="47"/>
      <c r="Y232" s="47"/>
      <c r="Z232" s="47"/>
      <c r="AA232" s="47"/>
      <c r="AB232" s="47"/>
      <c r="AC232" s="47"/>
      <c r="AD232" s="47"/>
      <c r="AE232" s="47"/>
      <c r="AF232" s="47"/>
      <c r="AG232" s="49"/>
      <c r="AH232" s="47"/>
      <c r="AI232" s="47"/>
      <c r="AJ232" s="47"/>
      <c r="AK232" s="47"/>
      <c r="AL232" s="47"/>
      <c r="AM232" s="47"/>
      <c r="AN232" s="47"/>
      <c r="AO232" s="47"/>
      <c r="AP232" s="47"/>
      <c r="AQ232" s="49"/>
      <c r="AR232" s="47"/>
      <c r="AS232" s="47"/>
      <c r="AT232" s="47"/>
      <c r="AU232" s="47"/>
      <c r="AV232" s="47"/>
      <c r="AW232" s="47"/>
      <c r="AX232" s="47"/>
      <c r="AY232" s="47"/>
      <c r="AZ232" s="47"/>
      <c r="BA232" s="50"/>
      <c r="BB232" s="51"/>
      <c r="BC232" s="51"/>
      <c r="BD232" s="51"/>
      <c r="BE232" s="51"/>
      <c r="BF232" s="51"/>
      <c r="BG232" s="51"/>
      <c r="BH232" s="51"/>
      <c r="BI232" s="51"/>
      <c r="BJ232" s="51"/>
      <c r="BK232" s="51"/>
      <c r="BL232" s="51"/>
      <c r="BM232" s="51"/>
      <c r="BN232" s="51"/>
      <c r="BO232" s="51"/>
      <c r="BP232" s="51"/>
      <c r="BQ232" s="51"/>
      <c r="BR232" s="52"/>
      <c r="BS232" s="53"/>
      <c r="BT232" s="53"/>
      <c r="BU232" s="52"/>
      <c r="BV232" s="47"/>
      <c r="BW232" s="47"/>
      <c r="BX232" s="51"/>
      <c r="BY232" s="52"/>
      <c r="BZ232" s="53"/>
      <c r="CA232" s="53"/>
    </row>
    <row r="233" ht="11.25" customHeight="1">
      <c r="A233" s="55"/>
      <c r="B233" s="55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48"/>
      <c r="N233" s="56"/>
      <c r="O233" s="56"/>
      <c r="P233" s="56"/>
      <c r="Q233" s="56"/>
      <c r="R233" s="56"/>
      <c r="S233" s="56"/>
      <c r="T233" s="56"/>
      <c r="U233" s="56"/>
      <c r="V233" s="56"/>
      <c r="W233" s="49"/>
      <c r="X233" s="56"/>
      <c r="Y233" s="56"/>
      <c r="Z233" s="56"/>
      <c r="AA233" s="56"/>
      <c r="AB233" s="56"/>
      <c r="AC233" s="56"/>
      <c r="AD233" s="56"/>
      <c r="AE233" s="56"/>
      <c r="AF233" s="56"/>
      <c r="AG233" s="49"/>
      <c r="AH233" s="56"/>
      <c r="AI233" s="56"/>
      <c r="AJ233" s="56"/>
      <c r="AK233" s="56"/>
      <c r="AL233" s="56"/>
      <c r="AM233" s="56"/>
      <c r="AN233" s="56"/>
      <c r="AO233" s="56"/>
      <c r="AP233" s="56"/>
      <c r="AQ233" s="49"/>
      <c r="AR233" s="56"/>
      <c r="AS233" s="56"/>
      <c r="AT233" s="56"/>
      <c r="AU233" s="56"/>
      <c r="AV233" s="56"/>
      <c r="AW233" s="56"/>
      <c r="AX233" s="56"/>
      <c r="AY233" s="56"/>
      <c r="AZ233" s="56"/>
      <c r="BA233" s="50"/>
      <c r="BB233" s="57"/>
      <c r="BC233" s="57"/>
      <c r="BD233" s="57"/>
      <c r="BE233" s="57"/>
      <c r="BF233" s="57"/>
      <c r="BG233" s="57"/>
      <c r="BH233" s="57"/>
      <c r="BI233" s="57"/>
      <c r="BJ233" s="57"/>
      <c r="BK233" s="57"/>
      <c r="BL233" s="57"/>
      <c r="BM233" s="57"/>
      <c r="BN233" s="57"/>
      <c r="BO233" s="57"/>
      <c r="BP233" s="57"/>
      <c r="BQ233" s="57"/>
      <c r="BR233" s="58"/>
      <c r="BS233" s="59"/>
      <c r="BT233" s="59"/>
      <c r="BU233" s="58"/>
      <c r="BV233" s="47"/>
      <c r="BW233" s="47"/>
      <c r="BX233" s="57"/>
      <c r="BY233" s="58"/>
      <c r="BZ233" s="59"/>
      <c r="CA233" s="53"/>
    </row>
    <row r="234" ht="11.25" customHeight="1">
      <c r="A234" s="46"/>
      <c r="B234" s="46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8"/>
      <c r="N234" s="47"/>
      <c r="O234" s="47"/>
      <c r="P234" s="47"/>
      <c r="Q234" s="47"/>
      <c r="R234" s="47"/>
      <c r="S234" s="47"/>
      <c r="T234" s="47"/>
      <c r="U234" s="47"/>
      <c r="V234" s="47"/>
      <c r="W234" s="49"/>
      <c r="X234" s="47"/>
      <c r="Y234" s="47"/>
      <c r="Z234" s="47"/>
      <c r="AA234" s="47"/>
      <c r="AB234" s="47"/>
      <c r="AC234" s="47"/>
      <c r="AD234" s="47"/>
      <c r="AE234" s="47"/>
      <c r="AF234" s="47"/>
      <c r="AG234" s="49"/>
      <c r="AH234" s="47"/>
      <c r="AI234" s="47"/>
      <c r="AJ234" s="47"/>
      <c r="AK234" s="47"/>
      <c r="AL234" s="47"/>
      <c r="AM234" s="47"/>
      <c r="AN234" s="47"/>
      <c r="AO234" s="47"/>
      <c r="AP234" s="47"/>
      <c r="AQ234" s="49"/>
      <c r="AR234" s="47"/>
      <c r="AS234" s="47"/>
      <c r="AT234" s="47"/>
      <c r="AU234" s="47"/>
      <c r="AV234" s="47"/>
      <c r="AW234" s="47"/>
      <c r="AX234" s="47"/>
      <c r="AY234" s="47"/>
      <c r="AZ234" s="47"/>
      <c r="BA234" s="50"/>
      <c r="BB234" s="51"/>
      <c r="BC234" s="51"/>
      <c r="BD234" s="51"/>
      <c r="BE234" s="51"/>
      <c r="BF234" s="51"/>
      <c r="BG234" s="51"/>
      <c r="BH234" s="51"/>
      <c r="BI234" s="51"/>
      <c r="BJ234" s="51"/>
      <c r="BK234" s="51"/>
      <c r="BL234" s="51"/>
      <c r="BM234" s="51"/>
      <c r="BN234" s="51"/>
      <c r="BO234" s="51"/>
      <c r="BP234" s="51"/>
      <c r="BQ234" s="51"/>
      <c r="BR234" s="52"/>
      <c r="BS234" s="53"/>
      <c r="BT234" s="53"/>
      <c r="BU234" s="52"/>
      <c r="BV234" s="47"/>
      <c r="BW234" s="47"/>
      <c r="BX234" s="51"/>
      <c r="BY234" s="52"/>
      <c r="BZ234" s="53"/>
      <c r="CA234" s="53"/>
    </row>
    <row r="235" ht="11.25" customHeight="1">
      <c r="A235" s="55"/>
      <c r="B235" s="55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48"/>
      <c r="N235" s="56"/>
      <c r="O235" s="56"/>
      <c r="P235" s="56"/>
      <c r="Q235" s="56"/>
      <c r="R235" s="56"/>
      <c r="S235" s="56"/>
      <c r="T235" s="56"/>
      <c r="U235" s="56"/>
      <c r="V235" s="56"/>
      <c r="W235" s="49"/>
      <c r="X235" s="56"/>
      <c r="Y235" s="56"/>
      <c r="Z235" s="56"/>
      <c r="AA235" s="56"/>
      <c r="AB235" s="56"/>
      <c r="AC235" s="56"/>
      <c r="AD235" s="56"/>
      <c r="AE235" s="56"/>
      <c r="AF235" s="56"/>
      <c r="AG235" s="49"/>
      <c r="AH235" s="56"/>
      <c r="AI235" s="56"/>
      <c r="AJ235" s="56"/>
      <c r="AK235" s="56"/>
      <c r="AL235" s="56"/>
      <c r="AM235" s="56"/>
      <c r="AN235" s="56"/>
      <c r="AO235" s="56"/>
      <c r="AP235" s="56"/>
      <c r="AQ235" s="49"/>
      <c r="AR235" s="56"/>
      <c r="AS235" s="56"/>
      <c r="AT235" s="56"/>
      <c r="AU235" s="56"/>
      <c r="AV235" s="56"/>
      <c r="AW235" s="56"/>
      <c r="AX235" s="56"/>
      <c r="AY235" s="56"/>
      <c r="AZ235" s="56"/>
      <c r="BA235" s="50"/>
      <c r="BB235" s="57"/>
      <c r="BC235" s="57"/>
      <c r="BD235" s="57"/>
      <c r="BE235" s="57"/>
      <c r="BF235" s="57"/>
      <c r="BG235" s="57"/>
      <c r="BH235" s="57"/>
      <c r="BI235" s="57"/>
      <c r="BJ235" s="57"/>
      <c r="BK235" s="57"/>
      <c r="BL235" s="57"/>
      <c r="BM235" s="57"/>
      <c r="BN235" s="57"/>
      <c r="BO235" s="57"/>
      <c r="BP235" s="57"/>
      <c r="BQ235" s="57"/>
      <c r="BR235" s="58"/>
      <c r="BS235" s="59"/>
      <c r="BT235" s="59"/>
      <c r="BU235" s="58"/>
      <c r="BV235" s="47"/>
      <c r="BW235" s="47"/>
      <c r="BX235" s="57"/>
      <c r="BY235" s="58"/>
      <c r="BZ235" s="59"/>
      <c r="CA235" s="53"/>
    </row>
    <row r="236" ht="11.25" customHeight="1">
      <c r="A236" s="46"/>
      <c r="B236" s="46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8"/>
      <c r="N236" s="47"/>
      <c r="O236" s="47"/>
      <c r="P236" s="47"/>
      <c r="Q236" s="47"/>
      <c r="R236" s="47"/>
      <c r="S236" s="47"/>
      <c r="T236" s="47"/>
      <c r="U236" s="47"/>
      <c r="V236" s="47"/>
      <c r="W236" s="49"/>
      <c r="X236" s="47"/>
      <c r="Y236" s="47"/>
      <c r="Z236" s="47"/>
      <c r="AA236" s="47"/>
      <c r="AB236" s="47"/>
      <c r="AC236" s="47"/>
      <c r="AD236" s="47"/>
      <c r="AE236" s="47"/>
      <c r="AF236" s="47"/>
      <c r="AG236" s="49"/>
      <c r="AH236" s="47"/>
      <c r="AI236" s="47"/>
      <c r="AJ236" s="47"/>
      <c r="AK236" s="47"/>
      <c r="AL236" s="47"/>
      <c r="AM236" s="47"/>
      <c r="AN236" s="47"/>
      <c r="AO236" s="47"/>
      <c r="AP236" s="47"/>
      <c r="AQ236" s="49"/>
      <c r="AR236" s="47"/>
      <c r="AS236" s="47"/>
      <c r="AT236" s="47"/>
      <c r="AU236" s="47"/>
      <c r="AV236" s="47"/>
      <c r="AW236" s="47"/>
      <c r="AX236" s="47"/>
      <c r="AY236" s="47"/>
      <c r="AZ236" s="47"/>
      <c r="BA236" s="50"/>
      <c r="BB236" s="51"/>
      <c r="BC236" s="51"/>
      <c r="BD236" s="51"/>
      <c r="BE236" s="51"/>
      <c r="BF236" s="51"/>
      <c r="BG236" s="51"/>
      <c r="BH236" s="51"/>
      <c r="BI236" s="51"/>
      <c r="BJ236" s="51"/>
      <c r="BK236" s="51"/>
      <c r="BL236" s="51"/>
      <c r="BM236" s="51"/>
      <c r="BN236" s="51"/>
      <c r="BO236" s="51"/>
      <c r="BP236" s="51"/>
      <c r="BQ236" s="51"/>
      <c r="BR236" s="52"/>
      <c r="BS236" s="53"/>
      <c r="BT236" s="53"/>
      <c r="BU236" s="52"/>
      <c r="BV236" s="47"/>
      <c r="BW236" s="47"/>
      <c r="BX236" s="51"/>
      <c r="BY236" s="52"/>
      <c r="BZ236" s="53"/>
      <c r="CA236" s="53"/>
    </row>
    <row r="237" ht="11.25" customHeight="1">
      <c r="A237" s="55"/>
      <c r="B237" s="55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48"/>
      <c r="N237" s="56"/>
      <c r="O237" s="56"/>
      <c r="P237" s="56"/>
      <c r="Q237" s="56"/>
      <c r="R237" s="56"/>
      <c r="S237" s="56"/>
      <c r="T237" s="56"/>
      <c r="U237" s="56"/>
      <c r="V237" s="56"/>
      <c r="W237" s="49"/>
      <c r="X237" s="56"/>
      <c r="Y237" s="56"/>
      <c r="Z237" s="56"/>
      <c r="AA237" s="56"/>
      <c r="AB237" s="56"/>
      <c r="AC237" s="56"/>
      <c r="AD237" s="56"/>
      <c r="AE237" s="56"/>
      <c r="AF237" s="56"/>
      <c r="AG237" s="49"/>
      <c r="AH237" s="56"/>
      <c r="AI237" s="56"/>
      <c r="AJ237" s="56"/>
      <c r="AK237" s="56"/>
      <c r="AL237" s="56"/>
      <c r="AM237" s="56"/>
      <c r="AN237" s="56"/>
      <c r="AO237" s="56"/>
      <c r="AP237" s="56"/>
      <c r="AQ237" s="49"/>
      <c r="AR237" s="56"/>
      <c r="AS237" s="56"/>
      <c r="AT237" s="56"/>
      <c r="AU237" s="56"/>
      <c r="AV237" s="56"/>
      <c r="AW237" s="56"/>
      <c r="AX237" s="56"/>
      <c r="AY237" s="56"/>
      <c r="AZ237" s="56"/>
      <c r="BA237" s="50"/>
      <c r="BB237" s="57"/>
      <c r="BC237" s="57"/>
      <c r="BD237" s="57"/>
      <c r="BE237" s="57"/>
      <c r="BF237" s="57"/>
      <c r="BG237" s="57"/>
      <c r="BH237" s="57"/>
      <c r="BI237" s="57"/>
      <c r="BJ237" s="57"/>
      <c r="BK237" s="57"/>
      <c r="BL237" s="57"/>
      <c r="BM237" s="57"/>
      <c r="BN237" s="57"/>
      <c r="BO237" s="57"/>
      <c r="BP237" s="57"/>
      <c r="BQ237" s="57"/>
      <c r="BR237" s="58"/>
      <c r="BS237" s="59"/>
      <c r="BT237" s="59"/>
      <c r="BU237" s="58"/>
      <c r="BV237" s="47"/>
      <c r="BW237" s="47"/>
      <c r="BX237" s="57"/>
      <c r="BY237" s="58"/>
      <c r="BZ237" s="59"/>
      <c r="CA237" s="53"/>
    </row>
    <row r="238" ht="11.25" customHeight="1">
      <c r="A238" s="46"/>
      <c r="B238" s="46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8"/>
      <c r="N238" s="47"/>
      <c r="O238" s="47"/>
      <c r="P238" s="47"/>
      <c r="Q238" s="47"/>
      <c r="R238" s="47"/>
      <c r="S238" s="47"/>
      <c r="T238" s="47"/>
      <c r="U238" s="47"/>
      <c r="V238" s="47"/>
      <c r="W238" s="49"/>
      <c r="X238" s="47"/>
      <c r="Y238" s="47"/>
      <c r="Z238" s="47"/>
      <c r="AA238" s="47"/>
      <c r="AB238" s="47"/>
      <c r="AC238" s="47"/>
      <c r="AD238" s="47"/>
      <c r="AE238" s="47"/>
      <c r="AF238" s="47"/>
      <c r="AG238" s="49"/>
      <c r="AH238" s="47"/>
      <c r="AI238" s="47"/>
      <c r="AJ238" s="47"/>
      <c r="AK238" s="47"/>
      <c r="AL238" s="47"/>
      <c r="AM238" s="47"/>
      <c r="AN238" s="47"/>
      <c r="AO238" s="47"/>
      <c r="AP238" s="47"/>
      <c r="AQ238" s="49"/>
      <c r="AR238" s="47"/>
      <c r="AS238" s="47"/>
      <c r="AT238" s="47"/>
      <c r="AU238" s="47"/>
      <c r="AV238" s="47"/>
      <c r="AW238" s="47"/>
      <c r="AX238" s="47"/>
      <c r="AY238" s="47"/>
      <c r="AZ238" s="47"/>
      <c r="BA238" s="50"/>
      <c r="BB238" s="51"/>
      <c r="BC238" s="51"/>
      <c r="BD238" s="51"/>
      <c r="BE238" s="51"/>
      <c r="BF238" s="51"/>
      <c r="BG238" s="51"/>
      <c r="BH238" s="51"/>
      <c r="BI238" s="51"/>
      <c r="BJ238" s="51"/>
      <c r="BK238" s="51"/>
      <c r="BL238" s="51"/>
      <c r="BM238" s="51"/>
      <c r="BN238" s="51"/>
      <c r="BO238" s="51"/>
      <c r="BP238" s="51"/>
      <c r="BQ238" s="51"/>
      <c r="BR238" s="52"/>
      <c r="BS238" s="53"/>
      <c r="BT238" s="53"/>
      <c r="BU238" s="52"/>
      <c r="BV238" s="47"/>
      <c r="BW238" s="47"/>
      <c r="BX238" s="51"/>
      <c r="BY238" s="52"/>
      <c r="BZ238" s="53"/>
      <c r="CA238" s="53"/>
    </row>
    <row r="239" ht="11.25" customHeight="1">
      <c r="A239" s="55"/>
      <c r="B239" s="55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48"/>
      <c r="N239" s="56"/>
      <c r="O239" s="56"/>
      <c r="P239" s="56"/>
      <c r="Q239" s="56"/>
      <c r="R239" s="56"/>
      <c r="S239" s="56"/>
      <c r="T239" s="56"/>
      <c r="U239" s="56"/>
      <c r="V239" s="56"/>
      <c r="W239" s="49"/>
      <c r="X239" s="56"/>
      <c r="Y239" s="56"/>
      <c r="Z239" s="56"/>
      <c r="AA239" s="56"/>
      <c r="AB239" s="56"/>
      <c r="AC239" s="56"/>
      <c r="AD239" s="56"/>
      <c r="AE239" s="56"/>
      <c r="AF239" s="56"/>
      <c r="AG239" s="49"/>
      <c r="AH239" s="56"/>
      <c r="AI239" s="56"/>
      <c r="AJ239" s="56"/>
      <c r="AK239" s="56"/>
      <c r="AL239" s="56"/>
      <c r="AM239" s="56"/>
      <c r="AN239" s="56"/>
      <c r="AO239" s="56"/>
      <c r="AP239" s="56"/>
      <c r="AQ239" s="49"/>
      <c r="AR239" s="56"/>
      <c r="AS239" s="56"/>
      <c r="AT239" s="56"/>
      <c r="AU239" s="56"/>
      <c r="AV239" s="56"/>
      <c r="AW239" s="56"/>
      <c r="AX239" s="56"/>
      <c r="AY239" s="56"/>
      <c r="AZ239" s="56"/>
      <c r="BA239" s="50"/>
      <c r="BB239" s="57"/>
      <c r="BC239" s="57"/>
      <c r="BD239" s="57"/>
      <c r="BE239" s="57"/>
      <c r="BF239" s="57"/>
      <c r="BG239" s="57"/>
      <c r="BH239" s="57"/>
      <c r="BI239" s="57"/>
      <c r="BJ239" s="57"/>
      <c r="BK239" s="57"/>
      <c r="BL239" s="57"/>
      <c r="BM239" s="57"/>
      <c r="BN239" s="57"/>
      <c r="BO239" s="57"/>
      <c r="BP239" s="57"/>
      <c r="BQ239" s="57"/>
      <c r="BR239" s="58"/>
      <c r="BS239" s="59"/>
      <c r="BT239" s="59"/>
      <c r="BU239" s="58"/>
      <c r="BV239" s="47"/>
      <c r="BW239" s="47"/>
      <c r="BX239" s="57"/>
      <c r="BY239" s="58"/>
      <c r="BZ239" s="59"/>
      <c r="CA239" s="53"/>
    </row>
    <row r="240" ht="11.25" customHeight="1">
      <c r="A240" s="46"/>
      <c r="B240" s="46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8"/>
      <c r="N240" s="47"/>
      <c r="O240" s="47"/>
      <c r="P240" s="47"/>
      <c r="Q240" s="47"/>
      <c r="R240" s="47"/>
      <c r="S240" s="47"/>
      <c r="T240" s="47"/>
      <c r="U240" s="47"/>
      <c r="V240" s="47"/>
      <c r="W240" s="49"/>
      <c r="X240" s="47"/>
      <c r="Y240" s="47"/>
      <c r="Z240" s="47"/>
      <c r="AA240" s="47"/>
      <c r="AB240" s="47"/>
      <c r="AC240" s="47"/>
      <c r="AD240" s="47"/>
      <c r="AE240" s="47"/>
      <c r="AF240" s="47"/>
      <c r="AG240" s="49"/>
      <c r="AH240" s="47"/>
      <c r="AI240" s="47"/>
      <c r="AJ240" s="47"/>
      <c r="AK240" s="47"/>
      <c r="AL240" s="47"/>
      <c r="AM240" s="47"/>
      <c r="AN240" s="47"/>
      <c r="AO240" s="47"/>
      <c r="AP240" s="47"/>
      <c r="AQ240" s="49"/>
      <c r="AR240" s="47"/>
      <c r="AS240" s="47"/>
      <c r="AT240" s="47"/>
      <c r="AU240" s="47"/>
      <c r="AV240" s="47"/>
      <c r="AW240" s="47"/>
      <c r="AX240" s="47"/>
      <c r="AY240" s="47"/>
      <c r="AZ240" s="47"/>
      <c r="BA240" s="50"/>
      <c r="BB240" s="51"/>
      <c r="BC240" s="51"/>
      <c r="BD240" s="51"/>
      <c r="BE240" s="51"/>
      <c r="BF240" s="51"/>
      <c r="BG240" s="51"/>
      <c r="BH240" s="51"/>
      <c r="BI240" s="51"/>
      <c r="BJ240" s="51"/>
      <c r="BK240" s="51"/>
      <c r="BL240" s="51"/>
      <c r="BM240" s="51"/>
      <c r="BN240" s="51"/>
      <c r="BO240" s="51"/>
      <c r="BP240" s="51"/>
      <c r="BQ240" s="51"/>
      <c r="BR240" s="52"/>
      <c r="BS240" s="53"/>
      <c r="BT240" s="53"/>
      <c r="BU240" s="52"/>
      <c r="BV240" s="47"/>
      <c r="BW240" s="47"/>
      <c r="BX240" s="51"/>
      <c r="BY240" s="66"/>
      <c r="BZ240" s="53"/>
      <c r="CA240" s="53"/>
    </row>
    <row r="241" ht="11.25" customHeight="1">
      <c r="A241" s="55"/>
      <c r="B241" s="55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48"/>
      <c r="N241" s="56"/>
      <c r="O241" s="56"/>
      <c r="P241" s="56"/>
      <c r="Q241" s="56"/>
      <c r="R241" s="56"/>
      <c r="S241" s="56"/>
      <c r="T241" s="56"/>
      <c r="U241" s="56"/>
      <c r="V241" s="56"/>
      <c r="W241" s="49"/>
      <c r="X241" s="56"/>
      <c r="Y241" s="56"/>
      <c r="Z241" s="56"/>
      <c r="AA241" s="56"/>
      <c r="AB241" s="56"/>
      <c r="AC241" s="56"/>
      <c r="AD241" s="56"/>
      <c r="AE241" s="56"/>
      <c r="AF241" s="56"/>
      <c r="AG241" s="49"/>
      <c r="AH241" s="56"/>
      <c r="AI241" s="56"/>
      <c r="AJ241" s="56"/>
      <c r="AK241" s="56"/>
      <c r="AL241" s="56"/>
      <c r="AM241" s="56"/>
      <c r="AN241" s="56"/>
      <c r="AO241" s="56"/>
      <c r="AP241" s="56"/>
      <c r="AQ241" s="49"/>
      <c r="AR241" s="56"/>
      <c r="AS241" s="56"/>
      <c r="AT241" s="56"/>
      <c r="AU241" s="56"/>
      <c r="AV241" s="56"/>
      <c r="AW241" s="56"/>
      <c r="AX241" s="56"/>
      <c r="AY241" s="56"/>
      <c r="AZ241" s="56"/>
      <c r="BA241" s="50"/>
      <c r="BB241" s="57"/>
      <c r="BC241" s="57"/>
      <c r="BD241" s="57"/>
      <c r="BE241" s="57"/>
      <c r="BF241" s="57"/>
      <c r="BG241" s="57"/>
      <c r="BH241" s="57"/>
      <c r="BI241" s="57"/>
      <c r="BJ241" s="57"/>
      <c r="BK241" s="57"/>
      <c r="BL241" s="57"/>
      <c r="BM241" s="57"/>
      <c r="BN241" s="57"/>
      <c r="BO241" s="57"/>
      <c r="BP241" s="57"/>
      <c r="BQ241" s="57"/>
      <c r="BR241" s="58"/>
      <c r="BS241" s="59"/>
      <c r="BT241" s="59"/>
      <c r="BU241" s="58"/>
      <c r="BV241" s="47"/>
      <c r="BW241" s="47"/>
      <c r="BX241" s="57"/>
      <c r="BY241" s="58"/>
      <c r="BZ241" s="59"/>
      <c r="CA241" s="53"/>
    </row>
    <row r="242" ht="11.25" customHeight="1">
      <c r="A242" s="46"/>
      <c r="B242" s="46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8"/>
      <c r="N242" s="47"/>
      <c r="O242" s="47"/>
      <c r="P242" s="47"/>
      <c r="Q242" s="47"/>
      <c r="R242" s="47"/>
      <c r="S242" s="47"/>
      <c r="T242" s="47"/>
      <c r="U242" s="47"/>
      <c r="V242" s="47"/>
      <c r="W242" s="49"/>
      <c r="X242" s="47"/>
      <c r="Y242" s="47"/>
      <c r="Z242" s="47"/>
      <c r="AA242" s="47"/>
      <c r="AB242" s="47"/>
      <c r="AC242" s="47"/>
      <c r="AD242" s="47"/>
      <c r="AE242" s="47"/>
      <c r="AF242" s="47"/>
      <c r="AG242" s="49"/>
      <c r="AH242" s="47"/>
      <c r="AI242" s="47"/>
      <c r="AJ242" s="47"/>
      <c r="AK242" s="47"/>
      <c r="AL242" s="47"/>
      <c r="AM242" s="47"/>
      <c r="AN242" s="47"/>
      <c r="AO242" s="47"/>
      <c r="AP242" s="47"/>
      <c r="AQ242" s="49"/>
      <c r="AR242" s="47"/>
      <c r="AS242" s="47"/>
      <c r="AT242" s="47"/>
      <c r="AU242" s="47"/>
      <c r="AV242" s="47"/>
      <c r="AW242" s="47"/>
      <c r="AX242" s="47"/>
      <c r="AY242" s="47"/>
      <c r="AZ242" s="47"/>
      <c r="BA242" s="50"/>
      <c r="BB242" s="51"/>
      <c r="BC242" s="51"/>
      <c r="BD242" s="51"/>
      <c r="BE242" s="51"/>
      <c r="BF242" s="51"/>
      <c r="BG242" s="51"/>
      <c r="BH242" s="51"/>
      <c r="BI242" s="51"/>
      <c r="BJ242" s="51"/>
      <c r="BK242" s="51"/>
      <c r="BL242" s="51"/>
      <c r="BM242" s="51"/>
      <c r="BN242" s="51"/>
      <c r="BO242" s="51"/>
      <c r="BP242" s="51"/>
      <c r="BQ242" s="51"/>
      <c r="BR242" s="52"/>
      <c r="BS242" s="53"/>
      <c r="BT242" s="53"/>
      <c r="BU242" s="52"/>
      <c r="BV242" s="47"/>
      <c r="BW242" s="47"/>
      <c r="BX242" s="51"/>
      <c r="BY242" s="52"/>
      <c r="BZ242" s="53"/>
      <c r="CA242" s="53"/>
    </row>
    <row r="243" ht="11.25" customHeight="1">
      <c r="A243" s="55"/>
      <c r="B243" s="55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48"/>
      <c r="N243" s="56"/>
      <c r="O243" s="56"/>
      <c r="P243" s="56"/>
      <c r="Q243" s="56"/>
      <c r="R243" s="56"/>
      <c r="S243" s="56"/>
      <c r="T243" s="56"/>
      <c r="U243" s="56"/>
      <c r="V243" s="56"/>
      <c r="W243" s="49"/>
      <c r="X243" s="56"/>
      <c r="Y243" s="56"/>
      <c r="Z243" s="56"/>
      <c r="AA243" s="56"/>
      <c r="AB243" s="56"/>
      <c r="AC243" s="56"/>
      <c r="AD243" s="56"/>
      <c r="AE243" s="56"/>
      <c r="AF243" s="56"/>
      <c r="AG243" s="49"/>
      <c r="AH243" s="56"/>
      <c r="AI243" s="56"/>
      <c r="AJ243" s="56"/>
      <c r="AK243" s="56"/>
      <c r="AL243" s="56"/>
      <c r="AM243" s="56"/>
      <c r="AN243" s="56"/>
      <c r="AO243" s="56"/>
      <c r="AP243" s="56"/>
      <c r="AQ243" s="49"/>
      <c r="AR243" s="56"/>
      <c r="AS243" s="56"/>
      <c r="AT243" s="56"/>
      <c r="AU243" s="56"/>
      <c r="AV243" s="56"/>
      <c r="AW243" s="56"/>
      <c r="AX243" s="56"/>
      <c r="AY243" s="56"/>
      <c r="AZ243" s="56"/>
      <c r="BA243" s="50"/>
      <c r="BB243" s="57"/>
      <c r="BC243" s="57"/>
      <c r="BD243" s="57"/>
      <c r="BE243" s="57"/>
      <c r="BF243" s="57"/>
      <c r="BG243" s="57"/>
      <c r="BH243" s="57"/>
      <c r="BI243" s="57"/>
      <c r="BJ243" s="57"/>
      <c r="BK243" s="57"/>
      <c r="BL243" s="57"/>
      <c r="BM243" s="57"/>
      <c r="BN243" s="57"/>
      <c r="BO243" s="57"/>
      <c r="BP243" s="57"/>
      <c r="BQ243" s="57"/>
      <c r="BR243" s="58"/>
      <c r="BS243" s="59"/>
      <c r="BT243" s="59"/>
      <c r="BU243" s="58"/>
      <c r="BV243" s="47"/>
      <c r="BW243" s="47"/>
      <c r="BX243" s="57"/>
      <c r="BY243" s="58"/>
      <c r="BZ243" s="59"/>
      <c r="CA243" s="53"/>
    </row>
    <row r="244" ht="11.25" customHeight="1">
      <c r="A244" s="46"/>
      <c r="B244" s="46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8"/>
      <c r="N244" s="47"/>
      <c r="O244" s="47"/>
      <c r="P244" s="47"/>
      <c r="Q244" s="47"/>
      <c r="R244" s="47"/>
      <c r="S244" s="47"/>
      <c r="T244" s="47"/>
      <c r="U244" s="47"/>
      <c r="V244" s="47"/>
      <c r="W244" s="49"/>
      <c r="X244" s="47"/>
      <c r="Y244" s="47"/>
      <c r="Z244" s="47"/>
      <c r="AA244" s="47"/>
      <c r="AB244" s="47"/>
      <c r="AC244" s="47"/>
      <c r="AD244" s="47"/>
      <c r="AE244" s="47"/>
      <c r="AF244" s="47"/>
      <c r="AG244" s="49"/>
      <c r="AH244" s="47"/>
      <c r="AI244" s="47"/>
      <c r="AJ244" s="47"/>
      <c r="AK244" s="47"/>
      <c r="AL244" s="47"/>
      <c r="AM244" s="47"/>
      <c r="AN244" s="47"/>
      <c r="AO244" s="47"/>
      <c r="AP244" s="47"/>
      <c r="AQ244" s="49"/>
      <c r="AR244" s="47"/>
      <c r="AS244" s="47"/>
      <c r="AT244" s="47"/>
      <c r="AU244" s="47"/>
      <c r="AV244" s="47"/>
      <c r="AW244" s="47"/>
      <c r="AX244" s="47"/>
      <c r="AY244" s="47"/>
      <c r="AZ244" s="47"/>
      <c r="BA244" s="50"/>
      <c r="BB244" s="51"/>
      <c r="BC244" s="51"/>
      <c r="BD244" s="51"/>
      <c r="BE244" s="51"/>
      <c r="BF244" s="51"/>
      <c r="BG244" s="51"/>
      <c r="BH244" s="51"/>
      <c r="BI244" s="51"/>
      <c r="BJ244" s="51"/>
      <c r="BK244" s="51"/>
      <c r="BL244" s="51"/>
      <c r="BM244" s="51"/>
      <c r="BN244" s="51"/>
      <c r="BO244" s="51"/>
      <c r="BP244" s="51"/>
      <c r="BQ244" s="51"/>
      <c r="BR244" s="52"/>
      <c r="BS244" s="53"/>
      <c r="BT244" s="53"/>
      <c r="BU244" s="52"/>
      <c r="BV244" s="47"/>
      <c r="BW244" s="47"/>
      <c r="BX244" s="51"/>
      <c r="BY244" s="52"/>
      <c r="BZ244" s="53"/>
      <c r="CA244" s="53"/>
    </row>
    <row r="245" ht="11.25" customHeight="1">
      <c r="A245" s="55"/>
      <c r="B245" s="55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48"/>
      <c r="N245" s="56"/>
      <c r="O245" s="56"/>
      <c r="P245" s="56"/>
      <c r="Q245" s="56"/>
      <c r="R245" s="56"/>
      <c r="S245" s="56"/>
      <c r="T245" s="56"/>
      <c r="U245" s="56"/>
      <c r="V245" s="56"/>
      <c r="W245" s="49"/>
      <c r="X245" s="56"/>
      <c r="Y245" s="56"/>
      <c r="Z245" s="56"/>
      <c r="AA245" s="56"/>
      <c r="AB245" s="56"/>
      <c r="AC245" s="56"/>
      <c r="AD245" s="56"/>
      <c r="AE245" s="56"/>
      <c r="AF245" s="56"/>
      <c r="AG245" s="49"/>
      <c r="AH245" s="56"/>
      <c r="AI245" s="56"/>
      <c r="AJ245" s="56"/>
      <c r="AK245" s="56"/>
      <c r="AL245" s="56"/>
      <c r="AM245" s="56"/>
      <c r="AN245" s="56"/>
      <c r="AO245" s="56"/>
      <c r="AP245" s="56"/>
      <c r="AQ245" s="49"/>
      <c r="AR245" s="56"/>
      <c r="AS245" s="56"/>
      <c r="AT245" s="56"/>
      <c r="AU245" s="56"/>
      <c r="AV245" s="56"/>
      <c r="AW245" s="56"/>
      <c r="AX245" s="56"/>
      <c r="AY245" s="56"/>
      <c r="AZ245" s="56"/>
      <c r="BA245" s="50"/>
      <c r="BB245" s="57"/>
      <c r="BC245" s="57"/>
      <c r="BD245" s="57"/>
      <c r="BE245" s="57"/>
      <c r="BF245" s="57"/>
      <c r="BG245" s="57"/>
      <c r="BH245" s="57"/>
      <c r="BI245" s="57"/>
      <c r="BJ245" s="57"/>
      <c r="BK245" s="57"/>
      <c r="BL245" s="57"/>
      <c r="BM245" s="57"/>
      <c r="BN245" s="57"/>
      <c r="BO245" s="57"/>
      <c r="BP245" s="57"/>
      <c r="BQ245" s="57"/>
      <c r="BR245" s="59"/>
      <c r="BS245" s="59"/>
      <c r="BT245" s="59"/>
      <c r="BU245" s="59"/>
      <c r="BV245" s="47"/>
      <c r="BW245" s="47"/>
      <c r="BX245" s="57"/>
      <c r="BY245" s="59"/>
      <c r="BZ245" s="59"/>
      <c r="CA245" s="53"/>
    </row>
    <row r="246" ht="11.25" customHeight="1">
      <c r="A246" s="45"/>
      <c r="B246" s="46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8"/>
      <c r="N246" s="47"/>
      <c r="O246" s="47"/>
      <c r="P246" s="47"/>
      <c r="Q246" s="47"/>
      <c r="R246" s="47"/>
      <c r="S246" s="47"/>
      <c r="T246" s="47"/>
      <c r="U246" s="47"/>
      <c r="V246" s="47"/>
      <c r="W246" s="49"/>
      <c r="X246" s="47"/>
      <c r="Y246" s="47"/>
      <c r="Z246" s="47"/>
      <c r="AA246" s="47"/>
      <c r="AB246" s="47"/>
      <c r="AC246" s="47"/>
      <c r="AD246" s="47"/>
      <c r="AE246" s="47"/>
      <c r="AF246" s="47"/>
      <c r="AG246" s="49"/>
      <c r="AH246" s="47"/>
      <c r="AI246" s="47"/>
      <c r="AJ246" s="47"/>
      <c r="AK246" s="47"/>
      <c r="AL246" s="47"/>
      <c r="AM246" s="47"/>
      <c r="AN246" s="47"/>
      <c r="AO246" s="47"/>
      <c r="AP246" s="47"/>
      <c r="AQ246" s="49"/>
      <c r="AR246" s="47"/>
      <c r="AS246" s="47"/>
      <c r="AT246" s="47"/>
      <c r="AU246" s="47"/>
      <c r="AV246" s="47"/>
      <c r="AW246" s="47"/>
      <c r="AX246" s="47"/>
      <c r="AY246" s="47"/>
      <c r="AZ246" s="47"/>
      <c r="BA246" s="50"/>
      <c r="BB246" s="51"/>
      <c r="BC246" s="51"/>
      <c r="BD246" s="51"/>
      <c r="BE246" s="51"/>
      <c r="BF246" s="51"/>
      <c r="BG246" s="51"/>
      <c r="BH246" s="51"/>
      <c r="BI246" s="51"/>
      <c r="BJ246" s="51"/>
      <c r="BK246" s="51"/>
      <c r="BL246" s="51"/>
      <c r="BM246" s="51"/>
      <c r="BN246" s="51"/>
      <c r="BO246" s="51"/>
      <c r="BP246" s="51"/>
      <c r="BQ246" s="51"/>
      <c r="BR246" s="52"/>
      <c r="BS246" s="53"/>
      <c r="BT246" s="53"/>
      <c r="BU246" s="52"/>
      <c r="BV246" s="47"/>
      <c r="BW246" s="47"/>
      <c r="BX246" s="51"/>
      <c r="BY246" s="52"/>
      <c r="BZ246" s="53"/>
      <c r="CA246" s="53"/>
    </row>
    <row r="247" ht="11.25" customHeight="1">
      <c r="A247" s="54"/>
      <c r="B247" s="55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48"/>
      <c r="N247" s="56"/>
      <c r="O247" s="56"/>
      <c r="P247" s="56"/>
      <c r="Q247" s="56"/>
      <c r="R247" s="56"/>
      <c r="S247" s="56"/>
      <c r="T247" s="56"/>
      <c r="U247" s="56"/>
      <c r="V247" s="56"/>
      <c r="W247" s="49"/>
      <c r="X247" s="56"/>
      <c r="Y247" s="56"/>
      <c r="Z247" s="56"/>
      <c r="AA247" s="56"/>
      <c r="AB247" s="56"/>
      <c r="AC247" s="56"/>
      <c r="AD247" s="56"/>
      <c r="AE247" s="56"/>
      <c r="AF247" s="56"/>
      <c r="AG247" s="49"/>
      <c r="AH247" s="56"/>
      <c r="AI247" s="56"/>
      <c r="AJ247" s="56"/>
      <c r="AK247" s="56"/>
      <c r="AL247" s="56"/>
      <c r="AM247" s="56"/>
      <c r="AN247" s="56"/>
      <c r="AO247" s="56"/>
      <c r="AP247" s="56"/>
      <c r="AQ247" s="49"/>
      <c r="AR247" s="56"/>
      <c r="AS247" s="56"/>
      <c r="AT247" s="56"/>
      <c r="AU247" s="56"/>
      <c r="AV247" s="56"/>
      <c r="AW247" s="56"/>
      <c r="AX247" s="56"/>
      <c r="AY247" s="56"/>
      <c r="AZ247" s="56"/>
      <c r="BA247" s="50"/>
      <c r="BB247" s="57"/>
      <c r="BC247" s="57"/>
      <c r="BD247" s="57"/>
      <c r="BE247" s="57"/>
      <c r="BF247" s="57"/>
      <c r="BG247" s="57"/>
      <c r="BH247" s="57"/>
      <c r="BI247" s="57"/>
      <c r="BJ247" s="57"/>
      <c r="BK247" s="57"/>
      <c r="BL247" s="57"/>
      <c r="BM247" s="57"/>
      <c r="BN247" s="57"/>
      <c r="BO247" s="57"/>
      <c r="BP247" s="57"/>
      <c r="BQ247" s="57"/>
      <c r="BR247" s="58"/>
      <c r="BS247" s="59"/>
      <c r="BT247" s="59"/>
      <c r="BU247" s="58"/>
      <c r="BV247" s="47"/>
      <c r="BW247" s="47"/>
      <c r="BX247" s="57"/>
      <c r="BY247" s="58"/>
      <c r="BZ247" s="59"/>
      <c r="CA247" s="53"/>
    </row>
    <row r="248" ht="11.25" customHeight="1">
      <c r="A248" s="46"/>
      <c r="B248" s="46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8"/>
      <c r="N248" s="47"/>
      <c r="O248" s="47"/>
      <c r="P248" s="47"/>
      <c r="Q248" s="47"/>
      <c r="R248" s="47"/>
      <c r="S248" s="47"/>
      <c r="T248" s="47"/>
      <c r="U248" s="47"/>
      <c r="V248" s="47"/>
      <c r="W248" s="49"/>
      <c r="X248" s="47"/>
      <c r="Y248" s="47"/>
      <c r="Z248" s="47"/>
      <c r="AA248" s="47"/>
      <c r="AB248" s="47"/>
      <c r="AC248" s="47"/>
      <c r="AD248" s="47"/>
      <c r="AE248" s="47"/>
      <c r="AF248" s="47"/>
      <c r="AG248" s="49"/>
      <c r="AH248" s="47"/>
      <c r="AI248" s="47"/>
      <c r="AJ248" s="47"/>
      <c r="AK248" s="47"/>
      <c r="AL248" s="47"/>
      <c r="AM248" s="47"/>
      <c r="AN248" s="47"/>
      <c r="AO248" s="47"/>
      <c r="AP248" s="47"/>
      <c r="AQ248" s="49"/>
      <c r="AR248" s="47"/>
      <c r="AS248" s="47"/>
      <c r="AT248" s="47"/>
      <c r="AU248" s="47"/>
      <c r="AV248" s="47"/>
      <c r="AW248" s="47"/>
      <c r="AX248" s="47"/>
      <c r="AY248" s="47"/>
      <c r="AZ248" s="47"/>
      <c r="BA248" s="50"/>
      <c r="BB248" s="51"/>
      <c r="BC248" s="51"/>
      <c r="BD248" s="51"/>
      <c r="BE248" s="51"/>
      <c r="BF248" s="51"/>
      <c r="BG248" s="51"/>
      <c r="BH248" s="51"/>
      <c r="BI248" s="51"/>
      <c r="BJ248" s="51"/>
      <c r="BK248" s="51"/>
      <c r="BL248" s="51"/>
      <c r="BM248" s="51"/>
      <c r="BN248" s="51"/>
      <c r="BO248" s="51"/>
      <c r="BP248" s="51"/>
      <c r="BQ248" s="51"/>
      <c r="BR248" s="52"/>
      <c r="BS248" s="53"/>
      <c r="BT248" s="53"/>
      <c r="BU248" s="52"/>
      <c r="BV248" s="47"/>
      <c r="BW248" s="47"/>
      <c r="BX248" s="51"/>
      <c r="BY248" s="52"/>
      <c r="BZ248" s="53"/>
      <c r="CA248" s="53"/>
    </row>
    <row r="249" ht="11.25" customHeight="1">
      <c r="A249" s="54"/>
      <c r="B249" s="55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48"/>
      <c r="N249" s="56"/>
      <c r="O249" s="56"/>
      <c r="P249" s="56"/>
      <c r="Q249" s="56"/>
      <c r="R249" s="56"/>
      <c r="S249" s="56"/>
      <c r="T249" s="56"/>
      <c r="U249" s="56"/>
      <c r="V249" s="56"/>
      <c r="W249" s="49"/>
      <c r="X249" s="56"/>
      <c r="Y249" s="56"/>
      <c r="Z249" s="56"/>
      <c r="AA249" s="56"/>
      <c r="AB249" s="56"/>
      <c r="AC249" s="56"/>
      <c r="AD249" s="56"/>
      <c r="AE249" s="56"/>
      <c r="AF249" s="56"/>
      <c r="AG249" s="49"/>
      <c r="AH249" s="56"/>
      <c r="AI249" s="56"/>
      <c r="AJ249" s="56"/>
      <c r="AK249" s="56"/>
      <c r="AL249" s="56"/>
      <c r="AM249" s="56"/>
      <c r="AN249" s="56"/>
      <c r="AO249" s="56"/>
      <c r="AP249" s="56"/>
      <c r="AQ249" s="49"/>
      <c r="AR249" s="56"/>
      <c r="AS249" s="56"/>
      <c r="AT249" s="56"/>
      <c r="AU249" s="56"/>
      <c r="AV249" s="56"/>
      <c r="AW249" s="56"/>
      <c r="AX249" s="56"/>
      <c r="AY249" s="56"/>
      <c r="AZ249" s="56"/>
      <c r="BA249" s="50"/>
      <c r="BB249" s="57"/>
      <c r="BC249" s="57"/>
      <c r="BD249" s="57"/>
      <c r="BE249" s="57"/>
      <c r="BF249" s="57"/>
      <c r="BG249" s="57"/>
      <c r="BH249" s="57"/>
      <c r="BI249" s="57"/>
      <c r="BJ249" s="57"/>
      <c r="BK249" s="57"/>
      <c r="BL249" s="57"/>
      <c r="BM249" s="57"/>
      <c r="BN249" s="57"/>
      <c r="BO249" s="57"/>
      <c r="BP249" s="57"/>
      <c r="BQ249" s="57"/>
      <c r="BR249" s="58"/>
      <c r="BS249" s="59"/>
      <c r="BT249" s="59"/>
      <c r="BU249" s="58"/>
      <c r="BV249" s="47"/>
      <c r="BW249" s="47"/>
      <c r="BX249" s="57"/>
      <c r="BY249" s="58"/>
      <c r="BZ249" s="59"/>
      <c r="CA249" s="53"/>
    </row>
    <row r="250" ht="11.25" customHeight="1">
      <c r="A250" s="45"/>
      <c r="B250" s="46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8"/>
      <c r="N250" s="47"/>
      <c r="O250" s="47"/>
      <c r="P250" s="47"/>
      <c r="Q250" s="47"/>
      <c r="R250" s="47"/>
      <c r="S250" s="47"/>
      <c r="T250" s="47"/>
      <c r="U250" s="47"/>
      <c r="V250" s="47"/>
      <c r="W250" s="49"/>
      <c r="X250" s="47"/>
      <c r="Y250" s="47"/>
      <c r="Z250" s="47"/>
      <c r="AA250" s="47"/>
      <c r="AB250" s="47"/>
      <c r="AC250" s="47"/>
      <c r="AD250" s="47"/>
      <c r="AE250" s="47"/>
      <c r="AF250" s="47"/>
      <c r="AG250" s="49"/>
      <c r="AH250" s="47"/>
      <c r="AI250" s="47"/>
      <c r="AJ250" s="47"/>
      <c r="AK250" s="47"/>
      <c r="AL250" s="47"/>
      <c r="AM250" s="47"/>
      <c r="AN250" s="47"/>
      <c r="AO250" s="47"/>
      <c r="AP250" s="47"/>
      <c r="AQ250" s="49"/>
      <c r="AR250" s="47"/>
      <c r="AS250" s="47"/>
      <c r="AT250" s="47"/>
      <c r="AU250" s="47"/>
      <c r="AV250" s="47"/>
      <c r="AW250" s="47"/>
      <c r="AX250" s="47"/>
      <c r="AY250" s="47"/>
      <c r="AZ250" s="47"/>
      <c r="BA250" s="50"/>
      <c r="BB250" s="51"/>
      <c r="BC250" s="51"/>
      <c r="BD250" s="51"/>
      <c r="BE250" s="51"/>
      <c r="BF250" s="51"/>
      <c r="BG250" s="51"/>
      <c r="BH250" s="51"/>
      <c r="BI250" s="51"/>
      <c r="BJ250" s="51"/>
      <c r="BK250" s="51"/>
      <c r="BL250" s="51"/>
      <c r="BM250" s="51"/>
      <c r="BN250" s="51"/>
      <c r="BO250" s="51"/>
      <c r="BP250" s="51"/>
      <c r="BQ250" s="51"/>
      <c r="BR250" s="52"/>
      <c r="BS250" s="53"/>
      <c r="BT250" s="53"/>
      <c r="BU250" s="52"/>
      <c r="BV250" s="47"/>
      <c r="BW250" s="47"/>
      <c r="BX250" s="51"/>
      <c r="BY250" s="52"/>
      <c r="BZ250" s="53"/>
      <c r="CA250" s="53"/>
    </row>
    <row r="251" ht="11.25" customHeight="1">
      <c r="A251" s="54"/>
      <c r="B251" s="55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48"/>
      <c r="N251" s="56"/>
      <c r="O251" s="56"/>
      <c r="P251" s="56"/>
      <c r="Q251" s="56"/>
      <c r="R251" s="56"/>
      <c r="S251" s="56"/>
      <c r="T251" s="56"/>
      <c r="U251" s="56"/>
      <c r="V251" s="56"/>
      <c r="W251" s="49"/>
      <c r="X251" s="56"/>
      <c r="Y251" s="56"/>
      <c r="Z251" s="56"/>
      <c r="AA251" s="56"/>
      <c r="AB251" s="56"/>
      <c r="AC251" s="56"/>
      <c r="AD251" s="56"/>
      <c r="AE251" s="56"/>
      <c r="AF251" s="56"/>
      <c r="AG251" s="49"/>
      <c r="AH251" s="56"/>
      <c r="AI251" s="56"/>
      <c r="AJ251" s="56"/>
      <c r="AK251" s="56"/>
      <c r="AL251" s="56"/>
      <c r="AM251" s="56"/>
      <c r="AN251" s="56"/>
      <c r="AO251" s="56"/>
      <c r="AP251" s="56"/>
      <c r="AQ251" s="49"/>
      <c r="AR251" s="56"/>
      <c r="AS251" s="56"/>
      <c r="AT251" s="56"/>
      <c r="AU251" s="56"/>
      <c r="AV251" s="56"/>
      <c r="AW251" s="56"/>
      <c r="AX251" s="56"/>
      <c r="AY251" s="56"/>
      <c r="AZ251" s="56"/>
      <c r="BA251" s="50"/>
      <c r="BB251" s="57"/>
      <c r="BC251" s="57"/>
      <c r="BD251" s="57"/>
      <c r="BE251" s="57"/>
      <c r="BF251" s="57"/>
      <c r="BG251" s="57"/>
      <c r="BH251" s="57"/>
      <c r="BI251" s="57"/>
      <c r="BJ251" s="57"/>
      <c r="BK251" s="57"/>
      <c r="BL251" s="57"/>
      <c r="BM251" s="57"/>
      <c r="BN251" s="57"/>
      <c r="BO251" s="57"/>
      <c r="BP251" s="57"/>
      <c r="BQ251" s="57"/>
      <c r="BR251" s="58"/>
      <c r="BS251" s="59"/>
      <c r="BT251" s="59"/>
      <c r="BU251" s="58"/>
      <c r="BV251" s="47"/>
      <c r="BW251" s="47"/>
      <c r="BX251" s="57"/>
      <c r="BY251" s="58"/>
      <c r="BZ251" s="59"/>
      <c r="CA251" s="53"/>
    </row>
    <row r="252" ht="11.25" customHeight="1">
      <c r="A252" s="46"/>
      <c r="B252" s="46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8"/>
      <c r="N252" s="47"/>
      <c r="O252" s="47"/>
      <c r="P252" s="47"/>
      <c r="Q252" s="47"/>
      <c r="R252" s="47"/>
      <c r="S252" s="47"/>
      <c r="T252" s="47"/>
      <c r="U252" s="47"/>
      <c r="V252" s="47"/>
      <c r="W252" s="49"/>
      <c r="X252" s="47"/>
      <c r="Y252" s="47"/>
      <c r="Z252" s="47"/>
      <c r="AA252" s="47"/>
      <c r="AB252" s="47"/>
      <c r="AC252" s="47"/>
      <c r="AD252" s="47"/>
      <c r="AE252" s="47"/>
      <c r="AF252" s="47"/>
      <c r="AG252" s="49"/>
      <c r="AH252" s="47"/>
      <c r="AI252" s="47"/>
      <c r="AJ252" s="47"/>
      <c r="AK252" s="47"/>
      <c r="AL252" s="47"/>
      <c r="AM252" s="47"/>
      <c r="AN252" s="47"/>
      <c r="AO252" s="47"/>
      <c r="AP252" s="47"/>
      <c r="AQ252" s="49"/>
      <c r="AR252" s="47"/>
      <c r="AS252" s="47"/>
      <c r="AT252" s="47"/>
      <c r="AU252" s="47"/>
      <c r="AV252" s="47"/>
      <c r="AW252" s="47"/>
      <c r="AX252" s="47"/>
      <c r="AY252" s="47"/>
      <c r="AZ252" s="47"/>
      <c r="BA252" s="50"/>
      <c r="BB252" s="51"/>
      <c r="BC252" s="51"/>
      <c r="BD252" s="51"/>
      <c r="BE252" s="51"/>
      <c r="BF252" s="51"/>
      <c r="BG252" s="51"/>
      <c r="BH252" s="51"/>
      <c r="BI252" s="51"/>
      <c r="BJ252" s="51"/>
      <c r="BK252" s="51"/>
      <c r="BL252" s="51"/>
      <c r="BM252" s="51"/>
      <c r="BN252" s="51"/>
      <c r="BO252" s="51"/>
      <c r="BP252" s="51"/>
      <c r="BQ252" s="51"/>
      <c r="BR252" s="52"/>
      <c r="BS252" s="53"/>
      <c r="BT252" s="53"/>
      <c r="BU252" s="52"/>
      <c r="BV252" s="47"/>
      <c r="BW252" s="47"/>
      <c r="BX252" s="51"/>
      <c r="BY252" s="52"/>
      <c r="BZ252" s="53"/>
      <c r="CA252" s="53"/>
    </row>
    <row r="253" ht="11.25" customHeight="1">
      <c r="A253" s="54"/>
      <c r="B253" s="55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48"/>
      <c r="N253" s="56"/>
      <c r="O253" s="56"/>
      <c r="P253" s="56"/>
      <c r="Q253" s="56"/>
      <c r="R253" s="56"/>
      <c r="S253" s="56"/>
      <c r="T253" s="56"/>
      <c r="U253" s="56"/>
      <c r="V253" s="56"/>
      <c r="W253" s="49"/>
      <c r="X253" s="56"/>
      <c r="Y253" s="56"/>
      <c r="Z253" s="56"/>
      <c r="AA253" s="56"/>
      <c r="AB253" s="56"/>
      <c r="AC253" s="56"/>
      <c r="AD253" s="56"/>
      <c r="AE253" s="56"/>
      <c r="AF253" s="56"/>
      <c r="AG253" s="49"/>
      <c r="AH253" s="56"/>
      <c r="AI253" s="56"/>
      <c r="AJ253" s="56"/>
      <c r="AK253" s="56"/>
      <c r="AL253" s="56"/>
      <c r="AM253" s="56"/>
      <c r="AN253" s="56"/>
      <c r="AO253" s="56"/>
      <c r="AP253" s="56"/>
      <c r="AQ253" s="49"/>
      <c r="AR253" s="56"/>
      <c r="AS253" s="56"/>
      <c r="AT253" s="56"/>
      <c r="AU253" s="56"/>
      <c r="AV253" s="56"/>
      <c r="AW253" s="56"/>
      <c r="AX253" s="56"/>
      <c r="AY253" s="56"/>
      <c r="AZ253" s="56"/>
      <c r="BA253" s="50"/>
      <c r="BB253" s="57"/>
      <c r="BC253" s="57"/>
      <c r="BD253" s="57"/>
      <c r="BE253" s="57"/>
      <c r="BF253" s="57"/>
      <c r="BG253" s="57"/>
      <c r="BH253" s="57"/>
      <c r="BI253" s="57"/>
      <c r="BJ253" s="57"/>
      <c r="BK253" s="57"/>
      <c r="BL253" s="57"/>
      <c r="BM253" s="57"/>
      <c r="BN253" s="57"/>
      <c r="BO253" s="57"/>
      <c r="BP253" s="57"/>
      <c r="BQ253" s="57"/>
      <c r="BR253" s="58"/>
      <c r="BS253" s="59"/>
      <c r="BT253" s="59"/>
      <c r="BU253" s="58"/>
      <c r="BV253" s="47"/>
      <c r="BW253" s="47"/>
      <c r="BX253" s="57"/>
      <c r="BY253" s="58"/>
      <c r="BZ253" s="59"/>
      <c r="CA253" s="53"/>
    </row>
    <row r="254" ht="11.25" customHeight="1">
      <c r="A254" s="45"/>
      <c r="B254" s="46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8"/>
      <c r="N254" s="47"/>
      <c r="O254" s="47"/>
      <c r="P254" s="47"/>
      <c r="Q254" s="47"/>
      <c r="R254" s="47"/>
      <c r="S254" s="47"/>
      <c r="T254" s="47"/>
      <c r="U254" s="47"/>
      <c r="V254" s="47"/>
      <c r="W254" s="49"/>
      <c r="X254" s="47"/>
      <c r="Y254" s="47"/>
      <c r="Z254" s="47"/>
      <c r="AA254" s="47"/>
      <c r="AB254" s="47"/>
      <c r="AC254" s="47"/>
      <c r="AD254" s="47"/>
      <c r="AE254" s="47"/>
      <c r="AF254" s="47"/>
      <c r="AG254" s="49"/>
      <c r="AH254" s="47"/>
      <c r="AI254" s="47"/>
      <c r="AJ254" s="47"/>
      <c r="AK254" s="47"/>
      <c r="AL254" s="47"/>
      <c r="AM254" s="47"/>
      <c r="AN254" s="47"/>
      <c r="AO254" s="47"/>
      <c r="AP254" s="47"/>
      <c r="AQ254" s="49"/>
      <c r="AR254" s="47"/>
      <c r="AS254" s="47"/>
      <c r="AT254" s="47"/>
      <c r="AU254" s="47"/>
      <c r="AV254" s="47"/>
      <c r="AW254" s="47"/>
      <c r="AX254" s="47"/>
      <c r="AY254" s="47"/>
      <c r="AZ254" s="47"/>
      <c r="BA254" s="50"/>
      <c r="BB254" s="51"/>
      <c r="BC254" s="51"/>
      <c r="BD254" s="51"/>
      <c r="BE254" s="51"/>
      <c r="BF254" s="51"/>
      <c r="BG254" s="51"/>
      <c r="BH254" s="51"/>
      <c r="BI254" s="51"/>
      <c r="BJ254" s="51"/>
      <c r="BK254" s="51"/>
      <c r="BL254" s="51"/>
      <c r="BM254" s="51"/>
      <c r="BN254" s="51"/>
      <c r="BO254" s="51"/>
      <c r="BP254" s="51"/>
      <c r="BQ254" s="51"/>
      <c r="BR254" s="52"/>
      <c r="BS254" s="53"/>
      <c r="BT254" s="53"/>
      <c r="BU254" s="52"/>
      <c r="BV254" s="47"/>
      <c r="BW254" s="47"/>
      <c r="BX254" s="51"/>
      <c r="BY254" s="52"/>
      <c r="BZ254" s="53"/>
      <c r="CA254" s="53"/>
    </row>
    <row r="255" ht="11.25" customHeight="1">
      <c r="A255" s="54"/>
      <c r="B255" s="55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48"/>
      <c r="N255" s="56"/>
      <c r="O255" s="56"/>
      <c r="P255" s="56"/>
      <c r="Q255" s="56"/>
      <c r="R255" s="56"/>
      <c r="S255" s="56"/>
      <c r="T255" s="56"/>
      <c r="U255" s="56"/>
      <c r="V255" s="56"/>
      <c r="W255" s="49"/>
      <c r="X255" s="56"/>
      <c r="Y255" s="56"/>
      <c r="Z255" s="56"/>
      <c r="AA255" s="56"/>
      <c r="AB255" s="56"/>
      <c r="AC255" s="56"/>
      <c r="AD255" s="56"/>
      <c r="AE255" s="56"/>
      <c r="AF255" s="56"/>
      <c r="AG255" s="49"/>
      <c r="AH255" s="56"/>
      <c r="AI255" s="56"/>
      <c r="AJ255" s="56"/>
      <c r="AK255" s="56"/>
      <c r="AL255" s="56"/>
      <c r="AM255" s="56"/>
      <c r="AN255" s="56"/>
      <c r="AO255" s="56"/>
      <c r="AP255" s="56"/>
      <c r="AQ255" s="49"/>
      <c r="AR255" s="56"/>
      <c r="AS255" s="56"/>
      <c r="AT255" s="56"/>
      <c r="AU255" s="56"/>
      <c r="AV255" s="56"/>
      <c r="AW255" s="56"/>
      <c r="AX255" s="56"/>
      <c r="AY255" s="56"/>
      <c r="AZ255" s="56"/>
      <c r="BA255" s="50"/>
      <c r="BB255" s="57"/>
      <c r="BC255" s="57"/>
      <c r="BD255" s="57"/>
      <c r="BE255" s="57"/>
      <c r="BF255" s="57"/>
      <c r="BG255" s="57"/>
      <c r="BH255" s="57"/>
      <c r="BI255" s="57"/>
      <c r="BJ255" s="57"/>
      <c r="BK255" s="57"/>
      <c r="BL255" s="57"/>
      <c r="BM255" s="57"/>
      <c r="BN255" s="57"/>
      <c r="BO255" s="57"/>
      <c r="BP255" s="57"/>
      <c r="BQ255" s="57"/>
      <c r="BR255" s="58"/>
      <c r="BS255" s="59"/>
      <c r="BT255" s="59"/>
      <c r="BU255" s="58"/>
      <c r="BV255" s="47"/>
      <c r="BW255" s="47"/>
      <c r="BX255" s="57"/>
      <c r="BY255" s="58"/>
      <c r="BZ255" s="59"/>
      <c r="CA255" s="53"/>
    </row>
    <row r="256" ht="11.25" customHeight="1">
      <c r="A256" s="45"/>
      <c r="B256" s="46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8"/>
      <c r="N256" s="47"/>
      <c r="O256" s="47"/>
      <c r="P256" s="47"/>
      <c r="Q256" s="47"/>
      <c r="R256" s="47"/>
      <c r="S256" s="47"/>
      <c r="T256" s="47"/>
      <c r="U256" s="47"/>
      <c r="V256" s="47"/>
      <c r="W256" s="49"/>
      <c r="X256" s="47"/>
      <c r="Y256" s="47"/>
      <c r="Z256" s="47"/>
      <c r="AA256" s="47"/>
      <c r="AB256" s="47"/>
      <c r="AC256" s="47"/>
      <c r="AD256" s="47"/>
      <c r="AE256" s="47"/>
      <c r="AF256" s="47"/>
      <c r="AG256" s="49"/>
      <c r="AH256" s="47"/>
      <c r="AI256" s="47"/>
      <c r="AJ256" s="47"/>
      <c r="AK256" s="47"/>
      <c r="AL256" s="47"/>
      <c r="AM256" s="47"/>
      <c r="AN256" s="47"/>
      <c r="AO256" s="47"/>
      <c r="AP256" s="47"/>
      <c r="AQ256" s="49"/>
      <c r="AR256" s="47"/>
      <c r="AS256" s="47"/>
      <c r="AT256" s="47"/>
      <c r="AU256" s="47"/>
      <c r="AV256" s="47"/>
      <c r="AW256" s="47"/>
      <c r="AX256" s="47"/>
      <c r="AY256" s="47"/>
      <c r="AZ256" s="47"/>
      <c r="BA256" s="50"/>
      <c r="BB256" s="51"/>
      <c r="BC256" s="51"/>
      <c r="BD256" s="51"/>
      <c r="BE256" s="51"/>
      <c r="BF256" s="51"/>
      <c r="BG256" s="51"/>
      <c r="BH256" s="51"/>
      <c r="BI256" s="51"/>
      <c r="BJ256" s="51"/>
      <c r="BK256" s="51"/>
      <c r="BL256" s="51"/>
      <c r="BM256" s="51"/>
      <c r="BN256" s="51"/>
      <c r="BO256" s="51"/>
      <c r="BP256" s="51"/>
      <c r="BQ256" s="51"/>
      <c r="BR256" s="52"/>
      <c r="BS256" s="53"/>
      <c r="BT256" s="53"/>
      <c r="BU256" s="52"/>
      <c r="BV256" s="47"/>
      <c r="BW256" s="47"/>
      <c r="BX256" s="51"/>
      <c r="BY256" s="52"/>
      <c r="BZ256" s="53"/>
      <c r="CA256" s="53"/>
    </row>
    <row r="257" ht="11.25" customHeight="1">
      <c r="A257" s="54"/>
      <c r="B257" s="55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48"/>
      <c r="N257" s="56"/>
      <c r="O257" s="56"/>
      <c r="P257" s="56"/>
      <c r="Q257" s="56"/>
      <c r="R257" s="56"/>
      <c r="S257" s="56"/>
      <c r="T257" s="56"/>
      <c r="U257" s="56"/>
      <c r="V257" s="56"/>
      <c r="W257" s="49"/>
      <c r="X257" s="56"/>
      <c r="Y257" s="56"/>
      <c r="Z257" s="56"/>
      <c r="AA257" s="56"/>
      <c r="AB257" s="56"/>
      <c r="AC257" s="56"/>
      <c r="AD257" s="56"/>
      <c r="AE257" s="56"/>
      <c r="AF257" s="56"/>
      <c r="AG257" s="49"/>
      <c r="AH257" s="56"/>
      <c r="AI257" s="56"/>
      <c r="AJ257" s="56"/>
      <c r="AK257" s="56"/>
      <c r="AL257" s="56"/>
      <c r="AM257" s="56"/>
      <c r="AN257" s="56"/>
      <c r="AO257" s="56"/>
      <c r="AP257" s="56"/>
      <c r="AQ257" s="49"/>
      <c r="AR257" s="56"/>
      <c r="AS257" s="56"/>
      <c r="AT257" s="56"/>
      <c r="AU257" s="56"/>
      <c r="AV257" s="56"/>
      <c r="AW257" s="56"/>
      <c r="AX257" s="56"/>
      <c r="AY257" s="56"/>
      <c r="AZ257" s="56"/>
      <c r="BA257" s="50"/>
      <c r="BB257" s="57"/>
      <c r="BC257" s="57"/>
      <c r="BD257" s="57"/>
      <c r="BE257" s="57"/>
      <c r="BF257" s="57"/>
      <c r="BG257" s="57"/>
      <c r="BH257" s="57"/>
      <c r="BI257" s="57"/>
      <c r="BJ257" s="57"/>
      <c r="BK257" s="57"/>
      <c r="BL257" s="57"/>
      <c r="BM257" s="57"/>
      <c r="BN257" s="57"/>
      <c r="BO257" s="57"/>
      <c r="BP257" s="57"/>
      <c r="BQ257" s="57"/>
      <c r="BR257" s="58"/>
      <c r="BS257" s="59"/>
      <c r="BT257" s="59"/>
      <c r="BU257" s="58"/>
      <c r="BV257" s="47"/>
      <c r="BW257" s="47"/>
      <c r="BX257" s="57"/>
      <c r="BY257" s="58"/>
      <c r="BZ257" s="59"/>
      <c r="CA257" s="53"/>
    </row>
    <row r="258" ht="11.25" customHeight="1">
      <c r="A258" s="46"/>
      <c r="B258" s="46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8"/>
      <c r="N258" s="47"/>
      <c r="O258" s="47"/>
      <c r="P258" s="47"/>
      <c r="Q258" s="47"/>
      <c r="R258" s="47"/>
      <c r="S258" s="47"/>
      <c r="T258" s="47"/>
      <c r="U258" s="47"/>
      <c r="V258" s="47"/>
      <c r="W258" s="49"/>
      <c r="X258" s="47"/>
      <c r="Y258" s="47"/>
      <c r="Z258" s="47"/>
      <c r="AA258" s="47"/>
      <c r="AB258" s="47"/>
      <c r="AC258" s="47"/>
      <c r="AD258" s="47"/>
      <c r="AE258" s="47"/>
      <c r="AF258" s="47"/>
      <c r="AG258" s="49"/>
      <c r="AH258" s="47"/>
      <c r="AI258" s="47"/>
      <c r="AJ258" s="47"/>
      <c r="AK258" s="47"/>
      <c r="AL258" s="47"/>
      <c r="AM258" s="47"/>
      <c r="AN258" s="47"/>
      <c r="AO258" s="47"/>
      <c r="AP258" s="47"/>
      <c r="AQ258" s="49"/>
      <c r="AR258" s="47"/>
      <c r="AS258" s="47"/>
      <c r="AT258" s="47"/>
      <c r="AU258" s="47"/>
      <c r="AV258" s="47"/>
      <c r="AW258" s="47"/>
      <c r="AX258" s="47"/>
      <c r="AY258" s="47"/>
      <c r="AZ258" s="47"/>
      <c r="BA258" s="50"/>
      <c r="BB258" s="51"/>
      <c r="BC258" s="51"/>
      <c r="BD258" s="51"/>
      <c r="BE258" s="51"/>
      <c r="BF258" s="51"/>
      <c r="BG258" s="51"/>
      <c r="BH258" s="51"/>
      <c r="BI258" s="51"/>
      <c r="BJ258" s="51"/>
      <c r="BK258" s="51"/>
      <c r="BL258" s="51"/>
      <c r="BM258" s="51"/>
      <c r="BN258" s="51"/>
      <c r="BO258" s="51"/>
      <c r="BP258" s="51"/>
      <c r="BQ258" s="51"/>
      <c r="BR258" s="52"/>
      <c r="BS258" s="53"/>
      <c r="BT258" s="53"/>
      <c r="BU258" s="52"/>
      <c r="BV258" s="47"/>
      <c r="BW258" s="47"/>
      <c r="BX258" s="51"/>
      <c r="BY258" s="52"/>
      <c r="BZ258" s="53"/>
      <c r="CA258" s="53"/>
    </row>
    <row r="259" ht="11.25" customHeight="1">
      <c r="A259" s="54"/>
      <c r="B259" s="55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48"/>
      <c r="N259" s="56"/>
      <c r="O259" s="56"/>
      <c r="P259" s="56"/>
      <c r="Q259" s="56"/>
      <c r="R259" s="56"/>
      <c r="S259" s="56"/>
      <c r="T259" s="56"/>
      <c r="U259" s="56"/>
      <c r="V259" s="56"/>
      <c r="W259" s="49"/>
      <c r="X259" s="56"/>
      <c r="Y259" s="56"/>
      <c r="Z259" s="56"/>
      <c r="AA259" s="56"/>
      <c r="AB259" s="56"/>
      <c r="AC259" s="56"/>
      <c r="AD259" s="56"/>
      <c r="AE259" s="56"/>
      <c r="AF259" s="56"/>
      <c r="AG259" s="49"/>
      <c r="AH259" s="56"/>
      <c r="AI259" s="56"/>
      <c r="AJ259" s="56"/>
      <c r="AK259" s="56"/>
      <c r="AL259" s="56"/>
      <c r="AM259" s="56"/>
      <c r="AN259" s="56"/>
      <c r="AO259" s="56"/>
      <c r="AP259" s="56"/>
      <c r="AQ259" s="49"/>
      <c r="AR259" s="56"/>
      <c r="AS259" s="56"/>
      <c r="AT259" s="56"/>
      <c r="AU259" s="56"/>
      <c r="AV259" s="56"/>
      <c r="AW259" s="56"/>
      <c r="AX259" s="56"/>
      <c r="AY259" s="56"/>
      <c r="AZ259" s="56"/>
      <c r="BA259" s="50"/>
      <c r="BB259" s="57"/>
      <c r="BC259" s="57"/>
      <c r="BD259" s="57"/>
      <c r="BE259" s="57"/>
      <c r="BF259" s="57"/>
      <c r="BG259" s="57"/>
      <c r="BH259" s="57"/>
      <c r="BI259" s="57"/>
      <c r="BJ259" s="57"/>
      <c r="BK259" s="57"/>
      <c r="BL259" s="57"/>
      <c r="BM259" s="57"/>
      <c r="BN259" s="57"/>
      <c r="BO259" s="57"/>
      <c r="BP259" s="57"/>
      <c r="BQ259" s="57"/>
      <c r="BR259" s="58"/>
      <c r="BS259" s="59"/>
      <c r="BT259" s="59"/>
      <c r="BU259" s="58"/>
      <c r="BV259" s="47"/>
      <c r="BW259" s="47"/>
      <c r="BX259" s="57"/>
      <c r="BY259" s="58"/>
      <c r="BZ259" s="59"/>
      <c r="CA259" s="53"/>
    </row>
    <row r="260" ht="11.25" customHeight="1">
      <c r="A260" s="45"/>
      <c r="B260" s="46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8"/>
      <c r="N260" s="47"/>
      <c r="O260" s="47"/>
      <c r="P260" s="47"/>
      <c r="Q260" s="47"/>
      <c r="R260" s="47"/>
      <c r="S260" s="47"/>
      <c r="T260" s="47"/>
      <c r="U260" s="47"/>
      <c r="V260" s="47"/>
      <c r="W260" s="49"/>
      <c r="X260" s="47"/>
      <c r="Y260" s="47"/>
      <c r="Z260" s="47"/>
      <c r="AA260" s="47"/>
      <c r="AB260" s="47"/>
      <c r="AC260" s="47"/>
      <c r="AD260" s="47"/>
      <c r="AE260" s="47"/>
      <c r="AF260" s="47"/>
      <c r="AG260" s="49"/>
      <c r="AH260" s="47"/>
      <c r="AI260" s="47"/>
      <c r="AJ260" s="47"/>
      <c r="AK260" s="47"/>
      <c r="AL260" s="47"/>
      <c r="AM260" s="47"/>
      <c r="AN260" s="47"/>
      <c r="AO260" s="47"/>
      <c r="AP260" s="47"/>
      <c r="AQ260" s="49"/>
      <c r="AR260" s="47"/>
      <c r="AS260" s="47"/>
      <c r="AT260" s="47"/>
      <c r="AU260" s="47"/>
      <c r="AV260" s="47"/>
      <c r="AW260" s="47"/>
      <c r="AX260" s="47"/>
      <c r="AY260" s="47"/>
      <c r="AZ260" s="47"/>
      <c r="BA260" s="50"/>
      <c r="BB260" s="51"/>
      <c r="BC260" s="51"/>
      <c r="BD260" s="51"/>
      <c r="BE260" s="51"/>
      <c r="BF260" s="51"/>
      <c r="BG260" s="51"/>
      <c r="BH260" s="51"/>
      <c r="BI260" s="51"/>
      <c r="BJ260" s="51"/>
      <c r="BK260" s="51"/>
      <c r="BL260" s="51"/>
      <c r="BM260" s="51"/>
      <c r="BN260" s="51"/>
      <c r="BO260" s="51"/>
      <c r="BP260" s="51"/>
      <c r="BQ260" s="51"/>
      <c r="BR260" s="52"/>
      <c r="BS260" s="53"/>
      <c r="BT260" s="53"/>
      <c r="BU260" s="52"/>
      <c r="BV260" s="47"/>
      <c r="BW260" s="47"/>
      <c r="BX260" s="51"/>
      <c r="BY260" s="52"/>
      <c r="BZ260" s="53"/>
      <c r="CA260" s="53"/>
    </row>
    <row r="261" ht="11.25" customHeight="1">
      <c r="A261" s="54"/>
      <c r="B261" s="55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48"/>
      <c r="N261" s="56"/>
      <c r="O261" s="56"/>
      <c r="P261" s="56"/>
      <c r="Q261" s="56"/>
      <c r="R261" s="56"/>
      <c r="S261" s="56"/>
      <c r="T261" s="56"/>
      <c r="U261" s="56"/>
      <c r="V261" s="56"/>
      <c r="W261" s="49"/>
      <c r="X261" s="56"/>
      <c r="Y261" s="56"/>
      <c r="Z261" s="56"/>
      <c r="AA261" s="56"/>
      <c r="AB261" s="56"/>
      <c r="AC261" s="56"/>
      <c r="AD261" s="56"/>
      <c r="AE261" s="56"/>
      <c r="AF261" s="56"/>
      <c r="AG261" s="49"/>
      <c r="AH261" s="56"/>
      <c r="AI261" s="56"/>
      <c r="AJ261" s="56"/>
      <c r="AK261" s="56"/>
      <c r="AL261" s="56"/>
      <c r="AM261" s="56"/>
      <c r="AN261" s="56"/>
      <c r="AO261" s="56"/>
      <c r="AP261" s="56"/>
      <c r="AQ261" s="49"/>
      <c r="AR261" s="56"/>
      <c r="AS261" s="56"/>
      <c r="AT261" s="56"/>
      <c r="AU261" s="56"/>
      <c r="AV261" s="56"/>
      <c r="AW261" s="56"/>
      <c r="AX261" s="56"/>
      <c r="AY261" s="56"/>
      <c r="AZ261" s="56"/>
      <c r="BA261" s="50"/>
      <c r="BB261" s="57"/>
      <c r="BC261" s="57"/>
      <c r="BD261" s="57"/>
      <c r="BE261" s="57"/>
      <c r="BF261" s="57"/>
      <c r="BG261" s="57"/>
      <c r="BH261" s="57"/>
      <c r="BI261" s="57"/>
      <c r="BJ261" s="57"/>
      <c r="BK261" s="57"/>
      <c r="BL261" s="57"/>
      <c r="BM261" s="57"/>
      <c r="BN261" s="57"/>
      <c r="BO261" s="57"/>
      <c r="BP261" s="57"/>
      <c r="BQ261" s="57"/>
      <c r="BR261" s="58"/>
      <c r="BS261" s="59"/>
      <c r="BT261" s="59"/>
      <c r="BU261" s="58"/>
      <c r="BV261" s="47"/>
      <c r="BW261" s="47"/>
      <c r="BX261" s="57"/>
      <c r="BY261" s="58"/>
      <c r="BZ261" s="59"/>
      <c r="CA261" s="53"/>
    </row>
    <row r="262" ht="11.25" customHeight="1">
      <c r="A262" s="46"/>
      <c r="B262" s="46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8"/>
      <c r="N262" s="47"/>
      <c r="O262" s="47"/>
      <c r="P262" s="47"/>
      <c r="Q262" s="47"/>
      <c r="R262" s="47"/>
      <c r="S262" s="47"/>
      <c r="T262" s="47"/>
      <c r="U262" s="47"/>
      <c r="V262" s="47"/>
      <c r="W262" s="49"/>
      <c r="X262" s="47"/>
      <c r="Y262" s="47"/>
      <c r="Z262" s="47"/>
      <c r="AA262" s="47"/>
      <c r="AB262" s="47"/>
      <c r="AC262" s="47"/>
      <c r="AD262" s="47"/>
      <c r="AE262" s="47"/>
      <c r="AF262" s="47"/>
      <c r="AG262" s="49"/>
      <c r="AH262" s="47"/>
      <c r="AI262" s="47"/>
      <c r="AJ262" s="47"/>
      <c r="AK262" s="47"/>
      <c r="AL262" s="47"/>
      <c r="AM262" s="47"/>
      <c r="AN262" s="47"/>
      <c r="AO262" s="47"/>
      <c r="AP262" s="47"/>
      <c r="AQ262" s="49"/>
      <c r="AR262" s="47"/>
      <c r="AS262" s="47"/>
      <c r="AT262" s="47"/>
      <c r="AU262" s="47"/>
      <c r="AV262" s="47"/>
      <c r="AW262" s="47"/>
      <c r="AX262" s="47"/>
      <c r="AY262" s="47"/>
      <c r="AZ262" s="47"/>
      <c r="BA262" s="50"/>
      <c r="BB262" s="51"/>
      <c r="BC262" s="51"/>
      <c r="BD262" s="51"/>
      <c r="BE262" s="51"/>
      <c r="BF262" s="51"/>
      <c r="BG262" s="51"/>
      <c r="BH262" s="51"/>
      <c r="BI262" s="51"/>
      <c r="BJ262" s="51"/>
      <c r="BK262" s="51"/>
      <c r="BL262" s="51"/>
      <c r="BM262" s="51"/>
      <c r="BN262" s="51"/>
      <c r="BO262" s="51"/>
      <c r="BP262" s="51"/>
      <c r="BQ262" s="51"/>
      <c r="BR262" s="52"/>
      <c r="BS262" s="53"/>
      <c r="BT262" s="53"/>
      <c r="BU262" s="52"/>
      <c r="BV262" s="47"/>
      <c r="BW262" s="47"/>
      <c r="BX262" s="51"/>
      <c r="BY262" s="52"/>
      <c r="BZ262" s="53"/>
      <c r="CA262" s="53"/>
    </row>
    <row r="263" ht="11.25" customHeight="1">
      <c r="A263" s="55"/>
      <c r="B263" s="55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48"/>
      <c r="N263" s="56"/>
      <c r="O263" s="56"/>
      <c r="P263" s="56"/>
      <c r="Q263" s="56"/>
      <c r="R263" s="56"/>
      <c r="S263" s="56"/>
      <c r="T263" s="56"/>
      <c r="U263" s="56"/>
      <c r="V263" s="56"/>
      <c r="W263" s="49"/>
      <c r="X263" s="56"/>
      <c r="Y263" s="56"/>
      <c r="Z263" s="56"/>
      <c r="AA263" s="56"/>
      <c r="AB263" s="56"/>
      <c r="AC263" s="56"/>
      <c r="AD263" s="56"/>
      <c r="AE263" s="56"/>
      <c r="AF263" s="56"/>
      <c r="AG263" s="49"/>
      <c r="AH263" s="56"/>
      <c r="AI263" s="56"/>
      <c r="AJ263" s="56"/>
      <c r="AK263" s="56"/>
      <c r="AL263" s="56"/>
      <c r="AM263" s="56"/>
      <c r="AN263" s="56"/>
      <c r="AO263" s="56"/>
      <c r="AP263" s="56"/>
      <c r="AQ263" s="49"/>
      <c r="AR263" s="56"/>
      <c r="AS263" s="56"/>
      <c r="AT263" s="56"/>
      <c r="AU263" s="56"/>
      <c r="AV263" s="56"/>
      <c r="AW263" s="56"/>
      <c r="AX263" s="56"/>
      <c r="AY263" s="56"/>
      <c r="AZ263" s="56"/>
      <c r="BA263" s="50"/>
      <c r="BB263" s="57"/>
      <c r="BC263" s="57"/>
      <c r="BD263" s="57"/>
      <c r="BE263" s="57"/>
      <c r="BF263" s="57"/>
      <c r="BG263" s="57"/>
      <c r="BH263" s="57"/>
      <c r="BI263" s="57"/>
      <c r="BJ263" s="57"/>
      <c r="BK263" s="57"/>
      <c r="BL263" s="57"/>
      <c r="BM263" s="57"/>
      <c r="BN263" s="57"/>
      <c r="BO263" s="57"/>
      <c r="BP263" s="57"/>
      <c r="BQ263" s="57"/>
      <c r="BR263" s="59"/>
      <c r="BS263" s="59"/>
      <c r="BT263" s="59"/>
      <c r="BU263" s="59"/>
      <c r="BV263" s="47"/>
      <c r="BW263" s="47"/>
      <c r="BX263" s="57"/>
      <c r="BY263" s="59"/>
      <c r="BZ263" s="59"/>
      <c r="CA263" s="53"/>
    </row>
    <row r="264" ht="11.25" customHeight="1">
      <c r="A264" s="46"/>
      <c r="B264" s="46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8"/>
      <c r="N264" s="47"/>
      <c r="O264" s="47"/>
      <c r="P264" s="47"/>
      <c r="Q264" s="47"/>
      <c r="R264" s="47"/>
      <c r="S264" s="47"/>
      <c r="T264" s="47"/>
      <c r="U264" s="47"/>
      <c r="V264" s="47"/>
      <c r="W264" s="49"/>
      <c r="X264" s="47"/>
      <c r="Y264" s="47"/>
      <c r="Z264" s="47"/>
      <c r="AA264" s="47"/>
      <c r="AB264" s="47"/>
      <c r="AC264" s="47"/>
      <c r="AD264" s="47"/>
      <c r="AE264" s="47"/>
      <c r="AF264" s="47"/>
      <c r="AG264" s="49"/>
      <c r="AH264" s="47"/>
      <c r="AI264" s="47"/>
      <c r="AJ264" s="47"/>
      <c r="AK264" s="47"/>
      <c r="AL264" s="47"/>
      <c r="AM264" s="47"/>
      <c r="AN264" s="47"/>
      <c r="AO264" s="47"/>
      <c r="AP264" s="47"/>
      <c r="AQ264" s="49"/>
      <c r="AR264" s="47"/>
      <c r="AS264" s="47"/>
      <c r="AT264" s="47"/>
      <c r="AU264" s="47"/>
      <c r="AV264" s="47"/>
      <c r="AW264" s="47"/>
      <c r="AX264" s="47"/>
      <c r="AY264" s="47"/>
      <c r="AZ264" s="47"/>
      <c r="BA264" s="50"/>
      <c r="BB264" s="51"/>
      <c r="BC264" s="51"/>
      <c r="BD264" s="51"/>
      <c r="BE264" s="51"/>
      <c r="BF264" s="51"/>
      <c r="BG264" s="51"/>
      <c r="BH264" s="51"/>
      <c r="BI264" s="51"/>
      <c r="BJ264" s="51"/>
      <c r="BK264" s="51"/>
      <c r="BL264" s="51"/>
      <c r="BM264" s="51"/>
      <c r="BN264" s="51"/>
      <c r="BO264" s="51"/>
      <c r="BP264" s="51"/>
      <c r="BQ264" s="51"/>
      <c r="BR264" s="52"/>
      <c r="BS264" s="53"/>
      <c r="BT264" s="53"/>
      <c r="BU264" s="52"/>
      <c r="BV264" s="47"/>
      <c r="BW264" s="47"/>
      <c r="BX264" s="51"/>
      <c r="BY264" s="53"/>
      <c r="BZ264" s="53"/>
      <c r="CA264" s="53"/>
    </row>
    <row r="265" ht="11.25" customHeight="1">
      <c r="A265" s="55"/>
      <c r="B265" s="55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48"/>
      <c r="N265" s="56"/>
      <c r="O265" s="56"/>
      <c r="P265" s="56"/>
      <c r="Q265" s="56"/>
      <c r="R265" s="56"/>
      <c r="S265" s="56"/>
      <c r="T265" s="56"/>
      <c r="U265" s="56"/>
      <c r="V265" s="56"/>
      <c r="W265" s="49"/>
      <c r="X265" s="56"/>
      <c r="Y265" s="56"/>
      <c r="Z265" s="56"/>
      <c r="AA265" s="56"/>
      <c r="AB265" s="56"/>
      <c r="AC265" s="56"/>
      <c r="AD265" s="56"/>
      <c r="AE265" s="56"/>
      <c r="AF265" s="56"/>
      <c r="AG265" s="49"/>
      <c r="AH265" s="56"/>
      <c r="AI265" s="56"/>
      <c r="AJ265" s="56"/>
      <c r="AK265" s="56"/>
      <c r="AL265" s="56"/>
      <c r="AM265" s="56"/>
      <c r="AN265" s="56"/>
      <c r="AO265" s="56"/>
      <c r="AP265" s="56"/>
      <c r="AQ265" s="49"/>
      <c r="AR265" s="56"/>
      <c r="AS265" s="56"/>
      <c r="AT265" s="56"/>
      <c r="AU265" s="56"/>
      <c r="AV265" s="56"/>
      <c r="AW265" s="56"/>
      <c r="AX265" s="56"/>
      <c r="AY265" s="56"/>
      <c r="AZ265" s="56"/>
      <c r="BA265" s="50"/>
      <c r="BB265" s="57"/>
      <c r="BC265" s="57"/>
      <c r="BD265" s="57"/>
      <c r="BE265" s="57"/>
      <c r="BF265" s="57"/>
      <c r="BG265" s="57"/>
      <c r="BH265" s="57"/>
      <c r="BI265" s="57"/>
      <c r="BJ265" s="57"/>
      <c r="BK265" s="57"/>
      <c r="BL265" s="57"/>
      <c r="BM265" s="57"/>
      <c r="BN265" s="57"/>
      <c r="BO265" s="57"/>
      <c r="BP265" s="57"/>
      <c r="BQ265" s="57"/>
      <c r="BR265" s="58"/>
      <c r="BS265" s="59"/>
      <c r="BT265" s="59"/>
      <c r="BU265" s="58"/>
      <c r="BV265" s="47"/>
      <c r="BW265" s="47"/>
      <c r="BX265" s="57"/>
      <c r="BY265" s="59"/>
      <c r="BZ265" s="59"/>
      <c r="CA265" s="53"/>
    </row>
    <row r="266" ht="11.25" customHeight="1">
      <c r="A266" s="46"/>
      <c r="B266" s="46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8"/>
      <c r="N266" s="47"/>
      <c r="O266" s="47"/>
      <c r="P266" s="47"/>
      <c r="Q266" s="47"/>
      <c r="R266" s="47"/>
      <c r="S266" s="47"/>
      <c r="T266" s="47"/>
      <c r="U266" s="47"/>
      <c r="V266" s="47"/>
      <c r="W266" s="49"/>
      <c r="X266" s="47"/>
      <c r="Y266" s="47"/>
      <c r="Z266" s="47"/>
      <c r="AA266" s="47"/>
      <c r="AB266" s="47"/>
      <c r="AC266" s="47"/>
      <c r="AD266" s="47"/>
      <c r="AE266" s="47"/>
      <c r="AF266" s="47"/>
      <c r="AG266" s="49"/>
      <c r="AH266" s="47"/>
      <c r="AI266" s="47"/>
      <c r="AJ266" s="47"/>
      <c r="AK266" s="47"/>
      <c r="AL266" s="47"/>
      <c r="AM266" s="47"/>
      <c r="AN266" s="47"/>
      <c r="AO266" s="47"/>
      <c r="AP266" s="47"/>
      <c r="AQ266" s="49"/>
      <c r="AR266" s="47"/>
      <c r="AS266" s="47"/>
      <c r="AT266" s="47"/>
      <c r="AU266" s="47"/>
      <c r="AV266" s="47"/>
      <c r="AW266" s="47"/>
      <c r="AX266" s="47"/>
      <c r="AY266" s="47"/>
      <c r="AZ266" s="47"/>
      <c r="BA266" s="50"/>
      <c r="BB266" s="51"/>
      <c r="BC266" s="51"/>
      <c r="BD266" s="51"/>
      <c r="BE266" s="51"/>
      <c r="BF266" s="51"/>
      <c r="BG266" s="51"/>
      <c r="BH266" s="51"/>
      <c r="BI266" s="51"/>
      <c r="BJ266" s="51"/>
      <c r="BK266" s="51"/>
      <c r="BL266" s="51"/>
      <c r="BM266" s="51"/>
      <c r="BN266" s="51"/>
      <c r="BO266" s="51"/>
      <c r="BP266" s="51"/>
      <c r="BQ266" s="51"/>
      <c r="BR266" s="52"/>
      <c r="BS266" s="53"/>
      <c r="BT266" s="53"/>
      <c r="BU266" s="52"/>
      <c r="BV266" s="47"/>
      <c r="BW266" s="47"/>
      <c r="BX266" s="51"/>
      <c r="BY266" s="53"/>
      <c r="BZ266" s="53"/>
      <c r="CA266" s="53"/>
    </row>
    <row r="267" ht="11.25" customHeight="1">
      <c r="A267" s="55"/>
      <c r="B267" s="55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48"/>
      <c r="N267" s="56"/>
      <c r="O267" s="56"/>
      <c r="P267" s="56"/>
      <c r="Q267" s="56"/>
      <c r="R267" s="56"/>
      <c r="S267" s="56"/>
      <c r="T267" s="56"/>
      <c r="U267" s="56"/>
      <c r="V267" s="56"/>
      <c r="W267" s="49"/>
      <c r="X267" s="56"/>
      <c r="Y267" s="56"/>
      <c r="Z267" s="56"/>
      <c r="AA267" s="56"/>
      <c r="AB267" s="56"/>
      <c r="AC267" s="56"/>
      <c r="AD267" s="56"/>
      <c r="AE267" s="56"/>
      <c r="AF267" s="56"/>
      <c r="AG267" s="49"/>
      <c r="AH267" s="56"/>
      <c r="AI267" s="56"/>
      <c r="AJ267" s="56"/>
      <c r="AK267" s="56"/>
      <c r="AL267" s="56"/>
      <c r="AM267" s="56"/>
      <c r="AN267" s="56"/>
      <c r="AO267" s="56"/>
      <c r="AP267" s="56"/>
      <c r="AQ267" s="49"/>
      <c r="AR267" s="56"/>
      <c r="AS267" s="56"/>
      <c r="AT267" s="56"/>
      <c r="AU267" s="56"/>
      <c r="AV267" s="56"/>
      <c r="AW267" s="56"/>
      <c r="AX267" s="56"/>
      <c r="AY267" s="56"/>
      <c r="AZ267" s="56"/>
      <c r="BA267" s="50"/>
      <c r="BB267" s="57"/>
      <c r="BC267" s="57"/>
      <c r="BD267" s="57"/>
      <c r="BE267" s="57"/>
      <c r="BF267" s="57"/>
      <c r="BG267" s="57"/>
      <c r="BH267" s="57"/>
      <c r="BI267" s="57"/>
      <c r="BJ267" s="57"/>
      <c r="BK267" s="57"/>
      <c r="BL267" s="57"/>
      <c r="BM267" s="57"/>
      <c r="BN267" s="57"/>
      <c r="BO267" s="57"/>
      <c r="BP267" s="57"/>
      <c r="BQ267" s="57"/>
      <c r="BR267" s="58"/>
      <c r="BS267" s="59"/>
      <c r="BT267" s="59"/>
      <c r="BU267" s="58"/>
      <c r="BV267" s="47"/>
      <c r="BW267" s="47"/>
      <c r="BX267" s="57"/>
      <c r="BY267" s="59"/>
      <c r="BZ267" s="59"/>
      <c r="CA267" s="53"/>
    </row>
    <row r="268" ht="11.25" customHeight="1">
      <c r="A268" s="46"/>
      <c r="B268" s="46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8"/>
      <c r="N268" s="47"/>
      <c r="O268" s="47"/>
      <c r="P268" s="47"/>
      <c r="Q268" s="47"/>
      <c r="R268" s="47"/>
      <c r="S268" s="47"/>
      <c r="T268" s="47"/>
      <c r="U268" s="47"/>
      <c r="V268" s="47"/>
      <c r="W268" s="49"/>
      <c r="X268" s="47"/>
      <c r="Y268" s="47"/>
      <c r="Z268" s="47"/>
      <c r="AA268" s="47"/>
      <c r="AB268" s="47"/>
      <c r="AC268" s="47"/>
      <c r="AD268" s="47"/>
      <c r="AE268" s="47"/>
      <c r="AF268" s="47"/>
      <c r="AG268" s="49"/>
      <c r="AH268" s="47"/>
      <c r="AI268" s="47"/>
      <c r="AJ268" s="47"/>
      <c r="AK268" s="47"/>
      <c r="AL268" s="47"/>
      <c r="AM268" s="47"/>
      <c r="AN268" s="47"/>
      <c r="AO268" s="47"/>
      <c r="AP268" s="47"/>
      <c r="AQ268" s="49"/>
      <c r="AR268" s="47"/>
      <c r="AS268" s="47"/>
      <c r="AT268" s="47"/>
      <c r="AU268" s="47"/>
      <c r="AV268" s="47"/>
      <c r="AW268" s="47"/>
      <c r="AX268" s="47"/>
      <c r="AY268" s="47"/>
      <c r="AZ268" s="47"/>
      <c r="BA268" s="50"/>
      <c r="BB268" s="51"/>
      <c r="BC268" s="51"/>
      <c r="BD268" s="51"/>
      <c r="BE268" s="51"/>
      <c r="BF268" s="51"/>
      <c r="BG268" s="51"/>
      <c r="BH268" s="51"/>
      <c r="BI268" s="51"/>
      <c r="BJ268" s="51"/>
      <c r="BK268" s="51"/>
      <c r="BL268" s="51"/>
      <c r="BM268" s="51"/>
      <c r="BN268" s="51"/>
      <c r="BO268" s="51"/>
      <c r="BP268" s="51"/>
      <c r="BQ268" s="51"/>
      <c r="BR268" s="52"/>
      <c r="BS268" s="53"/>
      <c r="BT268" s="53"/>
      <c r="BU268" s="52"/>
      <c r="BV268" s="47"/>
      <c r="BW268" s="47"/>
      <c r="BX268" s="51"/>
      <c r="BY268" s="53"/>
      <c r="BZ268" s="53"/>
      <c r="CA268" s="53"/>
    </row>
    <row r="269" ht="11.25" customHeight="1">
      <c r="A269" s="55"/>
      <c r="B269" s="55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48"/>
      <c r="N269" s="56"/>
      <c r="O269" s="56"/>
      <c r="P269" s="56"/>
      <c r="Q269" s="56"/>
      <c r="R269" s="56"/>
      <c r="S269" s="56"/>
      <c r="T269" s="56"/>
      <c r="U269" s="56"/>
      <c r="V269" s="56"/>
      <c r="W269" s="49"/>
      <c r="X269" s="56"/>
      <c r="Y269" s="56"/>
      <c r="Z269" s="56"/>
      <c r="AA269" s="56"/>
      <c r="AB269" s="56"/>
      <c r="AC269" s="56"/>
      <c r="AD269" s="56"/>
      <c r="AE269" s="56"/>
      <c r="AF269" s="56"/>
      <c r="AG269" s="49"/>
      <c r="AH269" s="56"/>
      <c r="AI269" s="56"/>
      <c r="AJ269" s="56"/>
      <c r="AK269" s="56"/>
      <c r="AL269" s="56"/>
      <c r="AM269" s="56"/>
      <c r="AN269" s="56"/>
      <c r="AO269" s="56"/>
      <c r="AP269" s="56"/>
      <c r="AQ269" s="49"/>
      <c r="AR269" s="56"/>
      <c r="AS269" s="56"/>
      <c r="AT269" s="56"/>
      <c r="AU269" s="56"/>
      <c r="AV269" s="56"/>
      <c r="AW269" s="56"/>
      <c r="AX269" s="56"/>
      <c r="AY269" s="56"/>
      <c r="AZ269" s="56"/>
      <c r="BA269" s="50"/>
      <c r="BB269" s="57"/>
      <c r="BC269" s="57"/>
      <c r="BD269" s="57"/>
      <c r="BE269" s="57"/>
      <c r="BF269" s="57"/>
      <c r="BG269" s="57"/>
      <c r="BH269" s="57"/>
      <c r="BI269" s="57"/>
      <c r="BJ269" s="57"/>
      <c r="BK269" s="57"/>
      <c r="BL269" s="57"/>
      <c r="BM269" s="57"/>
      <c r="BN269" s="57"/>
      <c r="BO269" s="57"/>
      <c r="BP269" s="57"/>
      <c r="BQ269" s="57"/>
      <c r="BR269" s="58"/>
      <c r="BS269" s="59"/>
      <c r="BT269" s="59"/>
      <c r="BU269" s="58"/>
      <c r="BV269" s="47"/>
      <c r="BW269" s="47"/>
      <c r="BX269" s="57"/>
      <c r="BY269" s="59"/>
      <c r="BZ269" s="59"/>
      <c r="CA269" s="53"/>
    </row>
    <row r="270" ht="11.25" customHeight="1">
      <c r="A270" s="46"/>
      <c r="B270" s="46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8"/>
      <c r="N270" s="47"/>
      <c r="O270" s="47"/>
      <c r="P270" s="47"/>
      <c r="Q270" s="47"/>
      <c r="R270" s="47"/>
      <c r="S270" s="47"/>
      <c r="T270" s="47"/>
      <c r="U270" s="47"/>
      <c r="V270" s="47"/>
      <c r="W270" s="49"/>
      <c r="X270" s="47"/>
      <c r="Y270" s="47"/>
      <c r="Z270" s="47"/>
      <c r="AA270" s="47"/>
      <c r="AB270" s="47"/>
      <c r="AC270" s="47"/>
      <c r="AD270" s="47"/>
      <c r="AE270" s="47"/>
      <c r="AF270" s="47"/>
      <c r="AG270" s="49"/>
      <c r="AH270" s="47"/>
      <c r="AI270" s="47"/>
      <c r="AJ270" s="47"/>
      <c r="AK270" s="47"/>
      <c r="AL270" s="47"/>
      <c r="AM270" s="47"/>
      <c r="AN270" s="47"/>
      <c r="AO270" s="47"/>
      <c r="AP270" s="47"/>
      <c r="AQ270" s="49"/>
      <c r="AR270" s="47"/>
      <c r="AS270" s="47"/>
      <c r="AT270" s="47"/>
      <c r="AU270" s="47"/>
      <c r="AV270" s="47"/>
      <c r="AW270" s="47"/>
      <c r="AX270" s="47"/>
      <c r="AY270" s="47"/>
      <c r="AZ270" s="47"/>
      <c r="BA270" s="50"/>
      <c r="BB270" s="51"/>
      <c r="BC270" s="51"/>
      <c r="BD270" s="51"/>
      <c r="BE270" s="51"/>
      <c r="BF270" s="51"/>
      <c r="BG270" s="51"/>
      <c r="BH270" s="51"/>
      <c r="BI270" s="51"/>
      <c r="BJ270" s="51"/>
      <c r="BK270" s="51"/>
      <c r="BL270" s="51"/>
      <c r="BM270" s="51"/>
      <c r="BN270" s="51"/>
      <c r="BO270" s="51"/>
      <c r="BP270" s="51"/>
      <c r="BQ270" s="51"/>
      <c r="BR270" s="52"/>
      <c r="BS270" s="53"/>
      <c r="BT270" s="53"/>
      <c r="BU270" s="52"/>
      <c r="BV270" s="47"/>
      <c r="BW270" s="47"/>
      <c r="BX270" s="51"/>
      <c r="BY270" s="53"/>
      <c r="BZ270" s="53"/>
      <c r="CA270" s="53"/>
    </row>
    <row r="271" ht="11.25" customHeight="1">
      <c r="A271" s="53"/>
      <c r="B271" s="53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68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47"/>
      <c r="AW271" s="47"/>
      <c r="AX271" s="47"/>
      <c r="AY271" s="47"/>
      <c r="AZ271" s="47"/>
      <c r="BA271" s="53"/>
      <c r="BB271" s="53"/>
      <c r="BC271" s="53"/>
      <c r="BD271" s="53"/>
      <c r="BE271" s="53"/>
      <c r="BF271" s="53"/>
      <c r="BG271" s="53"/>
      <c r="BH271" s="53"/>
      <c r="BI271" s="53"/>
      <c r="BJ271" s="53"/>
      <c r="BK271" s="53"/>
      <c r="BL271" s="53"/>
      <c r="BM271" s="53"/>
      <c r="BN271" s="53"/>
      <c r="BO271" s="53"/>
      <c r="BP271" s="53"/>
      <c r="BQ271" s="53"/>
      <c r="BR271" s="53"/>
      <c r="BS271" s="53"/>
      <c r="BT271" s="53"/>
      <c r="BU271" s="53"/>
      <c r="BV271" s="47"/>
      <c r="BW271" s="47"/>
      <c r="BX271" s="53"/>
      <c r="BY271" s="53"/>
      <c r="BZ271" s="53"/>
      <c r="CA271" s="53"/>
    </row>
    <row r="272" ht="11.25" customHeight="1">
      <c r="A272" s="53"/>
      <c r="B272" s="53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68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53"/>
      <c r="BB272" s="53"/>
      <c r="BC272" s="53"/>
      <c r="BD272" s="53"/>
      <c r="BE272" s="53"/>
      <c r="BF272" s="53"/>
      <c r="BG272" s="53"/>
      <c r="BH272" s="53"/>
      <c r="BI272" s="53"/>
      <c r="BJ272" s="53"/>
      <c r="BK272" s="53"/>
      <c r="BL272" s="53"/>
      <c r="BM272" s="53"/>
      <c r="BN272" s="53"/>
      <c r="BO272" s="53"/>
      <c r="BP272" s="53"/>
      <c r="BQ272" s="53"/>
      <c r="BR272" s="53"/>
      <c r="BS272" s="53"/>
      <c r="BT272" s="53"/>
      <c r="BU272" s="53"/>
      <c r="BV272" s="47"/>
      <c r="BW272" s="47"/>
      <c r="BX272" s="53"/>
      <c r="BY272" s="53"/>
      <c r="BZ272" s="53"/>
      <c r="CA272" s="53"/>
    </row>
    <row r="273" ht="11.25" customHeight="1">
      <c r="A273" s="53"/>
      <c r="B273" s="53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68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47"/>
      <c r="AW273" s="47"/>
      <c r="AX273" s="47"/>
      <c r="AY273" s="47"/>
      <c r="AZ273" s="47"/>
      <c r="BA273" s="53"/>
      <c r="BB273" s="53"/>
      <c r="BC273" s="53"/>
      <c r="BD273" s="53"/>
      <c r="BE273" s="53"/>
      <c r="BF273" s="53"/>
      <c r="BG273" s="53"/>
      <c r="BH273" s="53"/>
      <c r="BI273" s="53"/>
      <c r="BJ273" s="53"/>
      <c r="BK273" s="53"/>
      <c r="BL273" s="53"/>
      <c r="BM273" s="53"/>
      <c r="BN273" s="53"/>
      <c r="BO273" s="53"/>
      <c r="BP273" s="53"/>
      <c r="BQ273" s="53"/>
      <c r="BR273" s="53"/>
      <c r="BS273" s="53"/>
      <c r="BT273" s="53"/>
      <c r="BU273" s="53"/>
      <c r="BV273" s="47"/>
      <c r="BW273" s="47"/>
      <c r="BX273" s="53"/>
      <c r="BY273" s="53"/>
      <c r="BZ273" s="53"/>
      <c r="CA273" s="53"/>
    </row>
    <row r="274" ht="11.25" customHeight="1">
      <c r="A274" s="53"/>
      <c r="B274" s="53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68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53"/>
      <c r="BB274" s="53"/>
      <c r="BC274" s="53"/>
      <c r="BD274" s="53"/>
      <c r="BE274" s="53"/>
      <c r="BF274" s="53"/>
      <c r="BG274" s="53"/>
      <c r="BH274" s="53"/>
      <c r="BI274" s="53"/>
      <c r="BJ274" s="53"/>
      <c r="BK274" s="53"/>
      <c r="BL274" s="53"/>
      <c r="BM274" s="53"/>
      <c r="BN274" s="53"/>
      <c r="BO274" s="53"/>
      <c r="BP274" s="53"/>
      <c r="BQ274" s="53"/>
      <c r="BR274" s="53"/>
      <c r="BS274" s="53"/>
      <c r="BT274" s="53"/>
      <c r="BU274" s="53"/>
      <c r="BV274" s="47"/>
      <c r="BW274" s="47"/>
      <c r="BX274" s="53"/>
      <c r="BY274" s="53"/>
      <c r="BZ274" s="53"/>
      <c r="CA274" s="53"/>
    </row>
    <row r="275" ht="11.25" customHeight="1">
      <c r="A275" s="53"/>
      <c r="B275" s="53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68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47"/>
      <c r="AW275" s="47"/>
      <c r="AX275" s="47"/>
      <c r="AY275" s="47"/>
      <c r="AZ275" s="47"/>
      <c r="BA275" s="53"/>
      <c r="BB275" s="53"/>
      <c r="BC275" s="53"/>
      <c r="BD275" s="53"/>
      <c r="BE275" s="53"/>
      <c r="BF275" s="53"/>
      <c r="BG275" s="53"/>
      <c r="BH275" s="53"/>
      <c r="BI275" s="53"/>
      <c r="BJ275" s="53"/>
      <c r="BK275" s="53"/>
      <c r="BL275" s="53"/>
      <c r="BM275" s="53"/>
      <c r="BN275" s="53"/>
      <c r="BO275" s="53"/>
      <c r="BP275" s="53"/>
      <c r="BQ275" s="53"/>
      <c r="BR275" s="53"/>
      <c r="BS275" s="53"/>
      <c r="BT275" s="53"/>
      <c r="BU275" s="53"/>
      <c r="BV275" s="47"/>
      <c r="BW275" s="47"/>
      <c r="BX275" s="53"/>
      <c r="BY275" s="53"/>
      <c r="BZ275" s="53"/>
      <c r="CA275" s="53"/>
    </row>
    <row r="276" ht="11.25" customHeight="1">
      <c r="A276" s="53"/>
      <c r="B276" s="53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68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53"/>
      <c r="BB276" s="53"/>
      <c r="BC276" s="53"/>
      <c r="BD276" s="53"/>
      <c r="BE276" s="53"/>
      <c r="BF276" s="53"/>
      <c r="BG276" s="53"/>
      <c r="BH276" s="53"/>
      <c r="BI276" s="53"/>
      <c r="BJ276" s="53"/>
      <c r="BK276" s="53"/>
      <c r="BL276" s="53"/>
      <c r="BM276" s="53"/>
      <c r="BN276" s="53"/>
      <c r="BO276" s="53"/>
      <c r="BP276" s="53"/>
      <c r="BQ276" s="53"/>
      <c r="BR276" s="53"/>
      <c r="BS276" s="53"/>
      <c r="BT276" s="53"/>
      <c r="BU276" s="53"/>
      <c r="BV276" s="47"/>
      <c r="BW276" s="47"/>
      <c r="BX276" s="53"/>
      <c r="BY276" s="53"/>
      <c r="BZ276" s="53"/>
      <c r="CA276" s="53"/>
    </row>
    <row r="277" ht="11.25" customHeight="1">
      <c r="A277" s="53"/>
      <c r="B277" s="53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68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47"/>
      <c r="AW277" s="47"/>
      <c r="AX277" s="47"/>
      <c r="AY277" s="47"/>
      <c r="AZ277" s="47"/>
      <c r="BA277" s="53"/>
      <c r="BB277" s="53"/>
      <c r="BC277" s="53"/>
      <c r="BD277" s="53"/>
      <c r="BE277" s="53"/>
      <c r="BF277" s="53"/>
      <c r="BG277" s="53"/>
      <c r="BH277" s="53"/>
      <c r="BI277" s="53"/>
      <c r="BJ277" s="53"/>
      <c r="BK277" s="53"/>
      <c r="BL277" s="53"/>
      <c r="BM277" s="53"/>
      <c r="BN277" s="53"/>
      <c r="BO277" s="53"/>
      <c r="BP277" s="53"/>
      <c r="BQ277" s="53"/>
      <c r="BR277" s="53"/>
      <c r="BS277" s="53"/>
      <c r="BT277" s="53"/>
      <c r="BU277" s="53"/>
      <c r="BV277" s="47"/>
      <c r="BW277" s="47"/>
      <c r="BX277" s="53"/>
      <c r="BY277" s="53"/>
      <c r="BZ277" s="53"/>
      <c r="CA277" s="53"/>
    </row>
    <row r="278" ht="11.25" customHeight="1">
      <c r="A278" s="53"/>
      <c r="B278" s="53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68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53"/>
      <c r="BB278" s="53"/>
      <c r="BC278" s="53"/>
      <c r="BD278" s="53"/>
      <c r="BE278" s="53"/>
      <c r="BF278" s="53"/>
      <c r="BG278" s="53"/>
      <c r="BH278" s="53"/>
      <c r="BI278" s="53"/>
      <c r="BJ278" s="53"/>
      <c r="BK278" s="53"/>
      <c r="BL278" s="53"/>
      <c r="BM278" s="53"/>
      <c r="BN278" s="53"/>
      <c r="BO278" s="53"/>
      <c r="BP278" s="53"/>
      <c r="BQ278" s="53"/>
      <c r="BR278" s="53"/>
      <c r="BS278" s="53"/>
      <c r="BT278" s="53"/>
      <c r="BU278" s="53"/>
      <c r="BV278" s="47"/>
      <c r="BW278" s="47"/>
      <c r="BX278" s="53"/>
      <c r="BY278" s="53"/>
      <c r="BZ278" s="53"/>
      <c r="CA278" s="53"/>
    </row>
    <row r="279" ht="11.25" customHeight="1">
      <c r="A279" s="53"/>
      <c r="B279" s="53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68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47"/>
      <c r="AW279" s="47"/>
      <c r="AX279" s="47"/>
      <c r="AY279" s="47"/>
      <c r="AZ279" s="47"/>
      <c r="BA279" s="53"/>
      <c r="BB279" s="53"/>
      <c r="BC279" s="53"/>
      <c r="BD279" s="53"/>
      <c r="BE279" s="53"/>
      <c r="BF279" s="53"/>
      <c r="BG279" s="53"/>
      <c r="BH279" s="53"/>
      <c r="BI279" s="53"/>
      <c r="BJ279" s="53"/>
      <c r="BK279" s="53"/>
      <c r="BL279" s="53"/>
      <c r="BM279" s="53"/>
      <c r="BN279" s="53"/>
      <c r="BO279" s="53"/>
      <c r="BP279" s="53"/>
      <c r="BQ279" s="53"/>
      <c r="BR279" s="53"/>
      <c r="BS279" s="53"/>
      <c r="BT279" s="53"/>
      <c r="BU279" s="53"/>
      <c r="BV279" s="47"/>
      <c r="BW279" s="47"/>
      <c r="BX279" s="53"/>
      <c r="BY279" s="53"/>
      <c r="BZ279" s="53"/>
      <c r="CA279" s="53"/>
    </row>
    <row r="280" ht="11.25" customHeight="1">
      <c r="A280" s="53"/>
      <c r="B280" s="53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68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53"/>
      <c r="BB280" s="53"/>
      <c r="BC280" s="53"/>
      <c r="BD280" s="53"/>
      <c r="BE280" s="53"/>
      <c r="BF280" s="53"/>
      <c r="BG280" s="53"/>
      <c r="BH280" s="53"/>
      <c r="BI280" s="53"/>
      <c r="BJ280" s="53"/>
      <c r="BK280" s="53"/>
      <c r="BL280" s="53"/>
      <c r="BM280" s="53"/>
      <c r="BN280" s="53"/>
      <c r="BO280" s="53"/>
      <c r="BP280" s="53"/>
      <c r="BQ280" s="53"/>
      <c r="BR280" s="53"/>
      <c r="BS280" s="53"/>
      <c r="BT280" s="53"/>
      <c r="BU280" s="53"/>
      <c r="BV280" s="47"/>
      <c r="BW280" s="47"/>
      <c r="BX280" s="53"/>
      <c r="BY280" s="53"/>
      <c r="BZ280" s="53"/>
      <c r="CA280" s="53"/>
    </row>
    <row r="281" ht="11.25" customHeight="1">
      <c r="A281" s="53"/>
      <c r="B281" s="53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68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47"/>
      <c r="AW281" s="47"/>
      <c r="AX281" s="47"/>
      <c r="AY281" s="47"/>
      <c r="AZ281" s="47"/>
      <c r="BA281" s="53"/>
      <c r="BB281" s="53"/>
      <c r="BC281" s="53"/>
      <c r="BD281" s="53"/>
      <c r="BE281" s="53"/>
      <c r="BF281" s="53"/>
      <c r="BG281" s="53"/>
      <c r="BH281" s="53"/>
      <c r="BI281" s="53"/>
      <c r="BJ281" s="53"/>
      <c r="BK281" s="53"/>
      <c r="BL281" s="53"/>
      <c r="BM281" s="53"/>
      <c r="BN281" s="53"/>
      <c r="BO281" s="53"/>
      <c r="BP281" s="53"/>
      <c r="BQ281" s="53"/>
      <c r="BR281" s="53"/>
      <c r="BS281" s="53"/>
      <c r="BT281" s="53"/>
      <c r="BU281" s="53"/>
      <c r="BV281" s="47"/>
      <c r="BW281" s="47"/>
      <c r="BX281" s="53"/>
      <c r="BY281" s="53"/>
      <c r="BZ281" s="53"/>
      <c r="CA281" s="53"/>
    </row>
    <row r="282" ht="11.25" customHeight="1">
      <c r="A282" s="53"/>
      <c r="B282" s="53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68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47"/>
      <c r="AY282" s="47"/>
      <c r="AZ282" s="47"/>
      <c r="BA282" s="53"/>
      <c r="BB282" s="53"/>
      <c r="BC282" s="53"/>
      <c r="BD282" s="53"/>
      <c r="BE282" s="53"/>
      <c r="BF282" s="53"/>
      <c r="BG282" s="53"/>
      <c r="BH282" s="53"/>
      <c r="BI282" s="53"/>
      <c r="BJ282" s="53"/>
      <c r="BK282" s="53"/>
      <c r="BL282" s="53"/>
      <c r="BM282" s="53"/>
      <c r="BN282" s="53"/>
      <c r="BO282" s="53"/>
      <c r="BP282" s="53"/>
      <c r="BQ282" s="53"/>
      <c r="BR282" s="53"/>
      <c r="BS282" s="53"/>
      <c r="BT282" s="53"/>
      <c r="BU282" s="53"/>
      <c r="BV282" s="47"/>
      <c r="BW282" s="47"/>
      <c r="BX282" s="53"/>
      <c r="BY282" s="53"/>
      <c r="BZ282" s="53"/>
      <c r="CA282" s="53"/>
    </row>
    <row r="283" ht="11.25" customHeight="1">
      <c r="A283" s="53"/>
      <c r="B283" s="53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68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47"/>
      <c r="AW283" s="47"/>
      <c r="AX283" s="47"/>
      <c r="AY283" s="47"/>
      <c r="AZ283" s="47"/>
      <c r="BA283" s="53"/>
      <c r="BB283" s="53"/>
      <c r="BC283" s="53"/>
      <c r="BD283" s="53"/>
      <c r="BE283" s="53"/>
      <c r="BF283" s="53"/>
      <c r="BG283" s="53"/>
      <c r="BH283" s="53"/>
      <c r="BI283" s="53"/>
      <c r="BJ283" s="53"/>
      <c r="BK283" s="53"/>
      <c r="BL283" s="53"/>
      <c r="BM283" s="53"/>
      <c r="BN283" s="53"/>
      <c r="BO283" s="53"/>
      <c r="BP283" s="53"/>
      <c r="BQ283" s="53"/>
      <c r="BR283" s="53"/>
      <c r="BS283" s="53"/>
      <c r="BT283" s="53"/>
      <c r="BU283" s="53"/>
      <c r="BV283" s="47"/>
      <c r="BW283" s="47"/>
      <c r="BX283" s="53"/>
      <c r="BY283" s="53"/>
      <c r="BZ283" s="53"/>
      <c r="CA283" s="53"/>
    </row>
    <row r="284" ht="11.25" customHeight="1">
      <c r="A284" s="53"/>
      <c r="B284" s="53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68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  <c r="AY284" s="47"/>
      <c r="AZ284" s="47"/>
      <c r="BA284" s="53"/>
      <c r="BB284" s="53"/>
      <c r="BC284" s="53"/>
      <c r="BD284" s="53"/>
      <c r="BE284" s="53"/>
      <c r="BF284" s="53"/>
      <c r="BG284" s="53"/>
      <c r="BH284" s="53"/>
      <c r="BI284" s="53"/>
      <c r="BJ284" s="53"/>
      <c r="BK284" s="53"/>
      <c r="BL284" s="53"/>
      <c r="BM284" s="53"/>
      <c r="BN284" s="53"/>
      <c r="BO284" s="53"/>
      <c r="BP284" s="53"/>
      <c r="BQ284" s="53"/>
      <c r="BR284" s="53"/>
      <c r="BS284" s="53"/>
      <c r="BT284" s="53"/>
      <c r="BU284" s="53"/>
      <c r="BV284" s="47"/>
      <c r="BW284" s="47"/>
      <c r="BX284" s="53"/>
      <c r="BY284" s="53"/>
      <c r="BZ284" s="53"/>
      <c r="CA284" s="53"/>
    </row>
    <row r="285" ht="11.25" customHeight="1">
      <c r="A285" s="53"/>
      <c r="B285" s="53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68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47"/>
      <c r="AW285" s="47"/>
      <c r="AX285" s="47"/>
      <c r="AY285" s="47"/>
      <c r="AZ285" s="47"/>
      <c r="BA285" s="53"/>
      <c r="BB285" s="53"/>
      <c r="BC285" s="53"/>
      <c r="BD285" s="53"/>
      <c r="BE285" s="53"/>
      <c r="BF285" s="53"/>
      <c r="BG285" s="53"/>
      <c r="BH285" s="53"/>
      <c r="BI285" s="53"/>
      <c r="BJ285" s="53"/>
      <c r="BK285" s="53"/>
      <c r="BL285" s="53"/>
      <c r="BM285" s="53"/>
      <c r="BN285" s="53"/>
      <c r="BO285" s="53"/>
      <c r="BP285" s="53"/>
      <c r="BQ285" s="53"/>
      <c r="BR285" s="53"/>
      <c r="BS285" s="53"/>
      <c r="BT285" s="53"/>
      <c r="BU285" s="53"/>
      <c r="BV285" s="47"/>
      <c r="BW285" s="47"/>
      <c r="BX285" s="53"/>
      <c r="BY285" s="53"/>
      <c r="BZ285" s="53"/>
      <c r="CA285" s="53"/>
    </row>
    <row r="286" ht="11.25" customHeight="1">
      <c r="A286" s="53"/>
      <c r="B286" s="53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68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  <c r="AX286" s="47"/>
      <c r="AY286" s="47"/>
      <c r="AZ286" s="47"/>
      <c r="BA286" s="53"/>
      <c r="BB286" s="53"/>
      <c r="BC286" s="53"/>
      <c r="BD286" s="53"/>
      <c r="BE286" s="53"/>
      <c r="BF286" s="53"/>
      <c r="BG286" s="53"/>
      <c r="BH286" s="53"/>
      <c r="BI286" s="53"/>
      <c r="BJ286" s="53"/>
      <c r="BK286" s="53"/>
      <c r="BL286" s="53"/>
      <c r="BM286" s="53"/>
      <c r="BN286" s="53"/>
      <c r="BO286" s="53"/>
      <c r="BP286" s="53"/>
      <c r="BQ286" s="53"/>
      <c r="BR286" s="53"/>
      <c r="BS286" s="53"/>
      <c r="BT286" s="53"/>
      <c r="BU286" s="53"/>
      <c r="BV286" s="47"/>
      <c r="BW286" s="47"/>
      <c r="BX286" s="53"/>
      <c r="BY286" s="53"/>
      <c r="BZ286" s="53"/>
      <c r="CA286" s="53"/>
    </row>
    <row r="287" ht="11.25" customHeight="1">
      <c r="A287" s="53"/>
      <c r="B287" s="53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68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47"/>
      <c r="AW287" s="47"/>
      <c r="AX287" s="47"/>
      <c r="AY287" s="47"/>
      <c r="AZ287" s="47"/>
      <c r="BA287" s="53"/>
      <c r="BB287" s="53"/>
      <c r="BC287" s="53"/>
      <c r="BD287" s="53"/>
      <c r="BE287" s="53"/>
      <c r="BF287" s="53"/>
      <c r="BG287" s="53"/>
      <c r="BH287" s="53"/>
      <c r="BI287" s="53"/>
      <c r="BJ287" s="53"/>
      <c r="BK287" s="53"/>
      <c r="BL287" s="53"/>
      <c r="BM287" s="53"/>
      <c r="BN287" s="53"/>
      <c r="BO287" s="53"/>
      <c r="BP287" s="53"/>
      <c r="BQ287" s="53"/>
      <c r="BR287" s="53"/>
      <c r="BS287" s="53"/>
      <c r="BT287" s="53"/>
      <c r="BU287" s="53"/>
      <c r="BV287" s="47"/>
      <c r="BW287" s="47"/>
      <c r="BX287" s="53"/>
      <c r="BY287" s="53"/>
      <c r="BZ287" s="53"/>
      <c r="CA287" s="53"/>
    </row>
    <row r="288" ht="11.25" customHeight="1">
      <c r="A288" s="53"/>
      <c r="B288" s="53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68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53"/>
      <c r="BB288" s="53"/>
      <c r="BC288" s="53"/>
      <c r="BD288" s="53"/>
      <c r="BE288" s="53"/>
      <c r="BF288" s="53"/>
      <c r="BG288" s="53"/>
      <c r="BH288" s="53"/>
      <c r="BI288" s="53"/>
      <c r="BJ288" s="53"/>
      <c r="BK288" s="53"/>
      <c r="BL288" s="53"/>
      <c r="BM288" s="53"/>
      <c r="BN288" s="53"/>
      <c r="BO288" s="53"/>
      <c r="BP288" s="53"/>
      <c r="BQ288" s="53"/>
      <c r="BR288" s="53"/>
      <c r="BS288" s="53"/>
      <c r="BT288" s="53"/>
      <c r="BU288" s="53"/>
      <c r="BV288" s="47"/>
      <c r="BW288" s="47"/>
      <c r="BX288" s="53"/>
      <c r="BY288" s="53"/>
      <c r="BZ288" s="53"/>
      <c r="CA288" s="53"/>
    </row>
    <row r="289" ht="11.25" customHeight="1">
      <c r="A289" s="53"/>
      <c r="B289" s="53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68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47"/>
      <c r="AW289" s="47"/>
      <c r="AX289" s="47"/>
      <c r="AY289" s="47"/>
      <c r="AZ289" s="47"/>
      <c r="BA289" s="53"/>
      <c r="BB289" s="53"/>
      <c r="BC289" s="53"/>
      <c r="BD289" s="53"/>
      <c r="BE289" s="53"/>
      <c r="BF289" s="53"/>
      <c r="BG289" s="53"/>
      <c r="BH289" s="53"/>
      <c r="BI289" s="53"/>
      <c r="BJ289" s="53"/>
      <c r="BK289" s="53"/>
      <c r="BL289" s="53"/>
      <c r="BM289" s="53"/>
      <c r="BN289" s="53"/>
      <c r="BO289" s="53"/>
      <c r="BP289" s="53"/>
      <c r="BQ289" s="53"/>
      <c r="BR289" s="53"/>
      <c r="BS289" s="53"/>
      <c r="BT289" s="53"/>
      <c r="BU289" s="53"/>
      <c r="BV289" s="47"/>
      <c r="BW289" s="47"/>
      <c r="BX289" s="53"/>
      <c r="BY289" s="53"/>
      <c r="BZ289" s="53"/>
      <c r="CA289" s="53"/>
    </row>
    <row r="290" ht="11.25" customHeight="1">
      <c r="A290" s="53"/>
      <c r="B290" s="53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68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53"/>
      <c r="BB290" s="53"/>
      <c r="BC290" s="53"/>
      <c r="BD290" s="53"/>
      <c r="BE290" s="53"/>
      <c r="BF290" s="53"/>
      <c r="BG290" s="53"/>
      <c r="BH290" s="53"/>
      <c r="BI290" s="53"/>
      <c r="BJ290" s="53"/>
      <c r="BK290" s="53"/>
      <c r="BL290" s="53"/>
      <c r="BM290" s="53"/>
      <c r="BN290" s="53"/>
      <c r="BO290" s="53"/>
      <c r="BP290" s="53"/>
      <c r="BQ290" s="53"/>
      <c r="BR290" s="53"/>
      <c r="BS290" s="53"/>
      <c r="BT290" s="53"/>
      <c r="BU290" s="53"/>
      <c r="BV290" s="47"/>
      <c r="BW290" s="47"/>
      <c r="BX290" s="53"/>
      <c r="BY290" s="53"/>
      <c r="BZ290" s="53"/>
      <c r="CA290" s="53"/>
    </row>
    <row r="291" ht="11.25" customHeight="1">
      <c r="A291" s="53"/>
      <c r="B291" s="53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68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47"/>
      <c r="AD291" s="47"/>
      <c r="AE291" s="47"/>
      <c r="AF291" s="47"/>
      <c r="AG291" s="47"/>
      <c r="AH291" s="47"/>
      <c r="AI291" s="47"/>
      <c r="AJ291" s="47"/>
      <c r="AK291" s="47"/>
      <c r="AL291" s="47"/>
      <c r="AM291" s="47"/>
      <c r="AN291" s="47"/>
      <c r="AO291" s="47"/>
      <c r="AP291" s="47"/>
      <c r="AQ291" s="47"/>
      <c r="AR291" s="47"/>
      <c r="AS291" s="47"/>
      <c r="AT291" s="47"/>
      <c r="AU291" s="47"/>
      <c r="AV291" s="47"/>
      <c r="AW291" s="47"/>
      <c r="AX291" s="47"/>
      <c r="AY291" s="47"/>
      <c r="AZ291" s="47"/>
      <c r="BA291" s="53"/>
      <c r="BB291" s="53"/>
      <c r="BC291" s="53"/>
      <c r="BD291" s="53"/>
      <c r="BE291" s="53"/>
      <c r="BF291" s="53"/>
      <c r="BG291" s="53"/>
      <c r="BH291" s="53"/>
      <c r="BI291" s="53"/>
      <c r="BJ291" s="53"/>
      <c r="BK291" s="53"/>
      <c r="BL291" s="53"/>
      <c r="BM291" s="53"/>
      <c r="BN291" s="53"/>
      <c r="BO291" s="53"/>
      <c r="BP291" s="53"/>
      <c r="BQ291" s="53"/>
      <c r="BR291" s="53"/>
      <c r="BS291" s="53"/>
      <c r="BT291" s="53"/>
      <c r="BU291" s="53"/>
      <c r="BV291" s="47"/>
      <c r="BW291" s="47"/>
      <c r="BX291" s="53"/>
      <c r="BY291" s="53"/>
      <c r="BZ291" s="53"/>
      <c r="CA291" s="53"/>
    </row>
    <row r="292" ht="11.25" customHeight="1">
      <c r="A292" s="53"/>
      <c r="B292" s="53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68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53"/>
      <c r="BB292" s="53"/>
      <c r="BC292" s="53"/>
      <c r="BD292" s="53"/>
      <c r="BE292" s="53"/>
      <c r="BF292" s="53"/>
      <c r="BG292" s="53"/>
      <c r="BH292" s="53"/>
      <c r="BI292" s="53"/>
      <c r="BJ292" s="53"/>
      <c r="BK292" s="53"/>
      <c r="BL292" s="53"/>
      <c r="BM292" s="53"/>
      <c r="BN292" s="53"/>
      <c r="BO292" s="53"/>
      <c r="BP292" s="53"/>
      <c r="BQ292" s="53"/>
      <c r="BR292" s="53"/>
      <c r="BS292" s="53"/>
      <c r="BT292" s="53"/>
      <c r="BU292" s="53"/>
      <c r="BV292" s="47"/>
      <c r="BW292" s="47"/>
      <c r="BX292" s="53"/>
      <c r="BY292" s="53"/>
      <c r="BZ292" s="53"/>
      <c r="CA292" s="53"/>
    </row>
    <row r="293" ht="11.25" customHeight="1">
      <c r="A293" s="53"/>
      <c r="B293" s="53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68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  <c r="AA293" s="47"/>
      <c r="AB293" s="47"/>
      <c r="AC293" s="47"/>
      <c r="AD293" s="47"/>
      <c r="AE293" s="47"/>
      <c r="AF293" s="47"/>
      <c r="AG293" s="47"/>
      <c r="AH293" s="47"/>
      <c r="AI293" s="47"/>
      <c r="AJ293" s="47"/>
      <c r="AK293" s="47"/>
      <c r="AL293" s="47"/>
      <c r="AM293" s="47"/>
      <c r="AN293" s="47"/>
      <c r="AO293" s="47"/>
      <c r="AP293" s="47"/>
      <c r="AQ293" s="47"/>
      <c r="AR293" s="47"/>
      <c r="AS293" s="47"/>
      <c r="AT293" s="47"/>
      <c r="AU293" s="47"/>
      <c r="AV293" s="47"/>
      <c r="AW293" s="47"/>
      <c r="AX293" s="47"/>
      <c r="AY293" s="47"/>
      <c r="AZ293" s="47"/>
      <c r="BA293" s="53"/>
      <c r="BB293" s="53"/>
      <c r="BC293" s="53"/>
      <c r="BD293" s="53"/>
      <c r="BE293" s="53"/>
      <c r="BF293" s="53"/>
      <c r="BG293" s="53"/>
      <c r="BH293" s="53"/>
      <c r="BI293" s="53"/>
      <c r="BJ293" s="53"/>
      <c r="BK293" s="53"/>
      <c r="BL293" s="53"/>
      <c r="BM293" s="53"/>
      <c r="BN293" s="53"/>
      <c r="BO293" s="53"/>
      <c r="BP293" s="53"/>
      <c r="BQ293" s="53"/>
      <c r="BR293" s="53"/>
      <c r="BS293" s="53"/>
      <c r="BT293" s="53"/>
      <c r="BU293" s="53"/>
      <c r="BV293" s="47"/>
      <c r="BW293" s="47"/>
      <c r="BX293" s="53"/>
      <c r="BY293" s="53"/>
      <c r="BZ293" s="53"/>
      <c r="CA293" s="53"/>
    </row>
    <row r="294" ht="11.25" customHeight="1">
      <c r="A294" s="53"/>
      <c r="B294" s="53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68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53"/>
      <c r="BB294" s="53"/>
      <c r="BC294" s="53"/>
      <c r="BD294" s="53"/>
      <c r="BE294" s="53"/>
      <c r="BF294" s="53"/>
      <c r="BG294" s="53"/>
      <c r="BH294" s="53"/>
      <c r="BI294" s="53"/>
      <c r="BJ294" s="53"/>
      <c r="BK294" s="53"/>
      <c r="BL294" s="53"/>
      <c r="BM294" s="53"/>
      <c r="BN294" s="53"/>
      <c r="BO294" s="53"/>
      <c r="BP294" s="53"/>
      <c r="BQ294" s="53"/>
      <c r="BR294" s="53"/>
      <c r="BS294" s="53"/>
      <c r="BT294" s="53"/>
      <c r="BU294" s="53"/>
      <c r="BV294" s="47"/>
      <c r="BW294" s="47"/>
      <c r="BX294" s="53"/>
      <c r="BY294" s="53"/>
      <c r="BZ294" s="53"/>
      <c r="CA294" s="53"/>
    </row>
    <row r="295" ht="11.25" customHeight="1">
      <c r="A295" s="53"/>
      <c r="B295" s="53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68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  <c r="AA295" s="47"/>
      <c r="AB295" s="47"/>
      <c r="AC295" s="47"/>
      <c r="AD295" s="47"/>
      <c r="AE295" s="47"/>
      <c r="AF295" s="47"/>
      <c r="AG295" s="47"/>
      <c r="AH295" s="47"/>
      <c r="AI295" s="47"/>
      <c r="AJ295" s="47"/>
      <c r="AK295" s="47"/>
      <c r="AL295" s="47"/>
      <c r="AM295" s="47"/>
      <c r="AN295" s="47"/>
      <c r="AO295" s="47"/>
      <c r="AP295" s="47"/>
      <c r="AQ295" s="47"/>
      <c r="AR295" s="47"/>
      <c r="AS295" s="47"/>
      <c r="AT295" s="47"/>
      <c r="AU295" s="47"/>
      <c r="AV295" s="47"/>
      <c r="AW295" s="47"/>
      <c r="AX295" s="47"/>
      <c r="AY295" s="47"/>
      <c r="AZ295" s="47"/>
      <c r="BA295" s="53"/>
      <c r="BB295" s="53"/>
      <c r="BC295" s="53"/>
      <c r="BD295" s="53"/>
      <c r="BE295" s="53"/>
      <c r="BF295" s="53"/>
      <c r="BG295" s="53"/>
      <c r="BH295" s="53"/>
      <c r="BI295" s="53"/>
      <c r="BJ295" s="53"/>
      <c r="BK295" s="53"/>
      <c r="BL295" s="53"/>
      <c r="BM295" s="53"/>
      <c r="BN295" s="53"/>
      <c r="BO295" s="53"/>
      <c r="BP295" s="53"/>
      <c r="BQ295" s="53"/>
      <c r="BR295" s="53"/>
      <c r="BS295" s="53"/>
      <c r="BT295" s="53"/>
      <c r="BU295" s="53"/>
      <c r="BV295" s="47"/>
      <c r="BW295" s="47"/>
      <c r="BX295" s="53"/>
      <c r="BY295" s="53"/>
      <c r="BZ295" s="53"/>
      <c r="CA295" s="53"/>
    </row>
    <row r="296" ht="11.25" customHeight="1">
      <c r="A296" s="53"/>
      <c r="B296" s="53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68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53"/>
      <c r="BB296" s="53"/>
      <c r="BC296" s="53"/>
      <c r="BD296" s="53"/>
      <c r="BE296" s="53"/>
      <c r="BF296" s="53"/>
      <c r="BG296" s="53"/>
      <c r="BH296" s="53"/>
      <c r="BI296" s="53"/>
      <c r="BJ296" s="53"/>
      <c r="BK296" s="53"/>
      <c r="BL296" s="53"/>
      <c r="BM296" s="53"/>
      <c r="BN296" s="53"/>
      <c r="BO296" s="53"/>
      <c r="BP296" s="53"/>
      <c r="BQ296" s="53"/>
      <c r="BR296" s="53"/>
      <c r="BS296" s="53"/>
      <c r="BT296" s="53"/>
      <c r="BU296" s="53"/>
      <c r="BV296" s="47"/>
      <c r="BW296" s="47"/>
      <c r="BX296" s="53"/>
      <c r="BY296" s="53"/>
      <c r="BZ296" s="53"/>
      <c r="CA296" s="53"/>
    </row>
    <row r="297" ht="11.25" customHeight="1">
      <c r="A297" s="53"/>
      <c r="B297" s="53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68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  <c r="AA297" s="47"/>
      <c r="AB297" s="47"/>
      <c r="AC297" s="47"/>
      <c r="AD297" s="47"/>
      <c r="AE297" s="47"/>
      <c r="AF297" s="47"/>
      <c r="AG297" s="47"/>
      <c r="AH297" s="47"/>
      <c r="AI297" s="47"/>
      <c r="AJ297" s="47"/>
      <c r="AK297" s="47"/>
      <c r="AL297" s="47"/>
      <c r="AM297" s="47"/>
      <c r="AN297" s="47"/>
      <c r="AO297" s="47"/>
      <c r="AP297" s="47"/>
      <c r="AQ297" s="47"/>
      <c r="AR297" s="47"/>
      <c r="AS297" s="47"/>
      <c r="AT297" s="47"/>
      <c r="AU297" s="47"/>
      <c r="AV297" s="47"/>
      <c r="AW297" s="47"/>
      <c r="AX297" s="47"/>
      <c r="AY297" s="47"/>
      <c r="AZ297" s="47"/>
      <c r="BA297" s="53"/>
      <c r="BB297" s="53"/>
      <c r="BC297" s="53"/>
      <c r="BD297" s="53"/>
      <c r="BE297" s="53"/>
      <c r="BF297" s="53"/>
      <c r="BG297" s="53"/>
      <c r="BH297" s="53"/>
      <c r="BI297" s="53"/>
      <c r="BJ297" s="53"/>
      <c r="BK297" s="53"/>
      <c r="BL297" s="53"/>
      <c r="BM297" s="53"/>
      <c r="BN297" s="53"/>
      <c r="BO297" s="53"/>
      <c r="BP297" s="53"/>
      <c r="BQ297" s="53"/>
      <c r="BR297" s="53"/>
      <c r="BS297" s="53"/>
      <c r="BT297" s="53"/>
      <c r="BU297" s="53"/>
      <c r="BV297" s="47"/>
      <c r="BW297" s="47"/>
      <c r="BX297" s="53"/>
      <c r="BY297" s="53"/>
      <c r="BZ297" s="53"/>
      <c r="CA297" s="53"/>
    </row>
    <row r="298" ht="11.25" customHeight="1">
      <c r="A298" s="53"/>
      <c r="B298" s="53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68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53"/>
      <c r="BB298" s="53"/>
      <c r="BC298" s="53"/>
      <c r="BD298" s="53"/>
      <c r="BE298" s="53"/>
      <c r="BF298" s="53"/>
      <c r="BG298" s="53"/>
      <c r="BH298" s="53"/>
      <c r="BI298" s="53"/>
      <c r="BJ298" s="53"/>
      <c r="BK298" s="53"/>
      <c r="BL298" s="53"/>
      <c r="BM298" s="53"/>
      <c r="BN298" s="53"/>
      <c r="BO298" s="53"/>
      <c r="BP298" s="53"/>
      <c r="BQ298" s="53"/>
      <c r="BR298" s="53"/>
      <c r="BS298" s="53"/>
      <c r="BT298" s="53"/>
      <c r="BU298" s="53"/>
      <c r="BV298" s="47"/>
      <c r="BW298" s="47"/>
      <c r="BX298" s="53"/>
      <c r="BY298" s="53"/>
      <c r="BZ298" s="53"/>
      <c r="CA298" s="53"/>
    </row>
    <row r="299" ht="11.25" customHeight="1">
      <c r="A299" s="53"/>
      <c r="B299" s="53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68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  <c r="AA299" s="47"/>
      <c r="AB299" s="47"/>
      <c r="AC299" s="47"/>
      <c r="AD299" s="47"/>
      <c r="AE299" s="47"/>
      <c r="AF299" s="47"/>
      <c r="AG299" s="47"/>
      <c r="AH299" s="47"/>
      <c r="AI299" s="47"/>
      <c r="AJ299" s="47"/>
      <c r="AK299" s="47"/>
      <c r="AL299" s="47"/>
      <c r="AM299" s="47"/>
      <c r="AN299" s="47"/>
      <c r="AO299" s="47"/>
      <c r="AP299" s="47"/>
      <c r="AQ299" s="47"/>
      <c r="AR299" s="47"/>
      <c r="AS299" s="47"/>
      <c r="AT299" s="47"/>
      <c r="AU299" s="47"/>
      <c r="AV299" s="47"/>
      <c r="AW299" s="47"/>
      <c r="AX299" s="47"/>
      <c r="AY299" s="47"/>
      <c r="AZ299" s="47"/>
      <c r="BA299" s="53"/>
      <c r="BB299" s="53"/>
      <c r="BC299" s="53"/>
      <c r="BD299" s="53"/>
      <c r="BE299" s="53"/>
      <c r="BF299" s="53"/>
      <c r="BG299" s="53"/>
      <c r="BH299" s="53"/>
      <c r="BI299" s="53"/>
      <c r="BJ299" s="53"/>
      <c r="BK299" s="53"/>
      <c r="BL299" s="53"/>
      <c r="BM299" s="53"/>
      <c r="BN299" s="53"/>
      <c r="BO299" s="53"/>
      <c r="BP299" s="53"/>
      <c r="BQ299" s="53"/>
      <c r="BR299" s="53"/>
      <c r="BS299" s="53"/>
      <c r="BT299" s="53"/>
      <c r="BU299" s="53"/>
      <c r="BV299" s="47"/>
      <c r="BW299" s="47"/>
      <c r="BX299" s="53"/>
      <c r="BY299" s="53"/>
      <c r="BZ299" s="53"/>
      <c r="CA299" s="53"/>
    </row>
    <row r="300" ht="11.25" customHeight="1">
      <c r="A300" s="53"/>
      <c r="B300" s="53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68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53"/>
      <c r="BB300" s="53"/>
      <c r="BC300" s="53"/>
      <c r="BD300" s="53"/>
      <c r="BE300" s="53"/>
      <c r="BF300" s="53"/>
      <c r="BG300" s="53"/>
      <c r="BH300" s="53"/>
      <c r="BI300" s="53"/>
      <c r="BJ300" s="53"/>
      <c r="BK300" s="53"/>
      <c r="BL300" s="53"/>
      <c r="BM300" s="53"/>
      <c r="BN300" s="53"/>
      <c r="BO300" s="53"/>
      <c r="BP300" s="53"/>
      <c r="BQ300" s="53"/>
      <c r="BR300" s="53"/>
      <c r="BS300" s="53"/>
      <c r="BT300" s="53"/>
      <c r="BU300" s="53"/>
      <c r="BV300" s="47"/>
      <c r="BW300" s="47"/>
      <c r="BX300" s="53"/>
      <c r="BY300" s="53"/>
      <c r="BZ300" s="53"/>
      <c r="CA300" s="5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7.86"/>
    <col customWidth="1" min="4" max="4" width="14.71"/>
    <col customWidth="1" min="5" max="5" width="7.29"/>
    <col customWidth="1" min="6" max="7" width="8.43"/>
    <col customWidth="1" min="8" max="8" width="12.29"/>
    <col customWidth="1" min="9" max="9" width="9.57"/>
    <col customWidth="1" min="10" max="10" width="9.14"/>
    <col customWidth="1" min="11" max="28" width="8.71"/>
  </cols>
  <sheetData>
    <row r="1" ht="12.0" customHeight="1">
      <c r="A1" s="35"/>
      <c r="B1" s="35" t="s">
        <v>488</v>
      </c>
      <c r="C1" s="35" t="s">
        <v>1048</v>
      </c>
      <c r="D1" s="35" t="s">
        <v>1049</v>
      </c>
      <c r="E1" s="69" t="s">
        <v>489</v>
      </c>
      <c r="F1" s="69" t="s">
        <v>490</v>
      </c>
      <c r="G1" s="35" t="s">
        <v>1050</v>
      </c>
      <c r="H1" s="35" t="s">
        <v>1051</v>
      </c>
      <c r="I1" s="35" t="s">
        <v>1052</v>
      </c>
      <c r="J1" s="35" t="s">
        <v>1053</v>
      </c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</row>
    <row r="2" ht="12.0" customHeight="1">
      <c r="A2" s="69" t="s">
        <v>1054</v>
      </c>
      <c r="B2" s="35">
        <v>0.37</v>
      </c>
      <c r="C2" s="35">
        <v>50.0</v>
      </c>
      <c r="D2" s="35" t="s">
        <v>1055</v>
      </c>
      <c r="E2" s="71">
        <v>1.6</v>
      </c>
      <c r="F2" s="71">
        <v>0.9</v>
      </c>
      <c r="G2" s="35">
        <v>0.81</v>
      </c>
      <c r="H2" s="35">
        <v>2930.0</v>
      </c>
      <c r="I2" s="35">
        <v>73.8</v>
      </c>
      <c r="J2" s="35">
        <v>3.0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</row>
    <row r="3" ht="12.0" customHeight="1">
      <c r="A3" s="69" t="s">
        <v>1054</v>
      </c>
      <c r="B3" s="35">
        <v>0.55</v>
      </c>
      <c r="C3" s="35">
        <v>50.0</v>
      </c>
      <c r="D3" s="35" t="s">
        <v>1055</v>
      </c>
      <c r="E3" s="71">
        <v>2.3</v>
      </c>
      <c r="F3" s="71">
        <v>1.3</v>
      </c>
      <c r="G3" s="35">
        <v>0.82</v>
      </c>
      <c r="H3" s="35">
        <v>2930.0</v>
      </c>
      <c r="I3" s="35">
        <v>77.8</v>
      </c>
      <c r="J3" s="35">
        <v>3.0</v>
      </c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</row>
    <row r="4" ht="12.0" customHeight="1">
      <c r="A4" s="69" t="s">
        <v>1054</v>
      </c>
      <c r="B4" s="35">
        <v>0.75</v>
      </c>
      <c r="C4" s="35">
        <v>50.0</v>
      </c>
      <c r="D4" s="35" t="s">
        <v>1055</v>
      </c>
      <c r="E4" s="71">
        <v>3.0</v>
      </c>
      <c r="F4" s="71">
        <v>1.7</v>
      </c>
      <c r="G4" s="35">
        <v>0.82</v>
      </c>
      <c r="H4" s="35">
        <v>2930.0</v>
      </c>
      <c r="I4" s="35">
        <v>80.7</v>
      </c>
      <c r="J4" s="35">
        <v>3.0</v>
      </c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</row>
    <row r="5" ht="12.0" customHeight="1">
      <c r="A5" s="69" t="s">
        <v>1054</v>
      </c>
      <c r="B5" s="35">
        <v>1.1</v>
      </c>
      <c r="C5" s="35">
        <v>50.0</v>
      </c>
      <c r="D5" s="35" t="s">
        <v>1055</v>
      </c>
      <c r="E5" s="71">
        <v>4.2</v>
      </c>
      <c r="F5" s="71">
        <v>2.4</v>
      </c>
      <c r="G5" s="35">
        <v>0.83</v>
      </c>
      <c r="H5" s="35">
        <v>2945.0</v>
      </c>
      <c r="I5" s="35">
        <v>82.7</v>
      </c>
      <c r="J5" s="35">
        <v>3.0</v>
      </c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</row>
    <row r="6" ht="12.0" customHeight="1">
      <c r="A6" s="69" t="s">
        <v>1054</v>
      </c>
      <c r="B6" s="35">
        <v>1.5</v>
      </c>
      <c r="C6" s="35">
        <v>50.0</v>
      </c>
      <c r="D6" s="35" t="s">
        <v>1055</v>
      </c>
      <c r="E6" s="71">
        <v>5.6</v>
      </c>
      <c r="F6" s="71">
        <v>3.2</v>
      </c>
      <c r="G6" s="35">
        <v>0.84</v>
      </c>
      <c r="H6" s="35">
        <v>2940.0</v>
      </c>
      <c r="I6" s="35">
        <v>84.2</v>
      </c>
      <c r="J6" s="35">
        <v>3.0</v>
      </c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</row>
    <row r="7" ht="12.0" customHeight="1">
      <c r="A7" s="69" t="s">
        <v>1054</v>
      </c>
      <c r="B7" s="35">
        <v>2.2</v>
      </c>
      <c r="C7" s="35">
        <v>50.0</v>
      </c>
      <c r="D7" s="35" t="s">
        <v>1055</v>
      </c>
      <c r="E7" s="71">
        <v>7.9</v>
      </c>
      <c r="F7" s="71">
        <v>4.6</v>
      </c>
      <c r="G7" s="35">
        <v>0.85</v>
      </c>
      <c r="H7" s="35">
        <v>2955.0</v>
      </c>
      <c r="I7" s="35">
        <v>85.9</v>
      </c>
      <c r="J7" s="35">
        <v>3.0</v>
      </c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</row>
    <row r="8" ht="12.0" customHeight="1">
      <c r="A8" s="69" t="s">
        <v>1054</v>
      </c>
      <c r="B8" s="35">
        <v>3.0</v>
      </c>
      <c r="C8" s="35">
        <v>50.0</v>
      </c>
      <c r="D8" s="35" t="s">
        <v>1055</v>
      </c>
      <c r="E8" s="71">
        <v>10.4</v>
      </c>
      <c r="F8" s="71">
        <v>6.0</v>
      </c>
      <c r="G8" s="35">
        <v>0.87</v>
      </c>
      <c r="H8" s="35">
        <v>2960.0</v>
      </c>
      <c r="I8" s="35">
        <v>87.1</v>
      </c>
      <c r="J8" s="35">
        <v>3.0</v>
      </c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</row>
    <row r="9" ht="12.0" customHeight="1">
      <c r="A9" s="69" t="s">
        <v>1054</v>
      </c>
      <c r="B9" s="35">
        <v>4.0</v>
      </c>
      <c r="C9" s="35">
        <v>50.0</v>
      </c>
      <c r="D9" s="35" t="s">
        <v>1056</v>
      </c>
      <c r="E9" s="71">
        <v>7.8</v>
      </c>
      <c r="F9" s="71">
        <v>4.5</v>
      </c>
      <c r="G9" s="35">
        <v>0.88</v>
      </c>
      <c r="H9" s="35">
        <v>2960.0</v>
      </c>
      <c r="I9" s="35">
        <v>88.1</v>
      </c>
      <c r="J9" s="35">
        <v>3.0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</row>
    <row r="10" ht="12.0" customHeight="1">
      <c r="A10" s="69" t="s">
        <v>1054</v>
      </c>
      <c r="B10" s="35">
        <v>5.5</v>
      </c>
      <c r="C10" s="35">
        <v>50.0</v>
      </c>
      <c r="D10" s="35" t="s">
        <v>1056</v>
      </c>
      <c r="E10" s="71">
        <v>10.6</v>
      </c>
      <c r="F10" s="71">
        <v>6.1</v>
      </c>
      <c r="G10" s="35">
        <v>0.88</v>
      </c>
      <c r="H10" s="35">
        <v>2930.0</v>
      </c>
      <c r="I10" s="35">
        <v>89.2</v>
      </c>
      <c r="J10" s="35">
        <v>3.0</v>
      </c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</row>
    <row r="11" ht="12.0" customHeight="1">
      <c r="A11" s="69" t="s">
        <v>1054</v>
      </c>
      <c r="B11" s="35">
        <v>7.5</v>
      </c>
      <c r="C11" s="35">
        <v>50.0</v>
      </c>
      <c r="D11" s="35" t="s">
        <v>1056</v>
      </c>
      <c r="E11" s="71">
        <v>14.4</v>
      </c>
      <c r="F11" s="71">
        <v>8.3</v>
      </c>
      <c r="G11" s="35">
        <v>0.88</v>
      </c>
      <c r="H11" s="35">
        <v>2930.0</v>
      </c>
      <c r="I11" s="35">
        <v>90.1</v>
      </c>
      <c r="J11" s="35">
        <v>3.0</v>
      </c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</row>
    <row r="12" ht="12.0" customHeight="1">
      <c r="A12" s="69" t="s">
        <v>1054</v>
      </c>
      <c r="B12" s="35">
        <v>11.0</v>
      </c>
      <c r="C12" s="35">
        <v>50.0</v>
      </c>
      <c r="D12" s="35" t="s">
        <v>1056</v>
      </c>
      <c r="E12" s="71">
        <v>20.6</v>
      </c>
      <c r="F12" s="71">
        <v>11.9</v>
      </c>
      <c r="G12" s="35">
        <v>0.89</v>
      </c>
      <c r="H12" s="35">
        <v>2930.0</v>
      </c>
      <c r="I12" s="35">
        <v>91.2</v>
      </c>
      <c r="J12" s="35">
        <v>3.0</v>
      </c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</row>
    <row r="13" ht="12.0" customHeight="1">
      <c r="A13" s="69" t="s">
        <v>1054</v>
      </c>
      <c r="B13" s="35">
        <v>15.0</v>
      </c>
      <c r="C13" s="35">
        <v>50.0</v>
      </c>
      <c r="D13" s="35" t="s">
        <v>1056</v>
      </c>
      <c r="E13" s="71">
        <v>27.9</v>
      </c>
      <c r="F13" s="71">
        <v>16.0</v>
      </c>
      <c r="G13" s="35">
        <v>0.89</v>
      </c>
      <c r="H13" s="35">
        <v>2945.0</v>
      </c>
      <c r="I13" s="35">
        <v>91.9</v>
      </c>
      <c r="J13" s="35">
        <v>3.0</v>
      </c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</row>
    <row r="14" ht="12.0" customHeight="1">
      <c r="A14" s="69" t="s">
        <v>1054</v>
      </c>
      <c r="B14" s="35">
        <v>18.5</v>
      </c>
      <c r="C14" s="35">
        <v>50.0</v>
      </c>
      <c r="D14" s="35" t="s">
        <v>1056</v>
      </c>
      <c r="E14" s="71">
        <v>34.2</v>
      </c>
      <c r="F14" s="71">
        <v>19.7</v>
      </c>
      <c r="G14" s="35">
        <v>0.89</v>
      </c>
      <c r="H14" s="35">
        <v>2940.0</v>
      </c>
      <c r="I14" s="35">
        <v>92.4</v>
      </c>
      <c r="J14" s="35">
        <v>3.0</v>
      </c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</row>
    <row r="15" ht="12.0" customHeight="1">
      <c r="A15" s="69" t="s">
        <v>1054</v>
      </c>
      <c r="B15" s="35">
        <v>22.0</v>
      </c>
      <c r="C15" s="35">
        <v>50.0</v>
      </c>
      <c r="D15" s="35" t="s">
        <v>1056</v>
      </c>
      <c r="E15" s="71">
        <v>40.5</v>
      </c>
      <c r="F15" s="71">
        <v>23.3</v>
      </c>
      <c r="G15" s="35">
        <v>0.89</v>
      </c>
      <c r="H15" s="35">
        <v>2955.0</v>
      </c>
      <c r="I15" s="35">
        <v>92.7</v>
      </c>
      <c r="J15" s="35">
        <v>3.0</v>
      </c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</row>
    <row r="16" ht="12.0" customHeight="1">
      <c r="A16" s="69" t="s">
        <v>1054</v>
      </c>
      <c r="B16" s="35">
        <v>30.0</v>
      </c>
      <c r="C16" s="35">
        <v>50.0</v>
      </c>
      <c r="D16" s="35" t="s">
        <v>1056</v>
      </c>
      <c r="E16" s="71">
        <v>54.9</v>
      </c>
      <c r="F16" s="71">
        <v>31.6</v>
      </c>
      <c r="G16" s="35">
        <v>0.89</v>
      </c>
      <c r="H16" s="35">
        <v>2960.0</v>
      </c>
      <c r="I16" s="35">
        <v>93.3</v>
      </c>
      <c r="J16" s="35">
        <v>3.0</v>
      </c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</row>
    <row r="17" ht="12.0" customHeight="1">
      <c r="A17" s="69" t="s">
        <v>1054</v>
      </c>
      <c r="B17" s="35">
        <v>37.0</v>
      </c>
      <c r="C17" s="35">
        <v>50.0</v>
      </c>
      <c r="D17" s="35" t="s">
        <v>1056</v>
      </c>
      <c r="E17" s="71">
        <v>67.4</v>
      </c>
      <c r="F17" s="71">
        <v>38.8</v>
      </c>
      <c r="G17" s="35">
        <v>0.89</v>
      </c>
      <c r="H17" s="35">
        <v>2960.0</v>
      </c>
      <c r="I17" s="35">
        <v>93.7</v>
      </c>
      <c r="J17" s="35">
        <v>3.0</v>
      </c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</row>
    <row r="18" ht="12.0" customHeight="1">
      <c r="A18" s="69" t="s">
        <v>1054</v>
      </c>
      <c r="B18" s="35">
        <v>45.0</v>
      </c>
      <c r="C18" s="35">
        <v>50.0</v>
      </c>
      <c r="D18" s="35" t="s">
        <v>1056</v>
      </c>
      <c r="E18" s="71">
        <v>80.8</v>
      </c>
      <c r="F18" s="71">
        <v>46.5</v>
      </c>
      <c r="G18" s="35">
        <v>0.9</v>
      </c>
      <c r="H18" s="35">
        <v>2965.0</v>
      </c>
      <c r="I18" s="35">
        <v>94.0</v>
      </c>
      <c r="J18" s="35">
        <v>3.0</v>
      </c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</row>
    <row r="19" ht="12.0" customHeight="1">
      <c r="A19" s="69" t="s">
        <v>1054</v>
      </c>
      <c r="B19" s="35">
        <v>55.0</v>
      </c>
      <c r="C19" s="35">
        <v>50.0</v>
      </c>
      <c r="D19" s="35" t="s">
        <v>1056</v>
      </c>
      <c r="E19" s="71">
        <v>98.5</v>
      </c>
      <c r="F19" s="71">
        <v>56.7</v>
      </c>
      <c r="G19" s="35">
        <v>0.9</v>
      </c>
      <c r="H19" s="35">
        <v>2970.0</v>
      </c>
      <c r="I19" s="35">
        <v>94.3</v>
      </c>
      <c r="J19" s="35">
        <v>3.0</v>
      </c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</row>
    <row r="20" ht="12.0" customHeight="1">
      <c r="A20" s="69" t="s">
        <v>1054</v>
      </c>
      <c r="B20" s="35">
        <v>75.0</v>
      </c>
      <c r="C20" s="35">
        <v>50.0</v>
      </c>
      <c r="D20" s="35" t="s">
        <v>1056</v>
      </c>
      <c r="E20" s="71">
        <v>133.7</v>
      </c>
      <c r="F20" s="71">
        <v>77.0</v>
      </c>
      <c r="G20" s="35">
        <v>0.9</v>
      </c>
      <c r="H20" s="35">
        <v>2970.0</v>
      </c>
      <c r="I20" s="35">
        <v>94.7</v>
      </c>
      <c r="J20" s="35">
        <v>3.0</v>
      </c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</row>
    <row r="21" ht="12.0" customHeight="1">
      <c r="A21" s="69" t="s">
        <v>1054</v>
      </c>
      <c r="B21" s="35">
        <v>90.0</v>
      </c>
      <c r="C21" s="35">
        <v>50.0</v>
      </c>
      <c r="D21" s="35" t="s">
        <v>1056</v>
      </c>
      <c r="E21" s="71">
        <v>159.9</v>
      </c>
      <c r="F21" s="71">
        <v>92.1</v>
      </c>
      <c r="G21" s="35">
        <v>0.9</v>
      </c>
      <c r="H21" s="35">
        <v>2970.0</v>
      </c>
      <c r="I21" s="35">
        <v>95.0</v>
      </c>
      <c r="J21" s="35">
        <v>3.0</v>
      </c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</row>
    <row r="22" ht="12.0" customHeight="1">
      <c r="A22" s="69" t="s">
        <v>1054</v>
      </c>
      <c r="B22" s="35">
        <v>110.0</v>
      </c>
      <c r="C22" s="35">
        <v>50.0</v>
      </c>
      <c r="D22" s="35" t="s">
        <v>1056</v>
      </c>
      <c r="E22" s="71">
        <v>195.1</v>
      </c>
      <c r="F22" s="71">
        <v>112.3</v>
      </c>
      <c r="G22" s="35">
        <v>0.9</v>
      </c>
      <c r="H22" s="35">
        <v>2970.0</v>
      </c>
      <c r="I22" s="35">
        <v>95.2</v>
      </c>
      <c r="J22" s="35">
        <v>3.0</v>
      </c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</row>
    <row r="23" ht="12.0" customHeight="1">
      <c r="A23" s="70"/>
      <c r="B23" s="70"/>
      <c r="C23" s="70"/>
      <c r="D23" s="70"/>
      <c r="E23" s="70"/>
      <c r="F23" s="70"/>
      <c r="G23" s="70"/>
      <c r="H23" s="70"/>
      <c r="I23" s="70"/>
      <c r="J23" s="35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</row>
    <row r="24" ht="12.0" customHeight="1">
      <c r="A24" s="70"/>
      <c r="B24" s="70"/>
      <c r="C24" s="70"/>
      <c r="D24" s="70"/>
      <c r="E24" s="70"/>
      <c r="F24" s="70"/>
      <c r="G24" s="70"/>
      <c r="H24" s="70"/>
      <c r="I24" s="70"/>
      <c r="J24" s="35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</row>
    <row r="25" ht="12.0" customHeight="1">
      <c r="A25" s="70"/>
      <c r="B25" s="70"/>
      <c r="C25" s="70"/>
      <c r="D25" s="70"/>
      <c r="E25" s="70"/>
      <c r="F25" s="70"/>
      <c r="G25" s="70"/>
      <c r="H25" s="70"/>
      <c r="I25" s="70"/>
      <c r="J25" s="35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</row>
    <row r="26" ht="12.0" customHeight="1">
      <c r="A26" s="70"/>
      <c r="B26" s="70"/>
      <c r="C26" s="70"/>
      <c r="D26" s="70"/>
      <c r="E26" s="70"/>
      <c r="F26" s="70"/>
      <c r="G26" s="70"/>
      <c r="H26" s="70"/>
      <c r="I26" s="70"/>
      <c r="J26" s="35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</row>
    <row r="27" ht="12.0" customHeight="1">
      <c r="A27" s="70"/>
      <c r="B27" s="70"/>
      <c r="C27" s="70"/>
      <c r="D27" s="70"/>
      <c r="E27" s="70"/>
      <c r="F27" s="70"/>
      <c r="G27" s="70"/>
      <c r="H27" s="70"/>
      <c r="I27" s="70"/>
      <c r="J27" s="35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</row>
    <row r="28" ht="12.0" customHeight="1">
      <c r="A28" s="70"/>
      <c r="B28" s="70"/>
      <c r="C28" s="70"/>
      <c r="D28" s="70"/>
      <c r="E28" s="70"/>
      <c r="F28" s="70"/>
      <c r="G28" s="70"/>
      <c r="H28" s="70"/>
      <c r="I28" s="70"/>
      <c r="J28" s="35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</row>
    <row r="29" ht="12.0" customHeight="1">
      <c r="A29" s="70"/>
      <c r="B29" s="70"/>
      <c r="C29" s="70"/>
      <c r="D29" s="70"/>
      <c r="E29" s="70"/>
      <c r="F29" s="70"/>
      <c r="G29" s="70"/>
      <c r="H29" s="70"/>
      <c r="I29" s="70"/>
      <c r="J29" s="35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</row>
    <row r="30" ht="12.0" customHeight="1">
      <c r="A30" s="70"/>
      <c r="B30" s="70"/>
      <c r="C30" s="70"/>
      <c r="D30" s="70"/>
      <c r="E30" s="70"/>
      <c r="F30" s="70"/>
      <c r="G30" s="70"/>
      <c r="H30" s="70"/>
      <c r="I30" s="70"/>
      <c r="J30" s="35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</row>
    <row r="31" ht="12.0" customHeight="1">
      <c r="A31" s="70"/>
      <c r="B31" s="70"/>
      <c r="C31" s="70"/>
      <c r="D31" s="70"/>
      <c r="E31" s="70"/>
      <c r="F31" s="70"/>
      <c r="G31" s="70"/>
      <c r="H31" s="70"/>
      <c r="I31" s="70"/>
      <c r="J31" s="35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</row>
    <row r="32" ht="12.0" customHeight="1">
      <c r="A32" s="70"/>
      <c r="B32" s="70"/>
      <c r="C32" s="70"/>
      <c r="D32" s="70"/>
      <c r="E32" s="70"/>
      <c r="F32" s="70"/>
      <c r="G32" s="70"/>
      <c r="H32" s="70"/>
      <c r="I32" s="70"/>
      <c r="J32" s="35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</row>
    <row r="33" ht="12.0" customHeight="1">
      <c r="A33" s="70"/>
      <c r="B33" s="70"/>
      <c r="C33" s="70"/>
      <c r="D33" s="70"/>
      <c r="E33" s="70"/>
      <c r="F33" s="70"/>
      <c r="G33" s="70"/>
      <c r="H33" s="70"/>
      <c r="I33" s="70"/>
      <c r="J33" s="35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</row>
    <row r="34" ht="12.0" customHeight="1">
      <c r="A34" s="70"/>
      <c r="B34" s="70"/>
      <c r="C34" s="70"/>
      <c r="D34" s="70"/>
      <c r="E34" s="70"/>
      <c r="F34" s="70"/>
      <c r="G34" s="70"/>
      <c r="H34" s="70"/>
      <c r="I34" s="70"/>
      <c r="J34" s="35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</row>
    <row r="35" ht="12.0" customHeight="1">
      <c r="A35" s="70"/>
      <c r="B35" s="70"/>
      <c r="C35" s="70"/>
      <c r="D35" s="70"/>
      <c r="E35" s="70"/>
      <c r="F35" s="70"/>
      <c r="G35" s="70"/>
      <c r="H35" s="70"/>
      <c r="I35" s="70"/>
      <c r="J35" s="35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</row>
    <row r="36" ht="12.0" customHeight="1">
      <c r="A36" s="70"/>
      <c r="B36" s="70"/>
      <c r="C36" s="70"/>
      <c r="D36" s="70"/>
      <c r="E36" s="70"/>
      <c r="F36" s="70"/>
      <c r="G36" s="70"/>
      <c r="H36" s="70"/>
      <c r="I36" s="70"/>
      <c r="J36" s="35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</row>
    <row r="37" ht="12.0" customHeight="1">
      <c r="A37" s="70"/>
      <c r="B37" s="70"/>
      <c r="C37" s="70"/>
      <c r="D37" s="70"/>
      <c r="E37" s="70"/>
      <c r="F37" s="70"/>
      <c r="G37" s="70"/>
      <c r="H37" s="70"/>
      <c r="I37" s="70"/>
      <c r="J37" s="35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</row>
    <row r="38" ht="12.0" customHeight="1">
      <c r="A38" s="70"/>
      <c r="B38" s="70"/>
      <c r="C38" s="70"/>
      <c r="D38" s="70"/>
      <c r="E38" s="70"/>
      <c r="F38" s="70"/>
      <c r="G38" s="70"/>
      <c r="H38" s="70"/>
      <c r="I38" s="70"/>
      <c r="J38" s="35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</row>
    <row r="39" ht="12.0" customHeight="1">
      <c r="A39" s="70"/>
      <c r="B39" s="70"/>
      <c r="C39" s="70"/>
      <c r="D39" s="70"/>
      <c r="E39" s="70"/>
      <c r="F39" s="70"/>
      <c r="G39" s="70"/>
      <c r="H39" s="70"/>
      <c r="I39" s="70"/>
      <c r="J39" s="35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</row>
    <row r="40" ht="12.0" customHeight="1">
      <c r="A40" s="70"/>
      <c r="B40" s="70"/>
      <c r="C40" s="70"/>
      <c r="D40" s="70"/>
      <c r="E40" s="70"/>
      <c r="F40" s="70"/>
      <c r="G40" s="70"/>
      <c r="H40" s="70"/>
      <c r="I40" s="70"/>
      <c r="J40" s="35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</row>
    <row r="41" ht="12.0" customHeight="1">
      <c r="A41" s="70"/>
      <c r="B41" s="70"/>
      <c r="C41" s="70"/>
      <c r="D41" s="70"/>
      <c r="E41" s="70"/>
      <c r="F41" s="70"/>
      <c r="G41" s="70"/>
      <c r="H41" s="70"/>
      <c r="I41" s="70"/>
      <c r="J41" s="35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</row>
    <row r="42" ht="12.0" customHeight="1">
      <c r="A42" s="70"/>
      <c r="B42" s="70"/>
      <c r="C42" s="70"/>
      <c r="D42" s="70"/>
      <c r="E42" s="70"/>
      <c r="F42" s="70"/>
      <c r="G42" s="70"/>
      <c r="H42" s="70"/>
      <c r="I42" s="70"/>
      <c r="J42" s="35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</row>
    <row r="43" ht="12.0" customHeight="1">
      <c r="A43" s="70"/>
      <c r="B43" s="70"/>
      <c r="C43" s="70"/>
      <c r="D43" s="70"/>
      <c r="E43" s="70"/>
      <c r="F43" s="70"/>
      <c r="G43" s="70"/>
      <c r="H43" s="70"/>
      <c r="I43" s="70"/>
      <c r="J43" s="35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</row>
    <row r="44" ht="12.0" customHeight="1">
      <c r="A44" s="70"/>
      <c r="B44" s="70"/>
      <c r="C44" s="70"/>
      <c r="D44" s="70"/>
      <c r="E44" s="70"/>
      <c r="F44" s="70"/>
      <c r="G44" s="70"/>
      <c r="H44" s="70"/>
      <c r="I44" s="70"/>
      <c r="J44" s="35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</row>
    <row r="45" ht="12.0" customHeight="1">
      <c r="A45" s="70"/>
      <c r="B45" s="70"/>
      <c r="C45" s="70"/>
      <c r="D45" s="70"/>
      <c r="E45" s="70"/>
      <c r="F45" s="70"/>
      <c r="G45" s="70"/>
      <c r="H45" s="70"/>
      <c r="I45" s="70"/>
      <c r="J45" s="35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</row>
    <row r="46" ht="12.0" customHeight="1">
      <c r="A46" s="70"/>
      <c r="B46" s="70"/>
      <c r="C46" s="70"/>
      <c r="D46" s="70"/>
      <c r="E46" s="70"/>
      <c r="F46" s="70"/>
      <c r="G46" s="70"/>
      <c r="H46" s="70"/>
      <c r="I46" s="70"/>
      <c r="J46" s="35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</row>
    <row r="47" ht="12.0" customHeight="1">
      <c r="A47" s="70"/>
      <c r="B47" s="70"/>
      <c r="C47" s="70"/>
      <c r="D47" s="70"/>
      <c r="E47" s="70"/>
      <c r="F47" s="70"/>
      <c r="G47" s="70"/>
      <c r="H47" s="70"/>
      <c r="I47" s="70"/>
      <c r="J47" s="35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</row>
    <row r="48" ht="12.0" customHeight="1">
      <c r="A48" s="70"/>
      <c r="B48" s="70"/>
      <c r="C48" s="70"/>
      <c r="D48" s="70"/>
      <c r="E48" s="70"/>
      <c r="F48" s="70"/>
      <c r="G48" s="70"/>
      <c r="H48" s="70"/>
      <c r="I48" s="70"/>
      <c r="J48" s="35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</row>
    <row r="49" ht="12.0" customHeight="1">
      <c r="A49" s="70"/>
      <c r="B49" s="70"/>
      <c r="C49" s="70"/>
      <c r="D49" s="70"/>
      <c r="E49" s="70"/>
      <c r="F49" s="70"/>
      <c r="G49" s="70"/>
      <c r="H49" s="70"/>
      <c r="I49" s="70"/>
      <c r="J49" s="35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</row>
    <row r="50" ht="12.0" customHeight="1">
      <c r="A50" s="70"/>
      <c r="B50" s="70"/>
      <c r="C50" s="70"/>
      <c r="D50" s="70"/>
      <c r="E50" s="70"/>
      <c r="F50" s="70"/>
      <c r="G50" s="70"/>
      <c r="H50" s="70"/>
      <c r="I50" s="70"/>
      <c r="J50" s="35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</row>
    <row r="51" ht="12.0" customHeight="1">
      <c r="A51" s="70"/>
      <c r="B51" s="70"/>
      <c r="C51" s="70"/>
      <c r="D51" s="70"/>
      <c r="E51" s="70"/>
      <c r="F51" s="70"/>
      <c r="G51" s="70"/>
      <c r="H51" s="70"/>
      <c r="I51" s="70"/>
      <c r="J51" s="35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</row>
    <row r="52" ht="12.0" customHeight="1">
      <c r="A52" s="70"/>
      <c r="B52" s="70"/>
      <c r="C52" s="70"/>
      <c r="D52" s="70"/>
      <c r="E52" s="70"/>
      <c r="F52" s="70"/>
      <c r="G52" s="70"/>
      <c r="H52" s="70"/>
      <c r="I52" s="70"/>
      <c r="J52" s="35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</row>
    <row r="53" ht="12.0" customHeight="1">
      <c r="A53" s="70"/>
      <c r="B53" s="70"/>
      <c r="C53" s="70"/>
      <c r="D53" s="70"/>
      <c r="E53" s="70"/>
      <c r="F53" s="70"/>
      <c r="G53" s="70"/>
      <c r="H53" s="70"/>
      <c r="I53" s="70"/>
      <c r="J53" s="35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</row>
    <row r="54" ht="12.0" customHeight="1">
      <c r="A54" s="70"/>
      <c r="B54" s="70"/>
      <c r="C54" s="70"/>
      <c r="D54" s="70"/>
      <c r="E54" s="70"/>
      <c r="F54" s="70"/>
      <c r="G54" s="70"/>
      <c r="H54" s="70"/>
      <c r="I54" s="70"/>
      <c r="J54" s="35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</row>
    <row r="55" ht="12.0" customHeight="1">
      <c r="A55" s="70"/>
      <c r="B55" s="70"/>
      <c r="C55" s="70"/>
      <c r="D55" s="70"/>
      <c r="E55" s="70"/>
      <c r="F55" s="70"/>
      <c r="G55" s="70"/>
      <c r="H55" s="70"/>
      <c r="I55" s="70"/>
      <c r="J55" s="35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</row>
    <row r="56" ht="12.0" customHeight="1">
      <c r="A56" s="70"/>
      <c r="B56" s="70"/>
      <c r="C56" s="70"/>
      <c r="D56" s="70"/>
      <c r="E56" s="70"/>
      <c r="F56" s="70"/>
      <c r="G56" s="70"/>
      <c r="H56" s="70"/>
      <c r="I56" s="70"/>
      <c r="J56" s="35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</row>
    <row r="57" ht="12.0" customHeight="1">
      <c r="A57" s="70"/>
      <c r="B57" s="70"/>
      <c r="C57" s="70"/>
      <c r="D57" s="70"/>
      <c r="E57" s="70"/>
      <c r="F57" s="70"/>
      <c r="G57" s="70"/>
      <c r="H57" s="70"/>
      <c r="I57" s="70"/>
      <c r="J57" s="35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</row>
    <row r="58" ht="12.0" customHeight="1">
      <c r="A58" s="70"/>
      <c r="B58" s="70"/>
      <c r="C58" s="70"/>
      <c r="D58" s="70"/>
      <c r="E58" s="70"/>
      <c r="F58" s="70"/>
      <c r="G58" s="70"/>
      <c r="H58" s="70"/>
      <c r="I58" s="70"/>
      <c r="J58" s="35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</row>
    <row r="59" ht="12.0" customHeight="1">
      <c r="A59" s="70"/>
      <c r="B59" s="70"/>
      <c r="C59" s="70"/>
      <c r="D59" s="70"/>
      <c r="E59" s="70"/>
      <c r="F59" s="70"/>
      <c r="G59" s="70"/>
      <c r="H59" s="70"/>
      <c r="I59" s="70"/>
      <c r="J59" s="35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</row>
    <row r="60" ht="12.0" customHeight="1">
      <c r="A60" s="70"/>
      <c r="B60" s="70"/>
      <c r="C60" s="70"/>
      <c r="D60" s="70"/>
      <c r="E60" s="70"/>
      <c r="F60" s="70"/>
      <c r="G60" s="70"/>
      <c r="H60" s="70"/>
      <c r="I60" s="70"/>
      <c r="J60" s="35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</row>
    <row r="61" ht="12.0" customHeight="1">
      <c r="A61" s="70"/>
      <c r="B61" s="70"/>
      <c r="C61" s="70"/>
      <c r="D61" s="70"/>
      <c r="E61" s="70"/>
      <c r="F61" s="70"/>
      <c r="G61" s="70"/>
      <c r="H61" s="70"/>
      <c r="I61" s="70"/>
      <c r="J61" s="35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</row>
    <row r="62" ht="12.0" customHeight="1">
      <c r="A62" s="70"/>
      <c r="B62" s="70"/>
      <c r="C62" s="70"/>
      <c r="D62" s="70"/>
      <c r="E62" s="70"/>
      <c r="F62" s="70"/>
      <c r="G62" s="70"/>
      <c r="H62" s="70"/>
      <c r="I62" s="70"/>
      <c r="J62" s="35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</row>
    <row r="63" ht="12.0" customHeight="1">
      <c r="A63" s="70"/>
      <c r="B63" s="70"/>
      <c r="C63" s="70"/>
      <c r="D63" s="70"/>
      <c r="E63" s="70"/>
      <c r="F63" s="70"/>
      <c r="G63" s="70"/>
      <c r="H63" s="70"/>
      <c r="I63" s="70"/>
      <c r="J63" s="35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</row>
    <row r="64" ht="12.0" customHeight="1">
      <c r="A64" s="70"/>
      <c r="B64" s="70"/>
      <c r="C64" s="70"/>
      <c r="D64" s="70"/>
      <c r="E64" s="70"/>
      <c r="F64" s="70"/>
      <c r="G64" s="70"/>
      <c r="H64" s="70"/>
      <c r="I64" s="70"/>
      <c r="J64" s="35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</row>
    <row r="65" ht="12.0" customHeight="1">
      <c r="A65" s="70"/>
      <c r="B65" s="70"/>
      <c r="C65" s="70"/>
      <c r="D65" s="70"/>
      <c r="E65" s="70"/>
      <c r="F65" s="70"/>
      <c r="G65" s="70"/>
      <c r="H65" s="70"/>
      <c r="I65" s="70"/>
      <c r="J65" s="35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</row>
    <row r="66" ht="12.0" customHeight="1">
      <c r="A66" s="70"/>
      <c r="B66" s="70"/>
      <c r="C66" s="70"/>
      <c r="D66" s="70"/>
      <c r="E66" s="70"/>
      <c r="F66" s="70"/>
      <c r="G66" s="70"/>
      <c r="H66" s="70"/>
      <c r="I66" s="70"/>
      <c r="J66" s="35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</row>
    <row r="67" ht="12.0" customHeight="1">
      <c r="A67" s="70"/>
      <c r="B67" s="70"/>
      <c r="C67" s="70"/>
      <c r="D67" s="70"/>
      <c r="E67" s="70"/>
      <c r="F67" s="70"/>
      <c r="G67" s="70"/>
      <c r="H67" s="70"/>
      <c r="I67" s="70"/>
      <c r="J67" s="35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</row>
    <row r="68" ht="12.0" customHeight="1">
      <c r="A68" s="70"/>
      <c r="B68" s="70"/>
      <c r="C68" s="70"/>
      <c r="D68" s="70"/>
      <c r="E68" s="70"/>
      <c r="F68" s="70"/>
      <c r="G68" s="70"/>
      <c r="H68" s="70"/>
      <c r="I68" s="70"/>
      <c r="J68" s="35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</row>
    <row r="69" ht="12.0" customHeight="1">
      <c r="A69" s="70"/>
      <c r="B69" s="70"/>
      <c r="C69" s="70"/>
      <c r="D69" s="70"/>
      <c r="E69" s="70"/>
      <c r="F69" s="70"/>
      <c r="G69" s="70"/>
      <c r="H69" s="70"/>
      <c r="I69" s="70"/>
      <c r="J69" s="35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</row>
    <row r="70" ht="12.0" customHeight="1">
      <c r="A70" s="70"/>
      <c r="B70" s="70"/>
      <c r="C70" s="70"/>
      <c r="D70" s="70"/>
      <c r="E70" s="70"/>
      <c r="F70" s="70"/>
      <c r="G70" s="70"/>
      <c r="H70" s="70"/>
      <c r="I70" s="70"/>
      <c r="J70" s="35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</row>
    <row r="71" ht="12.0" customHeight="1">
      <c r="A71" s="70"/>
      <c r="B71" s="70"/>
      <c r="C71" s="70"/>
      <c r="D71" s="70"/>
      <c r="E71" s="70"/>
      <c r="F71" s="70"/>
      <c r="G71" s="70"/>
      <c r="H71" s="70"/>
      <c r="I71" s="70"/>
      <c r="J71" s="35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</row>
    <row r="72" ht="12.0" customHeight="1">
      <c r="A72" s="70"/>
      <c r="B72" s="70"/>
      <c r="C72" s="70"/>
      <c r="D72" s="70"/>
      <c r="E72" s="70"/>
      <c r="F72" s="70"/>
      <c r="G72" s="70"/>
      <c r="H72" s="70"/>
      <c r="I72" s="70"/>
      <c r="J72" s="35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</row>
    <row r="73" ht="12.0" customHeight="1">
      <c r="A73" s="70"/>
      <c r="B73" s="70"/>
      <c r="C73" s="70"/>
      <c r="D73" s="70"/>
      <c r="E73" s="70"/>
      <c r="F73" s="70"/>
      <c r="G73" s="70"/>
      <c r="H73" s="70"/>
      <c r="I73" s="70"/>
      <c r="J73" s="35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</row>
    <row r="74" ht="12.0" customHeight="1">
      <c r="A74" s="70"/>
      <c r="B74" s="70"/>
      <c r="C74" s="70"/>
      <c r="D74" s="70"/>
      <c r="E74" s="70"/>
      <c r="F74" s="70"/>
      <c r="G74" s="70"/>
      <c r="H74" s="70"/>
      <c r="I74" s="70"/>
      <c r="J74" s="35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</row>
    <row r="75" ht="12.0" customHeight="1">
      <c r="A75" s="70"/>
      <c r="B75" s="70"/>
      <c r="C75" s="70"/>
      <c r="D75" s="70"/>
      <c r="E75" s="70"/>
      <c r="F75" s="70"/>
      <c r="G75" s="70"/>
      <c r="H75" s="70"/>
      <c r="I75" s="70"/>
      <c r="J75" s="35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</row>
    <row r="76" ht="12.0" customHeight="1">
      <c r="A76" s="70"/>
      <c r="B76" s="70"/>
      <c r="C76" s="70"/>
      <c r="D76" s="70"/>
      <c r="E76" s="70"/>
      <c r="F76" s="70"/>
      <c r="G76" s="70"/>
      <c r="H76" s="70"/>
      <c r="I76" s="70"/>
      <c r="J76" s="35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</row>
    <row r="77" ht="12.0" customHeight="1">
      <c r="A77" s="70"/>
      <c r="B77" s="70"/>
      <c r="C77" s="70"/>
      <c r="D77" s="70"/>
      <c r="E77" s="70"/>
      <c r="F77" s="70"/>
      <c r="G77" s="70"/>
      <c r="H77" s="70"/>
      <c r="I77" s="70"/>
      <c r="J77" s="35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</row>
    <row r="78" ht="12.0" customHeight="1">
      <c r="A78" s="70"/>
      <c r="B78" s="70"/>
      <c r="C78" s="70"/>
      <c r="D78" s="70"/>
      <c r="E78" s="70"/>
      <c r="F78" s="70"/>
      <c r="G78" s="70"/>
      <c r="H78" s="70"/>
      <c r="I78" s="70"/>
      <c r="J78" s="35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</row>
    <row r="79" ht="12.0" customHeight="1">
      <c r="A79" s="70"/>
      <c r="B79" s="70"/>
      <c r="C79" s="70"/>
      <c r="D79" s="70"/>
      <c r="E79" s="70"/>
      <c r="F79" s="70"/>
      <c r="G79" s="70"/>
      <c r="H79" s="70"/>
      <c r="I79" s="70"/>
      <c r="J79" s="35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</row>
    <row r="80" ht="12.0" customHeight="1">
      <c r="A80" s="70"/>
      <c r="B80" s="70"/>
      <c r="C80" s="70"/>
      <c r="D80" s="70"/>
      <c r="E80" s="70"/>
      <c r="F80" s="70"/>
      <c r="G80" s="70"/>
      <c r="H80" s="70"/>
      <c r="I80" s="70"/>
      <c r="J80" s="35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</row>
    <row r="81" ht="12.0" customHeight="1">
      <c r="A81" s="70"/>
      <c r="B81" s="70"/>
      <c r="C81" s="70"/>
      <c r="D81" s="70"/>
      <c r="E81" s="70"/>
      <c r="F81" s="70"/>
      <c r="G81" s="70"/>
      <c r="H81" s="70"/>
      <c r="I81" s="70"/>
      <c r="J81" s="35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</row>
    <row r="82" ht="12.0" customHeight="1">
      <c r="A82" s="70"/>
      <c r="B82" s="70"/>
      <c r="C82" s="70"/>
      <c r="D82" s="70"/>
      <c r="E82" s="70"/>
      <c r="F82" s="70"/>
      <c r="G82" s="70"/>
      <c r="H82" s="70"/>
      <c r="I82" s="70"/>
      <c r="J82" s="35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</row>
    <row r="83" ht="12.0" customHeight="1">
      <c r="A83" s="70"/>
      <c r="B83" s="70"/>
      <c r="C83" s="70"/>
      <c r="D83" s="70"/>
      <c r="E83" s="70"/>
      <c r="F83" s="70"/>
      <c r="G83" s="70"/>
      <c r="H83" s="70"/>
      <c r="I83" s="70"/>
      <c r="J83" s="35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</row>
    <row r="84" ht="12.0" customHeight="1">
      <c r="A84" s="70"/>
      <c r="B84" s="70"/>
      <c r="C84" s="70"/>
      <c r="D84" s="70"/>
      <c r="E84" s="70"/>
      <c r="F84" s="70"/>
      <c r="G84" s="70"/>
      <c r="H84" s="70"/>
      <c r="I84" s="70"/>
      <c r="J84" s="35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</row>
    <row r="85" ht="12.0" customHeight="1">
      <c r="A85" s="70"/>
      <c r="B85" s="70"/>
      <c r="C85" s="70"/>
      <c r="D85" s="70"/>
      <c r="E85" s="70"/>
      <c r="F85" s="70"/>
      <c r="G85" s="70"/>
      <c r="H85" s="70"/>
      <c r="I85" s="70"/>
      <c r="J85" s="35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</row>
    <row r="86" ht="12.0" customHeight="1">
      <c r="A86" s="70"/>
      <c r="B86" s="70"/>
      <c r="C86" s="70"/>
      <c r="D86" s="70"/>
      <c r="E86" s="70"/>
      <c r="F86" s="70"/>
      <c r="G86" s="70"/>
      <c r="H86" s="70"/>
      <c r="I86" s="70"/>
      <c r="J86" s="35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</row>
    <row r="87" ht="12.0" customHeight="1">
      <c r="A87" s="70"/>
      <c r="B87" s="70"/>
      <c r="C87" s="70"/>
      <c r="D87" s="70"/>
      <c r="E87" s="70"/>
      <c r="F87" s="70"/>
      <c r="G87" s="70"/>
      <c r="H87" s="70"/>
      <c r="I87" s="70"/>
      <c r="J87" s="35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</row>
    <row r="88" ht="12.0" customHeight="1">
      <c r="A88" s="70"/>
      <c r="B88" s="70"/>
      <c r="C88" s="70"/>
      <c r="D88" s="70"/>
      <c r="E88" s="70"/>
      <c r="F88" s="70"/>
      <c r="G88" s="70"/>
      <c r="H88" s="70"/>
      <c r="I88" s="70"/>
      <c r="J88" s="35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</row>
    <row r="89" ht="12.0" customHeight="1">
      <c r="A89" s="70"/>
      <c r="B89" s="70"/>
      <c r="C89" s="70"/>
      <c r="D89" s="70"/>
      <c r="E89" s="70"/>
      <c r="F89" s="70"/>
      <c r="G89" s="70"/>
      <c r="H89" s="70"/>
      <c r="I89" s="70"/>
      <c r="J89" s="35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</row>
    <row r="90" ht="12.0" customHeight="1">
      <c r="A90" s="70"/>
      <c r="B90" s="70"/>
      <c r="C90" s="70"/>
      <c r="D90" s="70"/>
      <c r="E90" s="70"/>
      <c r="F90" s="70"/>
      <c r="G90" s="70"/>
      <c r="H90" s="70"/>
      <c r="I90" s="70"/>
      <c r="J90" s="35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</row>
    <row r="91" ht="12.0" customHeight="1">
      <c r="A91" s="70"/>
      <c r="B91" s="70"/>
      <c r="C91" s="70"/>
      <c r="D91" s="70"/>
      <c r="E91" s="70"/>
      <c r="F91" s="70"/>
      <c r="G91" s="70"/>
      <c r="H91" s="70"/>
      <c r="I91" s="70"/>
      <c r="J91" s="35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</row>
    <row r="92" ht="12.0" customHeight="1">
      <c r="A92" s="70"/>
      <c r="B92" s="70"/>
      <c r="C92" s="70"/>
      <c r="D92" s="70"/>
      <c r="E92" s="70"/>
      <c r="F92" s="70"/>
      <c r="G92" s="70"/>
      <c r="H92" s="70"/>
      <c r="I92" s="70"/>
      <c r="J92" s="35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</row>
    <row r="93" ht="12.0" customHeight="1">
      <c r="A93" s="70"/>
      <c r="B93" s="70"/>
      <c r="C93" s="70"/>
      <c r="D93" s="70"/>
      <c r="E93" s="70"/>
      <c r="F93" s="70"/>
      <c r="G93" s="70"/>
      <c r="H93" s="70"/>
      <c r="I93" s="70"/>
      <c r="J93" s="35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</row>
    <row r="94" ht="12.0" customHeight="1">
      <c r="A94" s="70"/>
      <c r="B94" s="70"/>
      <c r="C94" s="70"/>
      <c r="D94" s="70"/>
      <c r="E94" s="70"/>
      <c r="F94" s="70"/>
      <c r="G94" s="70"/>
      <c r="H94" s="70"/>
      <c r="I94" s="70"/>
      <c r="J94" s="35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</row>
    <row r="95" ht="12.0" customHeight="1">
      <c r="A95" s="70"/>
      <c r="B95" s="70"/>
      <c r="C95" s="70"/>
      <c r="D95" s="70"/>
      <c r="E95" s="70"/>
      <c r="F95" s="70"/>
      <c r="G95" s="70"/>
      <c r="H95" s="70"/>
      <c r="I95" s="70"/>
      <c r="J95" s="35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</row>
    <row r="96" ht="12.0" customHeight="1">
      <c r="A96" s="70"/>
      <c r="B96" s="70"/>
      <c r="C96" s="70"/>
      <c r="D96" s="70"/>
      <c r="E96" s="70"/>
      <c r="F96" s="70"/>
      <c r="G96" s="70"/>
      <c r="H96" s="70"/>
      <c r="I96" s="70"/>
      <c r="J96" s="35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</row>
    <row r="97" ht="12.0" customHeight="1">
      <c r="A97" s="70"/>
      <c r="B97" s="70"/>
      <c r="C97" s="70"/>
      <c r="D97" s="70"/>
      <c r="E97" s="70"/>
      <c r="F97" s="70"/>
      <c r="G97" s="70"/>
      <c r="H97" s="70"/>
      <c r="I97" s="70"/>
      <c r="J97" s="35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</row>
    <row r="98" ht="12.0" customHeight="1">
      <c r="A98" s="70"/>
      <c r="B98" s="70"/>
      <c r="C98" s="70"/>
      <c r="D98" s="70"/>
      <c r="E98" s="70"/>
      <c r="F98" s="70"/>
      <c r="G98" s="70"/>
      <c r="H98" s="70"/>
      <c r="I98" s="70"/>
      <c r="J98" s="35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</row>
    <row r="99" ht="12.0" customHeight="1">
      <c r="A99" s="70"/>
      <c r="B99" s="70"/>
      <c r="C99" s="70"/>
      <c r="D99" s="70"/>
      <c r="E99" s="70"/>
      <c r="F99" s="70"/>
      <c r="G99" s="70"/>
      <c r="H99" s="70"/>
      <c r="I99" s="70"/>
      <c r="J99" s="35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</row>
    <row r="100" ht="12.0" customHeight="1">
      <c r="A100" s="70"/>
      <c r="B100" s="70"/>
      <c r="C100" s="70"/>
      <c r="D100" s="70"/>
      <c r="E100" s="70"/>
      <c r="F100" s="70"/>
      <c r="G100" s="70"/>
      <c r="H100" s="70"/>
      <c r="I100" s="70"/>
      <c r="J100" s="35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</row>
    <row r="101" ht="12.0" customHeight="1">
      <c r="A101" s="70"/>
      <c r="B101" s="70"/>
      <c r="C101" s="70"/>
      <c r="D101" s="70"/>
      <c r="E101" s="70"/>
      <c r="F101" s="70"/>
      <c r="G101" s="70"/>
      <c r="H101" s="70"/>
      <c r="I101" s="70"/>
      <c r="J101" s="35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</row>
    <row r="102" ht="12.0" customHeight="1">
      <c r="A102" s="70"/>
      <c r="B102" s="70"/>
      <c r="C102" s="70"/>
      <c r="D102" s="70"/>
      <c r="E102" s="70"/>
      <c r="F102" s="70"/>
      <c r="G102" s="70"/>
      <c r="H102" s="70"/>
      <c r="I102" s="70"/>
      <c r="J102" s="35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</row>
    <row r="103" ht="12.0" customHeight="1">
      <c r="A103" s="70"/>
      <c r="B103" s="70"/>
      <c r="C103" s="70"/>
      <c r="D103" s="70"/>
      <c r="E103" s="70"/>
      <c r="F103" s="70"/>
      <c r="G103" s="70"/>
      <c r="H103" s="70"/>
      <c r="I103" s="70"/>
      <c r="J103" s="35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</row>
    <row r="104" ht="12.0" customHeight="1">
      <c r="A104" s="70"/>
      <c r="B104" s="70"/>
      <c r="C104" s="70"/>
      <c r="D104" s="70"/>
      <c r="E104" s="70"/>
      <c r="F104" s="70"/>
      <c r="G104" s="70"/>
      <c r="H104" s="70"/>
      <c r="I104" s="70"/>
      <c r="J104" s="35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</row>
    <row r="105" ht="12.0" customHeight="1">
      <c r="A105" s="70"/>
      <c r="B105" s="70"/>
      <c r="C105" s="70"/>
      <c r="D105" s="70"/>
      <c r="E105" s="70"/>
      <c r="F105" s="70"/>
      <c r="G105" s="70"/>
      <c r="H105" s="70"/>
      <c r="I105" s="70"/>
      <c r="J105" s="35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</row>
    <row r="106" ht="12.0" customHeight="1">
      <c r="A106" s="70"/>
      <c r="B106" s="70"/>
      <c r="C106" s="70"/>
      <c r="D106" s="70"/>
      <c r="E106" s="70"/>
      <c r="F106" s="70"/>
      <c r="G106" s="70"/>
      <c r="H106" s="70"/>
      <c r="I106" s="70"/>
      <c r="J106" s="35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</row>
    <row r="107" ht="12.0" customHeight="1">
      <c r="A107" s="70"/>
      <c r="B107" s="70"/>
      <c r="C107" s="70"/>
      <c r="D107" s="70"/>
      <c r="E107" s="70"/>
      <c r="F107" s="70"/>
      <c r="G107" s="70"/>
      <c r="H107" s="70"/>
      <c r="I107" s="70"/>
      <c r="J107" s="35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</row>
    <row r="108" ht="12.0" customHeight="1">
      <c r="A108" s="70"/>
      <c r="B108" s="70"/>
      <c r="C108" s="70"/>
      <c r="D108" s="70"/>
      <c r="E108" s="70"/>
      <c r="F108" s="70"/>
      <c r="G108" s="70"/>
      <c r="H108" s="70"/>
      <c r="I108" s="70"/>
      <c r="J108" s="35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</row>
    <row r="109" ht="12.0" customHeight="1">
      <c r="A109" s="70"/>
      <c r="B109" s="70"/>
      <c r="C109" s="70"/>
      <c r="D109" s="70"/>
      <c r="E109" s="70"/>
      <c r="F109" s="70"/>
      <c r="G109" s="70"/>
      <c r="H109" s="70"/>
      <c r="I109" s="70"/>
      <c r="J109" s="35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</row>
    <row r="110" ht="12.0" customHeight="1">
      <c r="A110" s="70"/>
      <c r="B110" s="70"/>
      <c r="C110" s="70"/>
      <c r="D110" s="70"/>
      <c r="E110" s="70"/>
      <c r="F110" s="70"/>
      <c r="G110" s="70"/>
      <c r="H110" s="70"/>
      <c r="I110" s="70"/>
      <c r="J110" s="35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</row>
    <row r="111" ht="12.0" customHeight="1">
      <c r="A111" s="70"/>
      <c r="B111" s="70"/>
      <c r="C111" s="70"/>
      <c r="D111" s="70"/>
      <c r="E111" s="70"/>
      <c r="F111" s="70"/>
      <c r="G111" s="70"/>
      <c r="H111" s="70"/>
      <c r="I111" s="70"/>
      <c r="J111" s="35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</row>
    <row r="112" ht="12.0" customHeight="1">
      <c r="A112" s="70"/>
      <c r="B112" s="70"/>
      <c r="C112" s="70"/>
      <c r="D112" s="70"/>
      <c r="E112" s="70"/>
      <c r="F112" s="70"/>
      <c r="G112" s="70"/>
      <c r="H112" s="70"/>
      <c r="I112" s="70"/>
      <c r="J112" s="35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</row>
    <row r="113" ht="12.0" customHeight="1">
      <c r="A113" s="70"/>
      <c r="B113" s="70"/>
      <c r="C113" s="70"/>
      <c r="D113" s="70"/>
      <c r="E113" s="70"/>
      <c r="F113" s="70"/>
      <c r="G113" s="70"/>
      <c r="H113" s="70"/>
      <c r="I113" s="70"/>
      <c r="J113" s="35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</row>
    <row r="114" ht="12.0" customHeight="1">
      <c r="A114" s="70"/>
      <c r="B114" s="70"/>
      <c r="C114" s="70"/>
      <c r="D114" s="70"/>
      <c r="E114" s="70"/>
      <c r="F114" s="70"/>
      <c r="G114" s="70"/>
      <c r="H114" s="70"/>
      <c r="I114" s="70"/>
      <c r="J114" s="35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</row>
    <row r="115" ht="12.0" customHeight="1">
      <c r="A115" s="70"/>
      <c r="B115" s="70"/>
      <c r="C115" s="70"/>
      <c r="D115" s="70"/>
      <c r="E115" s="70"/>
      <c r="F115" s="70"/>
      <c r="G115" s="70"/>
      <c r="H115" s="70"/>
      <c r="I115" s="70"/>
      <c r="J115" s="35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</row>
    <row r="116" ht="12.0" customHeight="1">
      <c r="A116" s="70"/>
      <c r="B116" s="70"/>
      <c r="C116" s="70"/>
      <c r="D116" s="70"/>
      <c r="E116" s="70"/>
      <c r="F116" s="70"/>
      <c r="G116" s="70"/>
      <c r="H116" s="70"/>
      <c r="I116" s="70"/>
      <c r="J116" s="35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</row>
    <row r="117" ht="12.0" customHeight="1">
      <c r="A117" s="70"/>
      <c r="B117" s="70"/>
      <c r="C117" s="70"/>
      <c r="D117" s="70"/>
      <c r="E117" s="70"/>
      <c r="F117" s="70"/>
      <c r="G117" s="70"/>
      <c r="H117" s="70"/>
      <c r="I117" s="70"/>
      <c r="J117" s="35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</row>
    <row r="118" ht="12.0" customHeight="1">
      <c r="A118" s="70"/>
      <c r="B118" s="70"/>
      <c r="C118" s="70"/>
      <c r="D118" s="70"/>
      <c r="E118" s="70"/>
      <c r="F118" s="70"/>
      <c r="G118" s="70"/>
      <c r="H118" s="70"/>
      <c r="I118" s="70"/>
      <c r="J118" s="35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</row>
    <row r="119" ht="12.0" customHeight="1">
      <c r="A119" s="70"/>
      <c r="B119" s="70"/>
      <c r="C119" s="70"/>
      <c r="D119" s="70"/>
      <c r="E119" s="70"/>
      <c r="F119" s="70"/>
      <c r="G119" s="70"/>
      <c r="H119" s="70"/>
      <c r="I119" s="70"/>
      <c r="J119" s="35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</row>
    <row r="120" ht="12.0" customHeight="1">
      <c r="A120" s="70"/>
      <c r="B120" s="70"/>
      <c r="C120" s="70"/>
      <c r="D120" s="70"/>
      <c r="E120" s="70"/>
      <c r="F120" s="70"/>
      <c r="G120" s="70"/>
      <c r="H120" s="70"/>
      <c r="I120" s="70"/>
      <c r="J120" s="35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</row>
    <row r="121" ht="12.0" customHeight="1">
      <c r="A121" s="70"/>
      <c r="B121" s="70"/>
      <c r="C121" s="70"/>
      <c r="D121" s="70"/>
      <c r="E121" s="70"/>
      <c r="F121" s="70"/>
      <c r="G121" s="70"/>
      <c r="H121" s="70"/>
      <c r="I121" s="70"/>
      <c r="J121" s="35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</row>
    <row r="122" ht="12.0" customHeight="1">
      <c r="A122" s="70"/>
      <c r="B122" s="70"/>
      <c r="C122" s="70"/>
      <c r="D122" s="70"/>
      <c r="E122" s="70"/>
      <c r="F122" s="70"/>
      <c r="G122" s="70"/>
      <c r="H122" s="70"/>
      <c r="I122" s="70"/>
      <c r="J122" s="35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</row>
    <row r="123" ht="12.0" customHeight="1">
      <c r="A123" s="70"/>
      <c r="B123" s="70"/>
      <c r="C123" s="70"/>
      <c r="D123" s="70"/>
      <c r="E123" s="70"/>
      <c r="F123" s="70"/>
      <c r="G123" s="70"/>
      <c r="H123" s="70"/>
      <c r="I123" s="70"/>
      <c r="J123" s="35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</row>
    <row r="124" ht="12.0" customHeight="1">
      <c r="A124" s="70"/>
      <c r="B124" s="70"/>
      <c r="C124" s="70"/>
      <c r="D124" s="70"/>
      <c r="E124" s="70"/>
      <c r="F124" s="70"/>
      <c r="G124" s="70"/>
      <c r="H124" s="70"/>
      <c r="I124" s="70"/>
      <c r="J124" s="35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</row>
    <row r="125" ht="12.0" customHeight="1">
      <c r="A125" s="70"/>
      <c r="B125" s="70"/>
      <c r="C125" s="70"/>
      <c r="D125" s="70"/>
      <c r="E125" s="70"/>
      <c r="F125" s="70"/>
      <c r="G125" s="70"/>
      <c r="H125" s="70"/>
      <c r="I125" s="70"/>
      <c r="J125" s="35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</row>
    <row r="126" ht="12.0" customHeight="1">
      <c r="A126" s="70"/>
      <c r="B126" s="70"/>
      <c r="C126" s="70"/>
      <c r="D126" s="70"/>
      <c r="E126" s="70"/>
      <c r="F126" s="70"/>
      <c r="G126" s="70"/>
      <c r="H126" s="70"/>
      <c r="I126" s="70"/>
      <c r="J126" s="35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</row>
    <row r="127" ht="12.0" customHeight="1">
      <c r="A127" s="70"/>
      <c r="B127" s="70"/>
      <c r="C127" s="70"/>
      <c r="D127" s="70"/>
      <c r="E127" s="70"/>
      <c r="F127" s="70"/>
      <c r="G127" s="70"/>
      <c r="H127" s="70"/>
      <c r="I127" s="70"/>
      <c r="J127" s="35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</row>
    <row r="128" ht="12.0" customHeight="1">
      <c r="A128" s="70"/>
      <c r="B128" s="70"/>
      <c r="C128" s="70"/>
      <c r="D128" s="70"/>
      <c r="E128" s="70"/>
      <c r="F128" s="70"/>
      <c r="G128" s="70"/>
      <c r="H128" s="70"/>
      <c r="I128" s="70"/>
      <c r="J128" s="35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</row>
    <row r="129" ht="12.0" customHeight="1">
      <c r="A129" s="70"/>
      <c r="B129" s="70"/>
      <c r="C129" s="70"/>
      <c r="D129" s="70"/>
      <c r="E129" s="70"/>
      <c r="F129" s="70"/>
      <c r="G129" s="70"/>
      <c r="H129" s="70"/>
      <c r="I129" s="70"/>
      <c r="J129" s="35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</row>
    <row r="130" ht="12.0" customHeight="1">
      <c r="A130" s="70"/>
      <c r="B130" s="70"/>
      <c r="C130" s="70"/>
      <c r="D130" s="70"/>
      <c r="E130" s="70"/>
      <c r="F130" s="70"/>
      <c r="G130" s="70"/>
      <c r="H130" s="70"/>
      <c r="I130" s="70"/>
      <c r="J130" s="35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</row>
    <row r="131" ht="12.0" customHeight="1">
      <c r="A131" s="70"/>
      <c r="B131" s="70"/>
      <c r="C131" s="70"/>
      <c r="D131" s="70"/>
      <c r="E131" s="70"/>
      <c r="F131" s="70"/>
      <c r="G131" s="70"/>
      <c r="H131" s="70"/>
      <c r="I131" s="70"/>
      <c r="J131" s="35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</row>
    <row r="132" ht="12.0" customHeight="1">
      <c r="A132" s="70"/>
      <c r="B132" s="70"/>
      <c r="C132" s="70"/>
      <c r="D132" s="70"/>
      <c r="E132" s="70"/>
      <c r="F132" s="70"/>
      <c r="G132" s="70"/>
      <c r="H132" s="70"/>
      <c r="I132" s="70"/>
      <c r="J132" s="35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</row>
    <row r="133" ht="12.0" customHeight="1">
      <c r="A133" s="70"/>
      <c r="B133" s="70"/>
      <c r="C133" s="70"/>
      <c r="D133" s="70"/>
      <c r="E133" s="70"/>
      <c r="F133" s="70"/>
      <c r="G133" s="70"/>
      <c r="H133" s="70"/>
      <c r="I133" s="70"/>
      <c r="J133" s="35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</row>
    <row r="134" ht="12.0" customHeight="1">
      <c r="A134" s="70"/>
      <c r="B134" s="70"/>
      <c r="C134" s="70"/>
      <c r="D134" s="70"/>
      <c r="E134" s="70"/>
      <c r="F134" s="70"/>
      <c r="G134" s="70"/>
      <c r="H134" s="70"/>
      <c r="I134" s="70"/>
      <c r="J134" s="35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</row>
    <row r="135" ht="12.0" customHeight="1">
      <c r="A135" s="70"/>
      <c r="B135" s="70"/>
      <c r="C135" s="70"/>
      <c r="D135" s="70"/>
      <c r="E135" s="70"/>
      <c r="F135" s="70"/>
      <c r="G135" s="70"/>
      <c r="H135" s="70"/>
      <c r="I135" s="70"/>
      <c r="J135" s="35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</row>
    <row r="136" ht="12.0" customHeight="1">
      <c r="A136" s="70"/>
      <c r="B136" s="70"/>
      <c r="C136" s="70"/>
      <c r="D136" s="70"/>
      <c r="E136" s="70"/>
      <c r="F136" s="70"/>
      <c r="G136" s="70"/>
      <c r="H136" s="70"/>
      <c r="I136" s="70"/>
      <c r="J136" s="35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</row>
    <row r="137" ht="12.0" customHeight="1">
      <c r="A137" s="70"/>
      <c r="B137" s="70"/>
      <c r="C137" s="70"/>
      <c r="D137" s="70"/>
      <c r="E137" s="70"/>
      <c r="F137" s="70"/>
      <c r="G137" s="70"/>
      <c r="H137" s="70"/>
      <c r="I137" s="70"/>
      <c r="J137" s="35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</row>
    <row r="138" ht="12.0" customHeight="1">
      <c r="A138" s="70"/>
      <c r="B138" s="70"/>
      <c r="C138" s="70"/>
      <c r="D138" s="70"/>
      <c r="E138" s="70"/>
      <c r="F138" s="70"/>
      <c r="G138" s="70"/>
      <c r="H138" s="70"/>
      <c r="I138" s="70"/>
      <c r="J138" s="35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</row>
    <row r="139" ht="12.0" customHeight="1">
      <c r="A139" s="70"/>
      <c r="B139" s="70"/>
      <c r="C139" s="70"/>
      <c r="D139" s="70"/>
      <c r="E139" s="70"/>
      <c r="F139" s="70"/>
      <c r="G139" s="70"/>
      <c r="H139" s="70"/>
      <c r="I139" s="70"/>
      <c r="J139" s="35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</row>
    <row r="140" ht="12.0" customHeight="1">
      <c r="A140" s="70"/>
      <c r="B140" s="70"/>
      <c r="C140" s="70"/>
      <c r="D140" s="70"/>
      <c r="E140" s="70"/>
      <c r="F140" s="70"/>
      <c r="G140" s="70"/>
      <c r="H140" s="70"/>
      <c r="I140" s="70"/>
      <c r="J140" s="35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</row>
    <row r="141" ht="12.0" customHeight="1">
      <c r="A141" s="70"/>
      <c r="B141" s="70"/>
      <c r="C141" s="70"/>
      <c r="D141" s="70"/>
      <c r="E141" s="70"/>
      <c r="F141" s="70"/>
      <c r="G141" s="70"/>
      <c r="H141" s="70"/>
      <c r="I141" s="70"/>
      <c r="J141" s="35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</row>
    <row r="142" ht="12.0" customHeight="1">
      <c r="A142" s="70"/>
      <c r="B142" s="70"/>
      <c r="C142" s="70"/>
      <c r="D142" s="70"/>
      <c r="E142" s="70"/>
      <c r="F142" s="70"/>
      <c r="G142" s="70"/>
      <c r="H142" s="70"/>
      <c r="I142" s="70"/>
      <c r="J142" s="35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</row>
    <row r="143" ht="12.0" customHeight="1">
      <c r="A143" s="70"/>
      <c r="B143" s="70"/>
      <c r="C143" s="70"/>
      <c r="D143" s="70"/>
      <c r="E143" s="70"/>
      <c r="F143" s="70"/>
      <c r="G143" s="70"/>
      <c r="H143" s="70"/>
      <c r="I143" s="70"/>
      <c r="J143" s="35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</row>
    <row r="144" ht="12.0" customHeight="1">
      <c r="A144" s="70"/>
      <c r="B144" s="70"/>
      <c r="C144" s="70"/>
      <c r="D144" s="70"/>
      <c r="E144" s="70"/>
      <c r="F144" s="70"/>
      <c r="G144" s="70"/>
      <c r="H144" s="70"/>
      <c r="I144" s="70"/>
      <c r="J144" s="35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</row>
    <row r="145" ht="12.0" customHeight="1">
      <c r="A145" s="70"/>
      <c r="B145" s="70"/>
      <c r="C145" s="70"/>
      <c r="D145" s="70"/>
      <c r="E145" s="70"/>
      <c r="F145" s="70"/>
      <c r="G145" s="70"/>
      <c r="H145" s="70"/>
      <c r="I145" s="70"/>
      <c r="J145" s="35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</row>
    <row r="146" ht="12.0" customHeight="1">
      <c r="A146" s="70"/>
      <c r="B146" s="70"/>
      <c r="C146" s="70"/>
      <c r="D146" s="70"/>
      <c r="E146" s="70"/>
      <c r="F146" s="70"/>
      <c r="G146" s="70"/>
      <c r="H146" s="70"/>
      <c r="I146" s="70"/>
      <c r="J146" s="35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</row>
    <row r="147" ht="12.0" customHeight="1">
      <c r="A147" s="70"/>
      <c r="B147" s="70"/>
      <c r="C147" s="70"/>
      <c r="D147" s="70"/>
      <c r="E147" s="70"/>
      <c r="F147" s="70"/>
      <c r="G147" s="70"/>
      <c r="H147" s="70"/>
      <c r="I147" s="70"/>
      <c r="J147" s="35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</row>
    <row r="148" ht="12.0" customHeight="1">
      <c r="A148" s="70"/>
      <c r="B148" s="70"/>
      <c r="C148" s="70"/>
      <c r="D148" s="70"/>
      <c r="E148" s="70"/>
      <c r="F148" s="70"/>
      <c r="G148" s="70"/>
      <c r="H148" s="70"/>
      <c r="I148" s="70"/>
      <c r="J148" s="35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</row>
    <row r="149" ht="12.0" customHeight="1">
      <c r="A149" s="70"/>
      <c r="B149" s="70"/>
      <c r="C149" s="70"/>
      <c r="D149" s="70"/>
      <c r="E149" s="70"/>
      <c r="F149" s="70"/>
      <c r="G149" s="70"/>
      <c r="H149" s="70"/>
      <c r="I149" s="70"/>
      <c r="J149" s="35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</row>
    <row r="150" ht="12.0" customHeight="1">
      <c r="A150" s="70"/>
      <c r="B150" s="70"/>
      <c r="C150" s="70"/>
      <c r="D150" s="70"/>
      <c r="E150" s="70"/>
      <c r="F150" s="70"/>
      <c r="G150" s="70"/>
      <c r="H150" s="70"/>
      <c r="I150" s="70"/>
      <c r="J150" s="35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</row>
    <row r="151" ht="12.0" customHeight="1">
      <c r="A151" s="70"/>
      <c r="B151" s="70"/>
      <c r="C151" s="70"/>
      <c r="D151" s="70"/>
      <c r="E151" s="70"/>
      <c r="F151" s="70"/>
      <c r="G151" s="70"/>
      <c r="H151" s="70"/>
      <c r="I151" s="70"/>
      <c r="J151" s="35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</row>
    <row r="152" ht="12.0" customHeight="1">
      <c r="A152" s="70"/>
      <c r="B152" s="70"/>
      <c r="C152" s="70"/>
      <c r="D152" s="70"/>
      <c r="E152" s="70"/>
      <c r="F152" s="70"/>
      <c r="G152" s="70"/>
      <c r="H152" s="70"/>
      <c r="I152" s="70"/>
      <c r="J152" s="35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</row>
    <row r="153" ht="12.0" customHeight="1">
      <c r="A153" s="70"/>
      <c r="B153" s="70"/>
      <c r="C153" s="70"/>
      <c r="D153" s="70"/>
      <c r="E153" s="70"/>
      <c r="F153" s="70"/>
      <c r="G153" s="70"/>
      <c r="H153" s="70"/>
      <c r="I153" s="70"/>
      <c r="J153" s="35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</row>
    <row r="154" ht="12.0" customHeight="1">
      <c r="A154" s="70"/>
      <c r="B154" s="70"/>
      <c r="C154" s="70"/>
      <c r="D154" s="70"/>
      <c r="E154" s="70"/>
      <c r="F154" s="70"/>
      <c r="G154" s="70"/>
      <c r="H154" s="70"/>
      <c r="I154" s="70"/>
      <c r="J154" s="35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</row>
    <row r="155" ht="12.0" customHeight="1">
      <c r="A155" s="70"/>
      <c r="B155" s="70"/>
      <c r="C155" s="70"/>
      <c r="D155" s="70"/>
      <c r="E155" s="70"/>
      <c r="F155" s="70"/>
      <c r="G155" s="70"/>
      <c r="H155" s="70"/>
      <c r="I155" s="70"/>
      <c r="J155" s="35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</row>
    <row r="156" ht="12.0" customHeight="1">
      <c r="A156" s="70"/>
      <c r="B156" s="70"/>
      <c r="C156" s="70"/>
      <c r="D156" s="70"/>
      <c r="E156" s="70"/>
      <c r="F156" s="70"/>
      <c r="G156" s="70"/>
      <c r="H156" s="70"/>
      <c r="I156" s="70"/>
      <c r="J156" s="35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</row>
    <row r="157" ht="12.0" customHeight="1">
      <c r="A157" s="70"/>
      <c r="B157" s="70"/>
      <c r="C157" s="70"/>
      <c r="D157" s="70"/>
      <c r="E157" s="70"/>
      <c r="F157" s="70"/>
      <c r="G157" s="70"/>
      <c r="H157" s="70"/>
      <c r="I157" s="70"/>
      <c r="J157" s="35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</row>
    <row r="158" ht="12.0" customHeight="1">
      <c r="A158" s="70"/>
      <c r="B158" s="70"/>
      <c r="C158" s="70"/>
      <c r="D158" s="70"/>
      <c r="E158" s="70"/>
      <c r="F158" s="70"/>
      <c r="G158" s="70"/>
      <c r="H158" s="70"/>
      <c r="I158" s="70"/>
      <c r="J158" s="35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</row>
    <row r="159" ht="12.0" customHeight="1">
      <c r="A159" s="70"/>
      <c r="B159" s="70"/>
      <c r="C159" s="70"/>
      <c r="D159" s="70"/>
      <c r="E159" s="70"/>
      <c r="F159" s="70"/>
      <c r="G159" s="70"/>
      <c r="H159" s="70"/>
      <c r="I159" s="70"/>
      <c r="J159" s="35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</row>
    <row r="160" ht="12.0" customHeight="1">
      <c r="A160" s="70"/>
      <c r="B160" s="70"/>
      <c r="C160" s="70"/>
      <c r="D160" s="70"/>
      <c r="E160" s="70"/>
      <c r="F160" s="70"/>
      <c r="G160" s="70"/>
      <c r="H160" s="70"/>
      <c r="I160" s="70"/>
      <c r="J160" s="35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</row>
    <row r="161" ht="12.0" customHeight="1">
      <c r="A161" s="70"/>
      <c r="B161" s="70"/>
      <c r="C161" s="70"/>
      <c r="D161" s="70"/>
      <c r="E161" s="70"/>
      <c r="F161" s="70"/>
      <c r="G161" s="70"/>
      <c r="H161" s="70"/>
      <c r="I161" s="70"/>
      <c r="J161" s="35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</row>
    <row r="162" ht="12.0" customHeight="1">
      <c r="A162" s="70"/>
      <c r="B162" s="70"/>
      <c r="C162" s="70"/>
      <c r="D162" s="70"/>
      <c r="E162" s="70"/>
      <c r="F162" s="70"/>
      <c r="G162" s="70"/>
      <c r="H162" s="70"/>
      <c r="I162" s="70"/>
      <c r="J162" s="35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</row>
    <row r="163" ht="12.0" customHeight="1">
      <c r="A163" s="70"/>
      <c r="B163" s="70"/>
      <c r="C163" s="70"/>
      <c r="D163" s="70"/>
      <c r="E163" s="70"/>
      <c r="F163" s="70"/>
      <c r="G163" s="70"/>
      <c r="H163" s="70"/>
      <c r="I163" s="70"/>
      <c r="J163" s="35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</row>
    <row r="164" ht="12.0" customHeight="1">
      <c r="A164" s="70"/>
      <c r="B164" s="70"/>
      <c r="C164" s="70"/>
      <c r="D164" s="70"/>
      <c r="E164" s="70"/>
      <c r="F164" s="70"/>
      <c r="G164" s="70"/>
      <c r="H164" s="70"/>
      <c r="I164" s="70"/>
      <c r="J164" s="35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</row>
    <row r="165" ht="12.0" customHeight="1">
      <c r="A165" s="70"/>
      <c r="B165" s="70"/>
      <c r="C165" s="70"/>
      <c r="D165" s="70"/>
      <c r="E165" s="70"/>
      <c r="F165" s="70"/>
      <c r="G165" s="70"/>
      <c r="H165" s="70"/>
      <c r="I165" s="70"/>
      <c r="J165" s="35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</row>
    <row r="166" ht="12.0" customHeight="1">
      <c r="A166" s="70"/>
      <c r="B166" s="70"/>
      <c r="C166" s="70"/>
      <c r="D166" s="70"/>
      <c r="E166" s="70"/>
      <c r="F166" s="70"/>
      <c r="G166" s="70"/>
      <c r="H166" s="70"/>
      <c r="I166" s="70"/>
      <c r="J166" s="35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</row>
    <row r="167" ht="12.0" customHeight="1">
      <c r="A167" s="70"/>
      <c r="B167" s="70"/>
      <c r="C167" s="70"/>
      <c r="D167" s="70"/>
      <c r="E167" s="70"/>
      <c r="F167" s="70"/>
      <c r="G167" s="70"/>
      <c r="H167" s="70"/>
      <c r="I167" s="70"/>
      <c r="J167" s="35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</row>
    <row r="168" ht="12.0" customHeight="1">
      <c r="A168" s="70"/>
      <c r="B168" s="70"/>
      <c r="C168" s="70"/>
      <c r="D168" s="70"/>
      <c r="E168" s="70"/>
      <c r="F168" s="70"/>
      <c r="G168" s="70"/>
      <c r="H168" s="70"/>
      <c r="I168" s="70"/>
      <c r="J168" s="35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</row>
    <row r="169" ht="12.0" customHeight="1">
      <c r="A169" s="70"/>
      <c r="B169" s="70"/>
      <c r="C169" s="70"/>
      <c r="D169" s="70"/>
      <c r="E169" s="70"/>
      <c r="F169" s="70"/>
      <c r="G169" s="70"/>
      <c r="H169" s="70"/>
      <c r="I169" s="70"/>
      <c r="J169" s="35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</row>
    <row r="170" ht="12.0" customHeight="1">
      <c r="A170" s="70"/>
      <c r="B170" s="70"/>
      <c r="C170" s="70"/>
      <c r="D170" s="70"/>
      <c r="E170" s="70"/>
      <c r="F170" s="70"/>
      <c r="G170" s="70"/>
      <c r="H170" s="70"/>
      <c r="I170" s="70"/>
      <c r="J170" s="35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</row>
    <row r="171" ht="12.0" customHeight="1">
      <c r="A171" s="70"/>
      <c r="B171" s="70"/>
      <c r="C171" s="70"/>
      <c r="D171" s="70"/>
      <c r="E171" s="70"/>
      <c r="F171" s="70"/>
      <c r="G171" s="70"/>
      <c r="H171" s="70"/>
      <c r="I171" s="70"/>
      <c r="J171" s="35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</row>
    <row r="172" ht="12.0" customHeight="1">
      <c r="A172" s="70"/>
      <c r="B172" s="70"/>
      <c r="C172" s="70"/>
      <c r="D172" s="70"/>
      <c r="E172" s="70"/>
      <c r="F172" s="70"/>
      <c r="G172" s="70"/>
      <c r="H172" s="70"/>
      <c r="I172" s="70"/>
      <c r="J172" s="35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</row>
    <row r="173" ht="12.0" customHeight="1">
      <c r="A173" s="70"/>
      <c r="B173" s="70"/>
      <c r="C173" s="70"/>
      <c r="D173" s="70"/>
      <c r="E173" s="70"/>
      <c r="F173" s="70"/>
      <c r="G173" s="70"/>
      <c r="H173" s="70"/>
      <c r="I173" s="70"/>
      <c r="J173" s="35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</row>
    <row r="174" ht="12.0" customHeight="1">
      <c r="A174" s="70"/>
      <c r="B174" s="70"/>
      <c r="C174" s="70"/>
      <c r="D174" s="70"/>
      <c r="E174" s="70"/>
      <c r="F174" s="70"/>
      <c r="G174" s="70"/>
      <c r="H174" s="70"/>
      <c r="I174" s="70"/>
      <c r="J174" s="35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</row>
    <row r="175" ht="12.0" customHeight="1">
      <c r="A175" s="70"/>
      <c r="B175" s="70"/>
      <c r="C175" s="70"/>
      <c r="D175" s="70"/>
      <c r="E175" s="70"/>
      <c r="F175" s="70"/>
      <c r="G175" s="70"/>
      <c r="H175" s="70"/>
      <c r="I175" s="70"/>
      <c r="J175" s="35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</row>
    <row r="176" ht="12.0" customHeight="1">
      <c r="A176" s="70"/>
      <c r="B176" s="70"/>
      <c r="C176" s="70"/>
      <c r="D176" s="70"/>
      <c r="E176" s="70"/>
      <c r="F176" s="70"/>
      <c r="G176" s="70"/>
      <c r="H176" s="70"/>
      <c r="I176" s="70"/>
      <c r="J176" s="35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</row>
    <row r="177" ht="12.0" customHeight="1">
      <c r="A177" s="70"/>
      <c r="B177" s="70"/>
      <c r="C177" s="70"/>
      <c r="D177" s="70"/>
      <c r="E177" s="70"/>
      <c r="F177" s="70"/>
      <c r="G177" s="70"/>
      <c r="H177" s="70"/>
      <c r="I177" s="70"/>
      <c r="J177" s="35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</row>
    <row r="178" ht="12.0" customHeight="1">
      <c r="A178" s="70"/>
      <c r="B178" s="70"/>
      <c r="C178" s="70"/>
      <c r="D178" s="70"/>
      <c r="E178" s="70"/>
      <c r="F178" s="70"/>
      <c r="G178" s="70"/>
      <c r="H178" s="70"/>
      <c r="I178" s="70"/>
      <c r="J178" s="35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</row>
    <row r="179" ht="12.0" customHeight="1">
      <c r="A179" s="70"/>
      <c r="B179" s="70"/>
      <c r="C179" s="70"/>
      <c r="D179" s="70"/>
      <c r="E179" s="70"/>
      <c r="F179" s="70"/>
      <c r="G179" s="70"/>
      <c r="H179" s="70"/>
      <c r="I179" s="70"/>
      <c r="J179" s="35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</row>
    <row r="180" ht="12.0" customHeight="1">
      <c r="A180" s="70"/>
      <c r="B180" s="70"/>
      <c r="C180" s="70"/>
      <c r="D180" s="70"/>
      <c r="E180" s="70"/>
      <c r="F180" s="70"/>
      <c r="G180" s="70"/>
      <c r="H180" s="70"/>
      <c r="I180" s="70"/>
      <c r="J180" s="35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</row>
    <row r="181" ht="12.0" customHeight="1">
      <c r="A181" s="70"/>
      <c r="B181" s="70"/>
      <c r="C181" s="70"/>
      <c r="D181" s="70"/>
      <c r="E181" s="70"/>
      <c r="F181" s="70"/>
      <c r="G181" s="70"/>
      <c r="H181" s="70"/>
      <c r="I181" s="70"/>
      <c r="J181" s="35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</row>
    <row r="182" ht="12.0" customHeight="1">
      <c r="A182" s="70"/>
      <c r="B182" s="70"/>
      <c r="C182" s="70"/>
      <c r="D182" s="70"/>
      <c r="E182" s="70"/>
      <c r="F182" s="70"/>
      <c r="G182" s="70"/>
      <c r="H182" s="70"/>
      <c r="I182" s="70"/>
      <c r="J182" s="35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</row>
    <row r="183" ht="12.0" customHeight="1">
      <c r="A183" s="70"/>
      <c r="B183" s="70"/>
      <c r="C183" s="70"/>
      <c r="D183" s="70"/>
      <c r="E183" s="70"/>
      <c r="F183" s="70"/>
      <c r="G183" s="70"/>
      <c r="H183" s="70"/>
      <c r="I183" s="70"/>
      <c r="J183" s="35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</row>
    <row r="184" ht="12.0" customHeight="1">
      <c r="A184" s="70"/>
      <c r="B184" s="70"/>
      <c r="C184" s="70"/>
      <c r="D184" s="70"/>
      <c r="E184" s="70"/>
      <c r="F184" s="70"/>
      <c r="G184" s="70"/>
      <c r="H184" s="70"/>
      <c r="I184" s="70"/>
      <c r="J184" s="35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</row>
    <row r="185" ht="12.0" customHeight="1">
      <c r="A185" s="70"/>
      <c r="B185" s="70"/>
      <c r="C185" s="70"/>
      <c r="D185" s="70"/>
      <c r="E185" s="70"/>
      <c r="F185" s="70"/>
      <c r="G185" s="70"/>
      <c r="H185" s="70"/>
      <c r="I185" s="70"/>
      <c r="J185" s="35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</row>
    <row r="186" ht="12.0" customHeight="1">
      <c r="A186" s="70"/>
      <c r="B186" s="70"/>
      <c r="C186" s="70"/>
      <c r="D186" s="70"/>
      <c r="E186" s="70"/>
      <c r="F186" s="70"/>
      <c r="G186" s="70"/>
      <c r="H186" s="70"/>
      <c r="I186" s="70"/>
      <c r="J186" s="35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</row>
    <row r="187" ht="12.0" customHeight="1">
      <c r="A187" s="70"/>
      <c r="B187" s="70"/>
      <c r="C187" s="70"/>
      <c r="D187" s="70"/>
      <c r="E187" s="70"/>
      <c r="F187" s="70"/>
      <c r="G187" s="70"/>
      <c r="H187" s="70"/>
      <c r="I187" s="70"/>
      <c r="J187" s="35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</row>
    <row r="188" ht="12.0" customHeight="1">
      <c r="A188" s="70"/>
      <c r="B188" s="70"/>
      <c r="C188" s="70"/>
      <c r="D188" s="70"/>
      <c r="E188" s="70"/>
      <c r="F188" s="70"/>
      <c r="G188" s="70"/>
      <c r="H188" s="70"/>
      <c r="I188" s="70"/>
      <c r="J188" s="35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</row>
    <row r="189" ht="12.0" customHeight="1">
      <c r="A189" s="70"/>
      <c r="B189" s="70"/>
      <c r="C189" s="70"/>
      <c r="D189" s="70"/>
      <c r="E189" s="70"/>
      <c r="F189" s="70"/>
      <c r="G189" s="70"/>
      <c r="H189" s="70"/>
      <c r="I189" s="70"/>
      <c r="J189" s="35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</row>
    <row r="190" ht="12.0" customHeight="1">
      <c r="A190" s="70"/>
      <c r="B190" s="70"/>
      <c r="C190" s="70"/>
      <c r="D190" s="70"/>
      <c r="E190" s="70"/>
      <c r="F190" s="70"/>
      <c r="G190" s="70"/>
      <c r="H190" s="70"/>
      <c r="I190" s="70"/>
      <c r="J190" s="35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</row>
    <row r="191" ht="12.0" customHeight="1">
      <c r="A191" s="70"/>
      <c r="B191" s="70"/>
      <c r="C191" s="70"/>
      <c r="D191" s="70"/>
      <c r="E191" s="70"/>
      <c r="F191" s="70"/>
      <c r="G191" s="70"/>
      <c r="H191" s="70"/>
      <c r="I191" s="70"/>
      <c r="J191" s="35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</row>
    <row r="192" ht="12.0" customHeight="1">
      <c r="A192" s="70"/>
      <c r="B192" s="70"/>
      <c r="C192" s="70"/>
      <c r="D192" s="70"/>
      <c r="E192" s="70"/>
      <c r="F192" s="70"/>
      <c r="G192" s="70"/>
      <c r="H192" s="70"/>
      <c r="I192" s="70"/>
      <c r="J192" s="35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</row>
    <row r="193" ht="12.0" customHeight="1">
      <c r="A193" s="70"/>
      <c r="B193" s="70"/>
      <c r="C193" s="70"/>
      <c r="D193" s="70"/>
      <c r="E193" s="70"/>
      <c r="F193" s="70"/>
      <c r="G193" s="70"/>
      <c r="H193" s="70"/>
      <c r="I193" s="70"/>
      <c r="J193" s="35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</row>
    <row r="194" ht="12.0" customHeight="1">
      <c r="A194" s="70"/>
      <c r="B194" s="70"/>
      <c r="C194" s="70"/>
      <c r="D194" s="70"/>
      <c r="E194" s="70"/>
      <c r="F194" s="70"/>
      <c r="G194" s="70"/>
      <c r="H194" s="70"/>
      <c r="I194" s="70"/>
      <c r="J194" s="35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</row>
    <row r="195" ht="12.0" customHeight="1">
      <c r="A195" s="70"/>
      <c r="B195" s="70"/>
      <c r="C195" s="70"/>
      <c r="D195" s="70"/>
      <c r="E195" s="70"/>
      <c r="F195" s="70"/>
      <c r="G195" s="70"/>
      <c r="H195" s="70"/>
      <c r="I195" s="70"/>
      <c r="J195" s="35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</row>
    <row r="196" ht="12.0" customHeight="1">
      <c r="A196" s="70"/>
      <c r="B196" s="70"/>
      <c r="C196" s="70"/>
      <c r="D196" s="70"/>
      <c r="E196" s="70"/>
      <c r="F196" s="70"/>
      <c r="G196" s="70"/>
      <c r="H196" s="70"/>
      <c r="I196" s="70"/>
      <c r="J196" s="35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</row>
    <row r="197" ht="12.0" customHeight="1">
      <c r="A197" s="70"/>
      <c r="B197" s="70"/>
      <c r="C197" s="70"/>
      <c r="D197" s="70"/>
      <c r="E197" s="70"/>
      <c r="F197" s="70"/>
      <c r="G197" s="70"/>
      <c r="H197" s="70"/>
      <c r="I197" s="70"/>
      <c r="J197" s="35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</row>
    <row r="198" ht="12.0" customHeight="1">
      <c r="A198" s="70"/>
      <c r="B198" s="70"/>
      <c r="C198" s="70"/>
      <c r="D198" s="70"/>
      <c r="E198" s="70"/>
      <c r="F198" s="70"/>
      <c r="G198" s="70"/>
      <c r="H198" s="70"/>
      <c r="I198" s="70"/>
      <c r="J198" s="35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</row>
    <row r="199" ht="12.0" customHeight="1">
      <c r="A199" s="70"/>
      <c r="B199" s="70"/>
      <c r="C199" s="70"/>
      <c r="D199" s="70"/>
      <c r="E199" s="70"/>
      <c r="F199" s="70"/>
      <c r="G199" s="70"/>
      <c r="H199" s="70"/>
      <c r="I199" s="70"/>
      <c r="J199" s="35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</row>
    <row r="200" ht="12.0" customHeight="1">
      <c r="A200" s="70"/>
      <c r="B200" s="70"/>
      <c r="C200" s="70"/>
      <c r="D200" s="70"/>
      <c r="E200" s="70"/>
      <c r="F200" s="70"/>
      <c r="G200" s="70"/>
      <c r="H200" s="70"/>
      <c r="I200" s="70"/>
      <c r="J200" s="35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</row>
    <row r="201" ht="12.0" customHeight="1">
      <c r="A201" s="70"/>
      <c r="B201" s="70"/>
      <c r="C201" s="70"/>
      <c r="D201" s="70"/>
      <c r="E201" s="70"/>
      <c r="F201" s="70"/>
      <c r="G201" s="70"/>
      <c r="H201" s="70"/>
      <c r="I201" s="70"/>
      <c r="J201" s="35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</row>
    <row r="202" ht="12.0" customHeight="1">
      <c r="A202" s="70"/>
      <c r="B202" s="70"/>
      <c r="C202" s="70"/>
      <c r="D202" s="70"/>
      <c r="E202" s="70"/>
      <c r="F202" s="70"/>
      <c r="G202" s="70"/>
      <c r="H202" s="70"/>
      <c r="I202" s="70"/>
      <c r="J202" s="35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</row>
    <row r="203" ht="12.0" customHeight="1">
      <c r="A203" s="70"/>
      <c r="B203" s="70"/>
      <c r="C203" s="70"/>
      <c r="D203" s="70"/>
      <c r="E203" s="70"/>
      <c r="F203" s="70"/>
      <c r="G203" s="70"/>
      <c r="H203" s="70"/>
      <c r="I203" s="70"/>
      <c r="J203" s="35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</row>
    <row r="204" ht="12.0" customHeight="1">
      <c r="A204" s="70"/>
      <c r="B204" s="70"/>
      <c r="C204" s="70"/>
      <c r="D204" s="70"/>
      <c r="E204" s="70"/>
      <c r="F204" s="70"/>
      <c r="G204" s="70"/>
      <c r="H204" s="70"/>
      <c r="I204" s="70"/>
      <c r="J204" s="35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</row>
    <row r="205" ht="12.0" customHeight="1">
      <c r="A205" s="70"/>
      <c r="B205" s="70"/>
      <c r="C205" s="70"/>
      <c r="D205" s="70"/>
      <c r="E205" s="70"/>
      <c r="F205" s="70"/>
      <c r="G205" s="70"/>
      <c r="H205" s="70"/>
      <c r="I205" s="70"/>
      <c r="J205" s="35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</row>
    <row r="206" ht="12.0" customHeight="1">
      <c r="A206" s="70"/>
      <c r="B206" s="70"/>
      <c r="C206" s="70"/>
      <c r="D206" s="70"/>
      <c r="E206" s="70"/>
      <c r="F206" s="70"/>
      <c r="G206" s="70"/>
      <c r="H206" s="70"/>
      <c r="I206" s="70"/>
      <c r="J206" s="35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</row>
    <row r="207" ht="12.0" customHeight="1">
      <c r="A207" s="70"/>
      <c r="B207" s="70"/>
      <c r="C207" s="70"/>
      <c r="D207" s="70"/>
      <c r="E207" s="70"/>
      <c r="F207" s="70"/>
      <c r="G207" s="70"/>
      <c r="H207" s="70"/>
      <c r="I207" s="70"/>
      <c r="J207" s="35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</row>
    <row r="208" ht="12.0" customHeight="1">
      <c r="A208" s="70"/>
      <c r="B208" s="70"/>
      <c r="C208" s="70"/>
      <c r="D208" s="70"/>
      <c r="E208" s="70"/>
      <c r="F208" s="70"/>
      <c r="G208" s="70"/>
      <c r="H208" s="70"/>
      <c r="I208" s="70"/>
      <c r="J208" s="35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</row>
    <row r="209" ht="12.0" customHeight="1">
      <c r="A209" s="70"/>
      <c r="B209" s="70"/>
      <c r="C209" s="70"/>
      <c r="D209" s="70"/>
      <c r="E209" s="70"/>
      <c r="F209" s="70"/>
      <c r="G209" s="70"/>
      <c r="H209" s="70"/>
      <c r="I209" s="70"/>
      <c r="J209" s="35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</row>
    <row r="210" ht="12.0" customHeight="1">
      <c r="A210" s="70"/>
      <c r="B210" s="70"/>
      <c r="C210" s="70"/>
      <c r="D210" s="70"/>
      <c r="E210" s="70"/>
      <c r="F210" s="70"/>
      <c r="G210" s="70"/>
      <c r="H210" s="70"/>
      <c r="I210" s="70"/>
      <c r="J210" s="35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</row>
    <row r="211" ht="12.0" customHeight="1">
      <c r="A211" s="70"/>
      <c r="B211" s="70"/>
      <c r="C211" s="70"/>
      <c r="D211" s="70"/>
      <c r="E211" s="70"/>
      <c r="F211" s="70"/>
      <c r="G211" s="70"/>
      <c r="H211" s="70"/>
      <c r="I211" s="70"/>
      <c r="J211" s="35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</row>
    <row r="212" ht="12.0" customHeight="1">
      <c r="A212" s="70"/>
      <c r="B212" s="70"/>
      <c r="C212" s="70"/>
      <c r="D212" s="70"/>
      <c r="E212" s="70"/>
      <c r="F212" s="70"/>
      <c r="G212" s="70"/>
      <c r="H212" s="70"/>
      <c r="I212" s="70"/>
      <c r="J212" s="35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</row>
    <row r="213" ht="12.0" customHeight="1">
      <c r="A213" s="70"/>
      <c r="B213" s="70"/>
      <c r="C213" s="70"/>
      <c r="D213" s="70"/>
      <c r="E213" s="70"/>
      <c r="F213" s="70"/>
      <c r="G213" s="70"/>
      <c r="H213" s="70"/>
      <c r="I213" s="70"/>
      <c r="J213" s="35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</row>
    <row r="214" ht="12.0" customHeight="1">
      <c r="A214" s="70"/>
      <c r="B214" s="70"/>
      <c r="C214" s="70"/>
      <c r="D214" s="70"/>
      <c r="E214" s="70"/>
      <c r="F214" s="70"/>
      <c r="G214" s="70"/>
      <c r="H214" s="70"/>
      <c r="I214" s="70"/>
      <c r="J214" s="35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</row>
    <row r="215" ht="12.0" customHeight="1">
      <c r="A215" s="70"/>
      <c r="B215" s="70"/>
      <c r="C215" s="70"/>
      <c r="D215" s="70"/>
      <c r="E215" s="70"/>
      <c r="F215" s="70"/>
      <c r="G215" s="70"/>
      <c r="H215" s="70"/>
      <c r="I215" s="70"/>
      <c r="J215" s="35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</row>
    <row r="216" ht="12.0" customHeight="1">
      <c r="A216" s="70"/>
      <c r="B216" s="70"/>
      <c r="C216" s="70"/>
      <c r="D216" s="70"/>
      <c r="E216" s="70"/>
      <c r="F216" s="70"/>
      <c r="G216" s="70"/>
      <c r="H216" s="70"/>
      <c r="I216" s="70"/>
      <c r="J216" s="35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</row>
    <row r="217" ht="12.0" customHeight="1">
      <c r="A217" s="70"/>
      <c r="B217" s="70"/>
      <c r="C217" s="70"/>
      <c r="D217" s="70"/>
      <c r="E217" s="70"/>
      <c r="F217" s="70"/>
      <c r="G217" s="70"/>
      <c r="H217" s="70"/>
      <c r="I217" s="70"/>
      <c r="J217" s="35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</row>
    <row r="218" ht="12.0" customHeight="1">
      <c r="A218" s="70"/>
      <c r="B218" s="70"/>
      <c r="C218" s="70"/>
      <c r="D218" s="70"/>
      <c r="E218" s="70"/>
      <c r="F218" s="70"/>
      <c r="G218" s="70"/>
      <c r="H218" s="70"/>
      <c r="I218" s="70"/>
      <c r="J218" s="35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</row>
    <row r="219" ht="12.0" customHeight="1">
      <c r="A219" s="70"/>
      <c r="B219" s="70"/>
      <c r="C219" s="70"/>
      <c r="D219" s="70"/>
      <c r="E219" s="70"/>
      <c r="F219" s="70"/>
      <c r="G219" s="70"/>
      <c r="H219" s="70"/>
      <c r="I219" s="70"/>
      <c r="J219" s="35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</row>
    <row r="220" ht="12.0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35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</row>
    <row r="221" ht="12.0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35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</row>
    <row r="222" ht="12.0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35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</row>
    <row r="223" ht="12.0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35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</row>
    <row r="224" ht="12.0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35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</row>
    <row r="225" ht="12.0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35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</row>
    <row r="226" ht="12.0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35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</row>
    <row r="227" ht="12.0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35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</row>
    <row r="228" ht="12.0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35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</row>
    <row r="229" ht="12.0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35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</row>
    <row r="230" ht="12.0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35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</row>
    <row r="231" ht="12.0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35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</row>
    <row r="232" ht="12.0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35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</row>
    <row r="233" ht="12.0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35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</row>
    <row r="234" ht="12.0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35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</row>
    <row r="235" ht="12.0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35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</row>
    <row r="236" ht="12.0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35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</row>
    <row r="237" ht="12.0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35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</row>
    <row r="238" ht="12.0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35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</row>
    <row r="239" ht="12.0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35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</row>
    <row r="240" ht="12.0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35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</row>
    <row r="241" ht="12.0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35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</row>
    <row r="242" ht="12.0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35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</row>
    <row r="243" ht="12.0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35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</row>
    <row r="244" ht="12.0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35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</row>
    <row r="245" ht="12.0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35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</row>
    <row r="246" ht="12.0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35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</row>
    <row r="247" ht="12.0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35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</row>
    <row r="248" ht="12.0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35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</row>
    <row r="249" ht="12.0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35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</row>
    <row r="250" ht="12.0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35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</row>
    <row r="251" ht="12.0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35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</row>
    <row r="252" ht="12.0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35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</row>
    <row r="253" ht="12.0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35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</row>
    <row r="254" ht="12.0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35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</row>
    <row r="255" ht="12.0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35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</row>
    <row r="256" ht="12.0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35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</row>
    <row r="257" ht="12.0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35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</row>
    <row r="258" ht="12.0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35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</row>
    <row r="259" ht="12.0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35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</row>
    <row r="260" ht="12.0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35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</row>
    <row r="261" ht="12.0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35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</row>
    <row r="262" ht="12.0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35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</row>
    <row r="263" ht="12.0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35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</row>
    <row r="264" ht="12.0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35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</row>
    <row r="265" ht="12.0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35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</row>
    <row r="266" ht="12.0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35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</row>
    <row r="267" ht="12.0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35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</row>
    <row r="268" ht="12.0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35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</row>
    <row r="269" ht="12.0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35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</row>
    <row r="270" ht="12.0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35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</row>
    <row r="271" ht="12.0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35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</row>
    <row r="272" ht="12.0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35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</row>
    <row r="273" ht="12.0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35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</row>
    <row r="274" ht="12.0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35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</row>
    <row r="275" ht="12.0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35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</row>
    <row r="276" ht="12.0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35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</row>
    <row r="277" ht="12.0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35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</row>
    <row r="278" ht="12.0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35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</row>
    <row r="279" ht="12.0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35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</row>
    <row r="280" ht="12.0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35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</row>
    <row r="281" ht="12.0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35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</row>
    <row r="282" ht="12.0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35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</row>
    <row r="283" ht="12.0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35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</row>
    <row r="284" ht="12.0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35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</row>
    <row r="285" ht="12.0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35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</row>
    <row r="286" ht="12.0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35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</row>
    <row r="287" ht="12.0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35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</row>
    <row r="288" ht="12.0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35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</row>
    <row r="289" ht="12.0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35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</row>
    <row r="290" ht="12.0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35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</row>
    <row r="291" ht="12.0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35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</row>
    <row r="292" ht="12.0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35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</row>
    <row r="293" ht="12.0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35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</row>
    <row r="294" ht="12.0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35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</row>
    <row r="295" ht="12.0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35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</row>
    <row r="296" ht="12.0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35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</row>
    <row r="297" ht="12.0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35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</row>
    <row r="298" ht="12.0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35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</row>
    <row r="299" ht="12.0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35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</row>
    <row r="300" ht="12.0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35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</row>
    <row r="301" ht="12.0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35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</row>
    <row r="302" ht="12.0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35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</row>
    <row r="303" ht="12.0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35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</row>
    <row r="304" ht="12.0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35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</row>
    <row r="305" ht="12.0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35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</row>
    <row r="306" ht="12.0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35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</row>
    <row r="307" ht="12.0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35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</row>
    <row r="308" ht="12.0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35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</row>
    <row r="309" ht="12.0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35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</row>
    <row r="310" ht="12.0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35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</row>
    <row r="311" ht="12.0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35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</row>
    <row r="312" ht="12.0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35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</row>
    <row r="313" ht="12.0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35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</row>
    <row r="314" ht="12.0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35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</row>
    <row r="315" ht="12.0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35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</row>
    <row r="316" ht="12.0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35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</row>
    <row r="317" ht="12.0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35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</row>
    <row r="318" ht="12.0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35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</row>
    <row r="319" ht="12.0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35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</row>
    <row r="320" ht="12.0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35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</row>
    <row r="321" ht="12.0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35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</row>
    <row r="322" ht="12.0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35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</row>
    <row r="323" ht="12.0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35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</row>
    <row r="324" ht="12.0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35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</row>
    <row r="325" ht="12.0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35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</row>
    <row r="326" ht="12.0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35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</row>
    <row r="327" ht="12.0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35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</row>
    <row r="328" ht="12.0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35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</row>
    <row r="329" ht="12.0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35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</row>
    <row r="330" ht="12.0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35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</row>
    <row r="331" ht="12.0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35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</row>
    <row r="332" ht="12.0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35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</row>
    <row r="333" ht="12.0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35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</row>
    <row r="334" ht="12.0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35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</row>
    <row r="335" ht="12.0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35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</row>
    <row r="336" ht="12.0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35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</row>
    <row r="337" ht="12.0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35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</row>
    <row r="338" ht="12.0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35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</row>
    <row r="339" ht="12.0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35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</row>
    <row r="340" ht="12.0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35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</row>
    <row r="341" ht="12.0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35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</row>
    <row r="342" ht="12.0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35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</row>
    <row r="343" ht="12.0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35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</row>
    <row r="344" ht="12.0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35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</row>
    <row r="345" ht="12.0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35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</row>
    <row r="346" ht="12.0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35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</row>
    <row r="347" ht="12.0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35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</row>
    <row r="348" ht="12.0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35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</row>
    <row r="349" ht="12.0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35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</row>
    <row r="350" ht="12.0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35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</row>
    <row r="351" ht="12.0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35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</row>
    <row r="352" ht="12.0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35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</row>
    <row r="353" ht="12.0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35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</row>
    <row r="354" ht="12.0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35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</row>
    <row r="355" ht="12.0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35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</row>
    <row r="356" ht="12.0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35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</row>
    <row r="357" ht="12.0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35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</row>
    <row r="358" ht="12.0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35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</row>
    <row r="359" ht="12.0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35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</row>
    <row r="360" ht="12.0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35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</row>
    <row r="361" ht="12.0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35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</row>
    <row r="362" ht="12.0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35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</row>
    <row r="363" ht="12.0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35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</row>
    <row r="364" ht="12.0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35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</row>
    <row r="365" ht="12.0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35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</row>
    <row r="366" ht="12.0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35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</row>
    <row r="367" ht="12.0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35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</row>
    <row r="368" ht="12.0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35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</row>
    <row r="369" ht="12.0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35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</row>
    <row r="370" ht="12.0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35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</row>
    <row r="371" ht="12.0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35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</row>
    <row r="372" ht="12.0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35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</row>
    <row r="373" ht="12.0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35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</row>
    <row r="374" ht="12.0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35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</row>
    <row r="375" ht="12.0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35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</row>
    <row r="376" ht="12.0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35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</row>
    <row r="377" ht="12.0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35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</row>
    <row r="378" ht="12.0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35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</row>
    <row r="379" ht="12.0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35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</row>
    <row r="380" ht="12.0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35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</row>
    <row r="381" ht="12.0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35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</row>
    <row r="382" ht="12.0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35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</row>
    <row r="383" ht="12.0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35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</row>
    <row r="384" ht="12.0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35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</row>
    <row r="385" ht="12.0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35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</row>
    <row r="386" ht="12.0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35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</row>
    <row r="387" ht="12.0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35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</row>
    <row r="388" ht="12.0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35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</row>
    <row r="389" ht="12.0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35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</row>
    <row r="390" ht="12.0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35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</row>
    <row r="391" ht="12.0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35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</row>
    <row r="392" ht="12.0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35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</row>
    <row r="393" ht="12.0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35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</row>
    <row r="394" ht="12.0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35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</row>
    <row r="395" ht="12.0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35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</row>
    <row r="396" ht="12.0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35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</row>
    <row r="397" ht="12.0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35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</row>
    <row r="398" ht="12.0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35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</row>
    <row r="399" ht="12.0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35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</row>
    <row r="400" ht="12.0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35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</row>
    <row r="401" ht="12.0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35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</row>
    <row r="402" ht="12.0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35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</row>
    <row r="403" ht="12.0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35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</row>
    <row r="404" ht="12.0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35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</row>
    <row r="405" ht="12.0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35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</row>
    <row r="406" ht="12.0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35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</row>
    <row r="407" ht="12.0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35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</row>
    <row r="408" ht="12.0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35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</row>
    <row r="409" ht="12.0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35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</row>
    <row r="410" ht="12.0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35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</row>
    <row r="411" ht="12.0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35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</row>
    <row r="412" ht="12.0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35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</row>
    <row r="413" ht="12.0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35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</row>
    <row r="414" ht="12.0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35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</row>
    <row r="415" ht="12.0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35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</row>
    <row r="416" ht="12.0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35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</row>
    <row r="417" ht="12.0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35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</row>
    <row r="418" ht="12.0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35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</row>
    <row r="419" ht="12.0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35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</row>
    <row r="420" ht="12.0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35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</row>
    <row r="421" ht="12.0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35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</row>
    <row r="422" ht="12.0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35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</row>
    <row r="423" ht="12.0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35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</row>
    <row r="424" ht="12.0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35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</row>
    <row r="425" ht="12.0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35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</row>
    <row r="426" ht="12.0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35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</row>
    <row r="427" ht="12.0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35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</row>
    <row r="428" ht="12.0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35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</row>
    <row r="429" ht="12.0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35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</row>
    <row r="430" ht="12.0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35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</row>
    <row r="431" ht="12.0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35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</row>
    <row r="432" ht="12.0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35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</row>
    <row r="433" ht="12.0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35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</row>
    <row r="434" ht="12.0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35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</row>
    <row r="435" ht="12.0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35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</row>
    <row r="436" ht="12.0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35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</row>
    <row r="437" ht="12.0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35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</row>
    <row r="438" ht="12.0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35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</row>
    <row r="439" ht="12.0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35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</row>
    <row r="440" ht="12.0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35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</row>
    <row r="441" ht="12.0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35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</row>
    <row r="442" ht="12.0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35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</row>
    <row r="443" ht="12.0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35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</row>
    <row r="444" ht="12.0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35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</row>
    <row r="445" ht="12.0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35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</row>
    <row r="446" ht="12.0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35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</row>
    <row r="447" ht="12.0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35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</row>
    <row r="448" ht="12.0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35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</row>
    <row r="449" ht="12.0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35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</row>
    <row r="450" ht="12.0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35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</row>
    <row r="451" ht="12.0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35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</row>
    <row r="452" ht="12.0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35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</row>
    <row r="453" ht="12.0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35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</row>
    <row r="454" ht="12.0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35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</row>
    <row r="455" ht="12.0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35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</row>
    <row r="456" ht="12.0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35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</row>
    <row r="457" ht="12.0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35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</row>
    <row r="458" ht="12.0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35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</row>
    <row r="459" ht="12.0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35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</row>
    <row r="460" ht="12.0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35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</row>
    <row r="461" ht="12.0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35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</row>
    <row r="462" ht="12.0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35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</row>
    <row r="463" ht="12.0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35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</row>
    <row r="464" ht="12.0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35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</row>
    <row r="465" ht="12.0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35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</row>
    <row r="466" ht="12.0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35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</row>
    <row r="467" ht="12.0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35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</row>
    <row r="468" ht="12.0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35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</row>
    <row r="469" ht="12.0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35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</row>
    <row r="470" ht="12.0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35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</row>
    <row r="471" ht="12.0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35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</row>
    <row r="472" ht="12.0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35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</row>
    <row r="473" ht="12.0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35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</row>
    <row r="474" ht="12.0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35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</row>
    <row r="475" ht="12.0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35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</row>
    <row r="476" ht="12.0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35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</row>
    <row r="477" ht="12.0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35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</row>
    <row r="478" ht="12.0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35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</row>
    <row r="479" ht="12.0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35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</row>
    <row r="480" ht="12.0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35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</row>
    <row r="481" ht="12.0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35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</row>
    <row r="482" ht="12.0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35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</row>
    <row r="483" ht="12.0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35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</row>
    <row r="484" ht="12.0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35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</row>
    <row r="485" ht="12.0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35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</row>
    <row r="486" ht="12.0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35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</row>
    <row r="487" ht="12.0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35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</row>
    <row r="488" ht="12.0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35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</row>
    <row r="489" ht="12.0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35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</row>
    <row r="490" ht="12.0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35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</row>
    <row r="491" ht="12.0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35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</row>
    <row r="492" ht="12.0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35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</row>
    <row r="493" ht="12.0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35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</row>
    <row r="494" ht="12.0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35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</row>
    <row r="495" ht="12.0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35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</row>
    <row r="496" ht="12.0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35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</row>
    <row r="497" ht="12.0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35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</row>
    <row r="498" ht="12.0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35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</row>
    <row r="499" ht="12.0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35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</row>
    <row r="500" ht="12.0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35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</row>
    <row r="501" ht="12.0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35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</row>
    <row r="502" ht="12.0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35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</row>
    <row r="503" ht="12.0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35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</row>
    <row r="504" ht="12.0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35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</row>
    <row r="505" ht="12.0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35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</row>
    <row r="506" ht="12.0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35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</row>
    <row r="507" ht="12.0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35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</row>
    <row r="508" ht="12.0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35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</row>
    <row r="509" ht="12.0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35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</row>
    <row r="510" ht="12.0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35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</row>
    <row r="511" ht="12.0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35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</row>
    <row r="512" ht="12.0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35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</row>
    <row r="513" ht="12.0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35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</row>
    <row r="514" ht="12.0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35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</row>
    <row r="515" ht="12.0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35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</row>
    <row r="516" ht="12.0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35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</row>
    <row r="517" ht="12.0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35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</row>
    <row r="518" ht="12.0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35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</row>
    <row r="519" ht="12.0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35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</row>
    <row r="520" ht="12.0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35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</row>
    <row r="521" ht="12.0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35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</row>
    <row r="522" ht="12.0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35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</row>
    <row r="523" ht="12.0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35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</row>
    <row r="524" ht="12.0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35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</row>
    <row r="525" ht="12.0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35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</row>
    <row r="526" ht="12.0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35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</row>
    <row r="527" ht="12.0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35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</row>
    <row r="528" ht="12.0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35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</row>
    <row r="529" ht="12.0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35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</row>
    <row r="530" ht="12.0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35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</row>
    <row r="531" ht="12.0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35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</row>
    <row r="532" ht="12.0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35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</row>
    <row r="533" ht="12.0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35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</row>
    <row r="534" ht="12.0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35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</row>
    <row r="535" ht="12.0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35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</row>
    <row r="536" ht="12.0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35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</row>
    <row r="537" ht="12.0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35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</row>
    <row r="538" ht="12.0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35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</row>
    <row r="539" ht="12.0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35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</row>
    <row r="540" ht="12.0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35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</row>
    <row r="541" ht="12.0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35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</row>
    <row r="542" ht="12.0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35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</row>
    <row r="543" ht="12.0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35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</row>
    <row r="544" ht="12.0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35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</row>
    <row r="545" ht="12.0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35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</row>
    <row r="546" ht="12.0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35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</row>
    <row r="547" ht="12.0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35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</row>
    <row r="548" ht="12.0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35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</row>
    <row r="549" ht="12.0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35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</row>
    <row r="550" ht="12.0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35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</row>
    <row r="551" ht="12.0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35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</row>
    <row r="552" ht="12.0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35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</row>
    <row r="553" ht="12.0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35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</row>
    <row r="554" ht="12.0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35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</row>
    <row r="555" ht="12.0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35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</row>
    <row r="556" ht="12.0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35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</row>
    <row r="557" ht="12.0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35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</row>
    <row r="558" ht="12.0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35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</row>
    <row r="559" ht="12.0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35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</row>
    <row r="560" ht="12.0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35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</row>
    <row r="561" ht="12.0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35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</row>
    <row r="562" ht="12.0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35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</row>
    <row r="563" ht="12.0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35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</row>
    <row r="564" ht="12.0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35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</row>
    <row r="565" ht="12.0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35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</row>
    <row r="566" ht="12.0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35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</row>
    <row r="567" ht="12.0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35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</row>
    <row r="568" ht="12.0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35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</row>
    <row r="569" ht="12.0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35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</row>
    <row r="570" ht="12.0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35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</row>
    <row r="571" ht="12.0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35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</row>
    <row r="572" ht="12.0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35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</row>
    <row r="573" ht="12.0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35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</row>
    <row r="574" ht="12.0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35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</row>
    <row r="575" ht="12.0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35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</row>
    <row r="576" ht="12.0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35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</row>
    <row r="577" ht="12.0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35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</row>
    <row r="578" ht="12.0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35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</row>
    <row r="579" ht="12.0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35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</row>
    <row r="580" ht="12.0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35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</row>
    <row r="581" ht="12.0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35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</row>
    <row r="582" ht="12.0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35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</row>
    <row r="583" ht="12.0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35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</row>
    <row r="584" ht="12.0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35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</row>
    <row r="585" ht="12.0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35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</row>
    <row r="586" ht="12.0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35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</row>
    <row r="587" ht="12.0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35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</row>
    <row r="588" ht="12.0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35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</row>
    <row r="589" ht="12.0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35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</row>
    <row r="590" ht="12.0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35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</row>
    <row r="591" ht="12.0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35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</row>
    <row r="592" ht="12.0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35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</row>
    <row r="593" ht="12.0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35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</row>
    <row r="594" ht="12.0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35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</row>
    <row r="595" ht="12.0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35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</row>
    <row r="596" ht="12.0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35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</row>
    <row r="597" ht="12.0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35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</row>
    <row r="598" ht="12.0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35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</row>
    <row r="599" ht="12.0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35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</row>
    <row r="600" ht="12.0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35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</row>
    <row r="601" ht="12.0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35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</row>
    <row r="602" ht="12.0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35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</row>
    <row r="603" ht="12.0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35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</row>
    <row r="604" ht="12.0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35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</row>
    <row r="605" ht="12.0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35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</row>
    <row r="606" ht="12.0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35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</row>
    <row r="607" ht="12.0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35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</row>
    <row r="608" ht="12.0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35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</row>
    <row r="609" ht="12.0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35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</row>
    <row r="610" ht="12.0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35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</row>
    <row r="611" ht="12.0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35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</row>
    <row r="612" ht="12.0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35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</row>
    <row r="613" ht="12.0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35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</row>
    <row r="614" ht="12.0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35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</row>
    <row r="615" ht="12.0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35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</row>
    <row r="616" ht="12.0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35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</row>
    <row r="617" ht="12.0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35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</row>
    <row r="618" ht="12.0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35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</row>
    <row r="619" ht="12.0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35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</row>
    <row r="620" ht="12.0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35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</row>
    <row r="621" ht="12.0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35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</row>
    <row r="622" ht="12.0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35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</row>
    <row r="623" ht="12.0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35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</row>
    <row r="624" ht="12.0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35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</row>
    <row r="625" ht="12.0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35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</row>
    <row r="626" ht="12.0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35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</row>
    <row r="627" ht="12.0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35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</row>
    <row r="628" ht="12.0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35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</row>
    <row r="629" ht="12.0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35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</row>
    <row r="630" ht="12.0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35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</row>
    <row r="631" ht="12.0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35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</row>
    <row r="632" ht="12.0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35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</row>
    <row r="633" ht="12.0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35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</row>
    <row r="634" ht="12.0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35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</row>
    <row r="635" ht="12.0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35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</row>
    <row r="636" ht="12.0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35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</row>
    <row r="637" ht="12.0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35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</row>
    <row r="638" ht="12.0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35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</row>
    <row r="639" ht="12.0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35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</row>
    <row r="640" ht="12.0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35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</row>
    <row r="641" ht="12.0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35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</row>
    <row r="642" ht="12.0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35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</row>
    <row r="643" ht="12.0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35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</row>
    <row r="644" ht="12.0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35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</row>
    <row r="645" ht="12.0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35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</row>
    <row r="646" ht="12.0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35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</row>
    <row r="647" ht="12.0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35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</row>
    <row r="648" ht="12.0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35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</row>
    <row r="649" ht="12.0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35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</row>
    <row r="650" ht="12.0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35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</row>
    <row r="651" ht="12.0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35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</row>
    <row r="652" ht="12.0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35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</row>
    <row r="653" ht="12.0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35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</row>
    <row r="654" ht="12.0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35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</row>
    <row r="655" ht="12.0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35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</row>
    <row r="656" ht="12.0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35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</row>
    <row r="657" ht="12.0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35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</row>
    <row r="658" ht="12.0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35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</row>
    <row r="659" ht="12.0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35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</row>
    <row r="660" ht="12.0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35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</row>
    <row r="661" ht="12.0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35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</row>
    <row r="662" ht="12.0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35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</row>
    <row r="663" ht="12.0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35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</row>
    <row r="664" ht="12.0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35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</row>
    <row r="665" ht="12.0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35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</row>
    <row r="666" ht="12.0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35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</row>
    <row r="667" ht="12.0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35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</row>
    <row r="668" ht="12.0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35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</row>
    <row r="669" ht="12.0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35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</row>
    <row r="670" ht="12.0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35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</row>
    <row r="671" ht="12.0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35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</row>
    <row r="672" ht="12.0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35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</row>
    <row r="673" ht="12.0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35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</row>
    <row r="674" ht="12.0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35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</row>
    <row r="675" ht="12.0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35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</row>
    <row r="676" ht="12.0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35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</row>
    <row r="677" ht="12.0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35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</row>
    <row r="678" ht="12.0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35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</row>
    <row r="679" ht="12.0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35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</row>
    <row r="680" ht="12.0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35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</row>
    <row r="681" ht="12.0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35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</row>
    <row r="682" ht="12.0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35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</row>
    <row r="683" ht="12.0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35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</row>
    <row r="684" ht="12.0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35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</row>
    <row r="685" ht="12.0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35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</row>
    <row r="686" ht="12.0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35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</row>
    <row r="687" ht="12.0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35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</row>
    <row r="688" ht="12.0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35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</row>
    <row r="689" ht="12.0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35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</row>
    <row r="690" ht="12.0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35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</row>
    <row r="691" ht="12.0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35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</row>
    <row r="692" ht="12.0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35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</row>
    <row r="693" ht="12.0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35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</row>
    <row r="694" ht="12.0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35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</row>
    <row r="695" ht="12.0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35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</row>
    <row r="696" ht="12.0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35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</row>
    <row r="697" ht="12.0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35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</row>
    <row r="698" ht="12.0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35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</row>
    <row r="699" ht="12.0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35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</row>
    <row r="700" ht="12.0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35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</row>
    <row r="701" ht="12.0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35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</row>
    <row r="702" ht="12.0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35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</row>
    <row r="703" ht="12.0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35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</row>
    <row r="704" ht="12.0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35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</row>
    <row r="705" ht="12.0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35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</row>
    <row r="706" ht="12.0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35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</row>
    <row r="707" ht="12.0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35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</row>
    <row r="708" ht="12.0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35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</row>
    <row r="709" ht="12.0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35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</row>
    <row r="710" ht="12.0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35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</row>
    <row r="711" ht="12.0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35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</row>
    <row r="712" ht="12.0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35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</row>
    <row r="713" ht="12.0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35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</row>
    <row r="714" ht="12.0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35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</row>
    <row r="715" ht="12.0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35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</row>
    <row r="716" ht="12.0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35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</row>
    <row r="717" ht="12.0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35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</row>
    <row r="718" ht="12.0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35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</row>
    <row r="719" ht="12.0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35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</row>
    <row r="720" ht="12.0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35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</row>
    <row r="721" ht="12.0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35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</row>
    <row r="722" ht="12.0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35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</row>
    <row r="723" ht="12.0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35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</row>
    <row r="724" ht="12.0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35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</row>
    <row r="725" ht="12.0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35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</row>
    <row r="726" ht="12.0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35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</row>
    <row r="727" ht="12.0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35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</row>
    <row r="728" ht="12.0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35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</row>
    <row r="729" ht="12.0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35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</row>
    <row r="730" ht="12.0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35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</row>
    <row r="731" ht="12.0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35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</row>
    <row r="732" ht="12.0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35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</row>
    <row r="733" ht="12.0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35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</row>
    <row r="734" ht="12.0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35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</row>
    <row r="735" ht="12.0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35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</row>
    <row r="736" ht="12.0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35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</row>
    <row r="737" ht="12.0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35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</row>
    <row r="738" ht="12.0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35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</row>
    <row r="739" ht="12.0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35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</row>
    <row r="740" ht="12.0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35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</row>
    <row r="741" ht="12.0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35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</row>
    <row r="742" ht="12.0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35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</row>
    <row r="743" ht="12.0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35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</row>
    <row r="744" ht="12.0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35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</row>
    <row r="745" ht="12.0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35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</row>
    <row r="746" ht="12.0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35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</row>
    <row r="747" ht="12.0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35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</row>
    <row r="748" ht="12.0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35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</row>
    <row r="749" ht="12.0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35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</row>
    <row r="750" ht="12.0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35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</row>
    <row r="751" ht="12.0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35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</row>
    <row r="752" ht="12.0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35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</row>
    <row r="753" ht="12.0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35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</row>
    <row r="754" ht="12.0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35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</row>
    <row r="755" ht="12.0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35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</row>
    <row r="756" ht="12.0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35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</row>
    <row r="757" ht="12.0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35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</row>
    <row r="758" ht="12.0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35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</row>
    <row r="759" ht="12.0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35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</row>
    <row r="760" ht="12.0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35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</row>
    <row r="761" ht="12.0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35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</row>
    <row r="762" ht="12.0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35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</row>
    <row r="763" ht="12.0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35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</row>
    <row r="764" ht="12.0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35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</row>
    <row r="765" ht="12.0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35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</row>
    <row r="766" ht="12.0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35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</row>
    <row r="767" ht="12.0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35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</row>
    <row r="768" ht="12.0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35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</row>
    <row r="769" ht="12.0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35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</row>
    <row r="770" ht="12.0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35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</row>
    <row r="771" ht="12.0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35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</row>
    <row r="772" ht="12.0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35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</row>
    <row r="773" ht="12.0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35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</row>
    <row r="774" ht="12.0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35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</row>
    <row r="775" ht="12.0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35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</row>
    <row r="776" ht="12.0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35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</row>
    <row r="777" ht="12.0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35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</row>
    <row r="778" ht="12.0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35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</row>
    <row r="779" ht="12.0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35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</row>
    <row r="780" ht="12.0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35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</row>
    <row r="781" ht="12.0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35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</row>
    <row r="782" ht="12.0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35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</row>
    <row r="783" ht="12.0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35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</row>
    <row r="784" ht="12.0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35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</row>
    <row r="785" ht="12.0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35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</row>
    <row r="786" ht="12.0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35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</row>
    <row r="787" ht="12.0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35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</row>
    <row r="788" ht="12.0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35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</row>
    <row r="789" ht="12.0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35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</row>
    <row r="790" ht="12.0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35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</row>
    <row r="791" ht="12.0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35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</row>
    <row r="792" ht="12.0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35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</row>
    <row r="793" ht="12.0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35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</row>
    <row r="794" ht="12.0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35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</row>
    <row r="795" ht="12.0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35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</row>
    <row r="796" ht="12.0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35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</row>
    <row r="797" ht="12.0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35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</row>
    <row r="798" ht="12.0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35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</row>
    <row r="799" ht="12.0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35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</row>
    <row r="800" ht="12.0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35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</row>
    <row r="801" ht="12.0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35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</row>
    <row r="802" ht="12.0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35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</row>
    <row r="803" ht="12.0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35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</row>
    <row r="804" ht="12.0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35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</row>
    <row r="805" ht="12.0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35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</row>
    <row r="806" ht="12.0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35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</row>
    <row r="807" ht="12.0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35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</row>
    <row r="808" ht="12.0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35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</row>
    <row r="809" ht="12.0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35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</row>
    <row r="810" ht="12.0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35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</row>
    <row r="811" ht="12.0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35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</row>
    <row r="812" ht="12.0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35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</row>
    <row r="813" ht="12.0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35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</row>
    <row r="814" ht="12.0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35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</row>
    <row r="815" ht="12.0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35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</row>
    <row r="816" ht="12.0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35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</row>
    <row r="817" ht="12.0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35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</row>
    <row r="818" ht="12.0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35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</row>
    <row r="819" ht="12.0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35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</row>
    <row r="820" ht="12.0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35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</row>
    <row r="821" ht="12.0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35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</row>
    <row r="822" ht="12.0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35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</row>
    <row r="823" ht="12.0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35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</row>
    <row r="824" ht="12.0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35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</row>
    <row r="825" ht="12.0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35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</row>
    <row r="826" ht="12.0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35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</row>
    <row r="827" ht="12.0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35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</row>
    <row r="828" ht="12.0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35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</row>
    <row r="829" ht="12.0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35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</row>
    <row r="830" ht="12.0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35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</row>
    <row r="831" ht="12.0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35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</row>
    <row r="832" ht="12.0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35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</row>
    <row r="833" ht="12.0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35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</row>
    <row r="834" ht="12.0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35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</row>
    <row r="835" ht="12.0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35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</row>
    <row r="836" ht="12.0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35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</row>
    <row r="837" ht="12.0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35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</row>
    <row r="838" ht="12.0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35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</row>
    <row r="839" ht="12.0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35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</row>
    <row r="840" ht="12.0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35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</row>
    <row r="841" ht="12.0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35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</row>
    <row r="842" ht="12.0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35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</row>
    <row r="843" ht="12.0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35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</row>
    <row r="844" ht="12.0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35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</row>
    <row r="845" ht="12.0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35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</row>
    <row r="846" ht="12.0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35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</row>
    <row r="847" ht="12.0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35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</row>
    <row r="848" ht="12.0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35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</row>
    <row r="849" ht="12.0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35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</row>
    <row r="850" ht="12.0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35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</row>
    <row r="851" ht="12.0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35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</row>
    <row r="852" ht="12.0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35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</row>
    <row r="853" ht="12.0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35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</row>
    <row r="854" ht="12.0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35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</row>
    <row r="855" ht="12.0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35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</row>
    <row r="856" ht="12.0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35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</row>
    <row r="857" ht="12.0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35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</row>
    <row r="858" ht="12.0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35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</row>
    <row r="859" ht="12.0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35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</row>
    <row r="860" ht="12.0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35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</row>
    <row r="861" ht="12.0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35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</row>
    <row r="862" ht="12.0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35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</row>
    <row r="863" ht="12.0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35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</row>
    <row r="864" ht="12.0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35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</row>
    <row r="865" ht="12.0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35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</row>
    <row r="866" ht="12.0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35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</row>
    <row r="867" ht="12.0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35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</row>
    <row r="868" ht="12.0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35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</row>
    <row r="869" ht="12.0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35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</row>
    <row r="870" ht="12.0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35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</row>
    <row r="871" ht="12.0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35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</row>
    <row r="872" ht="12.0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35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</row>
    <row r="873" ht="12.0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35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</row>
    <row r="874" ht="12.0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35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</row>
    <row r="875" ht="12.0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35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</row>
    <row r="876" ht="12.0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35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</row>
    <row r="877" ht="12.0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35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</row>
    <row r="878" ht="12.0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35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</row>
    <row r="879" ht="12.0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35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</row>
    <row r="880" ht="12.0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35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</row>
    <row r="881" ht="12.0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35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</row>
    <row r="882" ht="12.0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35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</row>
    <row r="883" ht="12.0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35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</row>
    <row r="884" ht="12.0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35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</row>
    <row r="885" ht="12.0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35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</row>
    <row r="886" ht="12.0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35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</row>
    <row r="887" ht="12.0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35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</row>
    <row r="888" ht="12.0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35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</row>
    <row r="889" ht="12.0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35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</row>
    <row r="890" ht="12.0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35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</row>
    <row r="891" ht="12.0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35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</row>
    <row r="892" ht="12.0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35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</row>
    <row r="893" ht="12.0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35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</row>
    <row r="894" ht="12.0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35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</row>
    <row r="895" ht="12.0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35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</row>
    <row r="896" ht="12.0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35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</row>
    <row r="897" ht="12.0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35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</row>
    <row r="898" ht="12.0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35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</row>
    <row r="899" ht="12.0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35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</row>
    <row r="900" ht="12.0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35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</row>
    <row r="901" ht="12.0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35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</row>
    <row r="902" ht="12.0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35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</row>
    <row r="903" ht="12.0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35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</row>
    <row r="904" ht="12.0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35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</row>
    <row r="905" ht="12.0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35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</row>
    <row r="906" ht="12.0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35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</row>
    <row r="907" ht="12.0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35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</row>
    <row r="908" ht="12.0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35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</row>
    <row r="909" ht="12.0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35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</row>
    <row r="910" ht="12.0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35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</row>
    <row r="911" ht="12.0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35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</row>
    <row r="912" ht="12.0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35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</row>
    <row r="913" ht="12.0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35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</row>
    <row r="914" ht="12.0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35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</row>
    <row r="915" ht="12.0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35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</row>
    <row r="916" ht="12.0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35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</row>
    <row r="917" ht="12.0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35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</row>
    <row r="918" ht="12.0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35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</row>
    <row r="919" ht="12.0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35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</row>
    <row r="920" ht="12.0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35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</row>
    <row r="921" ht="12.0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35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</row>
    <row r="922" ht="12.0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35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</row>
    <row r="923" ht="12.0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35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</row>
    <row r="924" ht="12.0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35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</row>
    <row r="925" ht="12.0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35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</row>
    <row r="926" ht="12.0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35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</row>
    <row r="927" ht="12.0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35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</row>
    <row r="928" ht="12.0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35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</row>
    <row r="929" ht="12.0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35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</row>
    <row r="930" ht="12.0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35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</row>
    <row r="931" ht="12.0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35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</row>
    <row r="932" ht="12.0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35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</row>
    <row r="933" ht="12.0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35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</row>
    <row r="934" ht="12.0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35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</row>
    <row r="935" ht="12.0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35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</row>
    <row r="936" ht="12.0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35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</row>
    <row r="937" ht="12.0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35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</row>
    <row r="938" ht="12.0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35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</row>
    <row r="939" ht="12.0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35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</row>
    <row r="940" ht="12.0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35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</row>
    <row r="941" ht="12.0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35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</row>
    <row r="942" ht="12.0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35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</row>
    <row r="943" ht="12.0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35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</row>
    <row r="944" ht="12.0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35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</row>
    <row r="945" ht="12.0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35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</row>
    <row r="946" ht="12.0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35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</row>
    <row r="947" ht="12.0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35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</row>
    <row r="948" ht="12.0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35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</row>
    <row r="949" ht="12.0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35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</row>
    <row r="950" ht="12.0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35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</row>
    <row r="951" ht="12.0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35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</row>
    <row r="952" ht="12.0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35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</row>
    <row r="953" ht="12.0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35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</row>
    <row r="954" ht="12.0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35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</row>
    <row r="955" ht="12.0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35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</row>
    <row r="956" ht="12.0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35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</row>
    <row r="957" ht="12.0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35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</row>
    <row r="958" ht="12.0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35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</row>
    <row r="959" ht="12.0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35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</row>
    <row r="960" ht="12.0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35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</row>
    <row r="961" ht="12.0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35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</row>
    <row r="962" ht="12.0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35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</row>
    <row r="963" ht="12.0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35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</row>
    <row r="964" ht="12.0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35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</row>
    <row r="965" ht="12.0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35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</row>
    <row r="966" ht="12.0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35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</row>
    <row r="967" ht="12.0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35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</row>
    <row r="968" ht="12.0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35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</row>
    <row r="969" ht="12.0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35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</row>
    <row r="970" ht="12.0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35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</row>
    <row r="971" ht="12.0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35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</row>
    <row r="972" ht="12.0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35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</row>
    <row r="973" ht="12.0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35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</row>
    <row r="974" ht="12.0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35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</row>
    <row r="975" ht="12.0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35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</row>
    <row r="976" ht="12.0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35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</row>
    <row r="977" ht="12.0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35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</row>
    <row r="978" ht="12.0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35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</row>
    <row r="979" ht="12.0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35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</row>
    <row r="980" ht="12.0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35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</row>
    <row r="981" ht="12.0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35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</row>
    <row r="982" ht="12.0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35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</row>
    <row r="983" ht="12.0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35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</row>
    <row r="984" ht="12.0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35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</row>
    <row r="985" ht="12.0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35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</row>
    <row r="986" ht="12.0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35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</row>
    <row r="987" ht="12.0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35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</row>
    <row r="988" ht="12.0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35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</row>
    <row r="989" ht="12.0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35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</row>
    <row r="990" ht="12.0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35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</row>
    <row r="991" ht="12.0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35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</row>
    <row r="992" ht="12.0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35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</row>
    <row r="993" ht="12.0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35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</row>
    <row r="994" ht="12.0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35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</row>
    <row r="995" ht="12.0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35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</row>
    <row r="996" ht="12.0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35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</row>
    <row r="997" ht="12.0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35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</row>
    <row r="998" ht="12.0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35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</row>
    <row r="999" ht="12.0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35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</row>
    <row r="1000" ht="12.0" customHeight="1">
      <c r="A1000" s="70"/>
      <c r="B1000" s="70"/>
      <c r="C1000" s="70"/>
      <c r="D1000" s="70"/>
      <c r="E1000" s="70"/>
      <c r="F1000" s="70"/>
      <c r="G1000" s="70"/>
      <c r="H1000" s="70"/>
      <c r="I1000" s="70"/>
      <c r="J1000" s="35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1057</v>
      </c>
      <c r="B1" s="9" t="s">
        <v>1058</v>
      </c>
      <c r="C1" s="9" t="s">
        <v>1059</v>
      </c>
      <c r="D1" s="9" t="s">
        <v>1060</v>
      </c>
      <c r="E1" s="9" t="s">
        <v>1061</v>
      </c>
      <c r="F1" s="9" t="s">
        <v>1062</v>
      </c>
      <c r="G1" s="9" t="s">
        <v>1063</v>
      </c>
      <c r="H1" s="9" t="s">
        <v>1064</v>
      </c>
      <c r="I1" s="9" t="s">
        <v>1065</v>
      </c>
      <c r="J1" s="9" t="s">
        <v>1066</v>
      </c>
      <c r="K1" s="9" t="s">
        <v>1067</v>
      </c>
      <c r="L1" s="9" t="s">
        <v>1068</v>
      </c>
      <c r="M1" s="9" t="s">
        <v>1069</v>
      </c>
      <c r="N1" s="9" t="s">
        <v>1070</v>
      </c>
      <c r="O1" s="9" t="s">
        <v>1071</v>
      </c>
      <c r="P1" s="9" t="s">
        <v>1072</v>
      </c>
      <c r="Q1" s="9" t="s">
        <v>1073</v>
      </c>
      <c r="R1" s="9" t="s">
        <v>1074</v>
      </c>
      <c r="S1" s="9" t="s">
        <v>1075</v>
      </c>
      <c r="T1" s="9" t="s">
        <v>1076</v>
      </c>
      <c r="U1" s="9" t="s">
        <v>1077</v>
      </c>
      <c r="V1" s="9" t="s">
        <v>1078</v>
      </c>
      <c r="W1" s="9" t="s">
        <v>1079</v>
      </c>
      <c r="X1" s="9" t="s">
        <v>1080</v>
      </c>
      <c r="Y1" s="9" t="s">
        <v>1081</v>
      </c>
      <c r="Z1" s="9" t="s">
        <v>1082</v>
      </c>
      <c r="AA1" s="9" t="s">
        <v>1083</v>
      </c>
      <c r="AB1" s="9" t="s">
        <v>1084</v>
      </c>
      <c r="AC1" s="9" t="s">
        <v>1085</v>
      </c>
    </row>
  </sheetData>
  <drawing r:id="rId1"/>
</worksheet>
</file>